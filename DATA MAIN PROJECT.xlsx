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882\OneDrive - IIHMR UNIVERSITY\Desktop\New folder\"/>
    </mc:Choice>
  </mc:AlternateContent>
  <xr:revisionPtr revIDLastSave="0" documentId="13_ncr:1_{DEDA3721-3407-4DBD-B5F4-5F6C73F816F6}" xr6:coauthVersionLast="47" xr6:coauthVersionMax="47" xr10:uidLastSave="{00000000-0000-0000-0000-000000000000}"/>
  <bookViews>
    <workbookView xWindow="-108" yWindow="-108" windowWidth="23256" windowHeight="12456" xr2:uid="{B2D3FE4A-77BA-4C78-8ACF-0C68264FAA56}"/>
  </bookViews>
  <sheets>
    <sheet name="Sheet1" sheetId="1" r:id="rId1"/>
  </sheets>
  <definedNames>
    <definedName name="_xlnm._FilterDatabase" localSheetId="0" hidden="1">Sheet1!$D$1:$D$1335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3" i="1" l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2" i="1"/>
  <c r="AE7" i="1"/>
  <c r="V26" i="1"/>
  <c r="V58" i="1"/>
  <c r="V90" i="1"/>
  <c r="V122" i="1"/>
  <c r="V154" i="1"/>
  <c r="V186" i="1"/>
  <c r="V346" i="1"/>
  <c r="V378" i="1"/>
  <c r="V442" i="1"/>
  <c r="V474" i="1"/>
  <c r="V674" i="1"/>
  <c r="V706" i="1"/>
  <c r="V730" i="1"/>
  <c r="V738" i="1"/>
  <c r="V770" i="1"/>
  <c r="V802" i="1"/>
  <c r="V834" i="1"/>
  <c r="V866" i="1"/>
  <c r="V898" i="1"/>
  <c r="V914" i="1"/>
  <c r="V922" i="1"/>
  <c r="V930" i="1"/>
  <c r="V962" i="1"/>
  <c r="V978" i="1"/>
  <c r="V994" i="1"/>
  <c r="V1026" i="1"/>
  <c r="V1042" i="1"/>
  <c r="V1058" i="1"/>
  <c r="V1090" i="1"/>
  <c r="V1106" i="1"/>
  <c r="V1122" i="1"/>
  <c r="V1154" i="1"/>
  <c r="V1170" i="1"/>
  <c r="V1178" i="1"/>
  <c r="V1186" i="1"/>
  <c r="V1218" i="1"/>
  <c r="V1234" i="1"/>
  <c r="V1250" i="1"/>
  <c r="V1282" i="1"/>
  <c r="V1298" i="1"/>
  <c r="V1314" i="1"/>
  <c r="V858" i="1"/>
  <c r="V1114" i="1"/>
  <c r="V3" i="1"/>
  <c r="V4" i="1"/>
  <c r="V5" i="1"/>
  <c r="V6" i="1"/>
  <c r="V7" i="1"/>
  <c r="V8" i="1"/>
  <c r="V9" i="1"/>
  <c r="V11" i="1"/>
  <c r="V12" i="1"/>
  <c r="V13" i="1"/>
  <c r="V14" i="1"/>
  <c r="V15" i="1"/>
  <c r="V16" i="1"/>
  <c r="V17" i="1"/>
  <c r="V19" i="1"/>
  <c r="V20" i="1"/>
  <c r="V21" i="1"/>
  <c r="V22" i="1"/>
  <c r="V23" i="1"/>
  <c r="V24" i="1"/>
  <c r="V25" i="1"/>
  <c r="V27" i="1"/>
  <c r="V28" i="1"/>
  <c r="V29" i="1"/>
  <c r="V30" i="1"/>
  <c r="V31" i="1"/>
  <c r="V32" i="1"/>
  <c r="V33" i="1"/>
  <c r="V35" i="1"/>
  <c r="V36" i="1"/>
  <c r="V37" i="1"/>
  <c r="V38" i="1"/>
  <c r="V39" i="1"/>
  <c r="V40" i="1"/>
  <c r="V41" i="1"/>
  <c r="V43" i="1"/>
  <c r="V44" i="1"/>
  <c r="V45" i="1"/>
  <c r="V46" i="1"/>
  <c r="V47" i="1"/>
  <c r="V48" i="1"/>
  <c r="V49" i="1"/>
  <c r="V51" i="1"/>
  <c r="V52" i="1"/>
  <c r="V53" i="1"/>
  <c r="V54" i="1"/>
  <c r="V55" i="1"/>
  <c r="V56" i="1"/>
  <c r="V57" i="1"/>
  <c r="V59" i="1"/>
  <c r="V60" i="1"/>
  <c r="V61" i="1"/>
  <c r="V62" i="1"/>
  <c r="V63" i="1"/>
  <c r="V64" i="1"/>
  <c r="V65" i="1"/>
  <c r="V67" i="1"/>
  <c r="V68" i="1"/>
  <c r="V69" i="1"/>
  <c r="V70" i="1"/>
  <c r="V71" i="1"/>
  <c r="V72" i="1"/>
  <c r="V73" i="1"/>
  <c r="V75" i="1"/>
  <c r="V76" i="1"/>
  <c r="V77" i="1"/>
  <c r="V78" i="1"/>
  <c r="V79" i="1"/>
  <c r="V80" i="1"/>
  <c r="V81" i="1"/>
  <c r="V83" i="1"/>
  <c r="V84" i="1"/>
  <c r="V85" i="1"/>
  <c r="V86" i="1"/>
  <c r="V87" i="1"/>
  <c r="V88" i="1"/>
  <c r="V89" i="1"/>
  <c r="V91" i="1"/>
  <c r="V92" i="1"/>
  <c r="V93" i="1"/>
  <c r="V94" i="1"/>
  <c r="V95" i="1"/>
  <c r="V96" i="1"/>
  <c r="V97" i="1"/>
  <c r="V99" i="1"/>
  <c r="V100" i="1"/>
  <c r="V101" i="1"/>
  <c r="V102" i="1"/>
  <c r="V103" i="1"/>
  <c r="V104" i="1"/>
  <c r="V105" i="1"/>
  <c r="V107" i="1"/>
  <c r="V108" i="1"/>
  <c r="V109" i="1"/>
  <c r="V110" i="1"/>
  <c r="V111" i="1"/>
  <c r="V112" i="1"/>
  <c r="V113" i="1"/>
  <c r="V115" i="1"/>
  <c r="V116" i="1"/>
  <c r="V117" i="1"/>
  <c r="V118" i="1"/>
  <c r="V119" i="1"/>
  <c r="V120" i="1"/>
  <c r="V121" i="1"/>
  <c r="V123" i="1"/>
  <c r="V124" i="1"/>
  <c r="V125" i="1"/>
  <c r="V126" i="1"/>
  <c r="V127" i="1"/>
  <c r="V128" i="1"/>
  <c r="V129" i="1"/>
  <c r="V131" i="1"/>
  <c r="V132" i="1"/>
  <c r="V133" i="1"/>
  <c r="V134" i="1"/>
  <c r="V135" i="1"/>
  <c r="V136" i="1"/>
  <c r="V137" i="1"/>
  <c r="V139" i="1"/>
  <c r="V140" i="1"/>
  <c r="V141" i="1"/>
  <c r="V142" i="1"/>
  <c r="V143" i="1"/>
  <c r="V144" i="1"/>
  <c r="V145" i="1"/>
  <c r="V147" i="1"/>
  <c r="V148" i="1"/>
  <c r="V149" i="1"/>
  <c r="V150" i="1"/>
  <c r="V151" i="1"/>
  <c r="V152" i="1"/>
  <c r="V153" i="1"/>
  <c r="V155" i="1"/>
  <c r="V156" i="1"/>
  <c r="V157" i="1"/>
  <c r="V158" i="1"/>
  <c r="V159" i="1"/>
  <c r="V160" i="1"/>
  <c r="V161" i="1"/>
  <c r="V163" i="1"/>
  <c r="V164" i="1"/>
  <c r="V165" i="1"/>
  <c r="V166" i="1"/>
  <c r="V167" i="1"/>
  <c r="V168" i="1"/>
  <c r="V169" i="1"/>
  <c r="V171" i="1"/>
  <c r="V172" i="1"/>
  <c r="V173" i="1"/>
  <c r="V174" i="1"/>
  <c r="V175" i="1"/>
  <c r="V176" i="1"/>
  <c r="V177" i="1"/>
  <c r="V179" i="1"/>
  <c r="V180" i="1"/>
  <c r="V181" i="1"/>
  <c r="V182" i="1"/>
  <c r="V183" i="1"/>
  <c r="V184" i="1"/>
  <c r="V185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5" i="1"/>
  <c r="V316" i="1"/>
  <c r="V317" i="1"/>
  <c r="V318" i="1"/>
  <c r="V319" i="1"/>
  <c r="V320" i="1"/>
  <c r="V321" i="1"/>
  <c r="V323" i="1"/>
  <c r="V324" i="1"/>
  <c r="V325" i="1"/>
  <c r="V326" i="1"/>
  <c r="V327" i="1"/>
  <c r="V328" i="1"/>
  <c r="V329" i="1"/>
  <c r="V331" i="1"/>
  <c r="V332" i="1"/>
  <c r="V333" i="1"/>
  <c r="V334" i="1"/>
  <c r="V335" i="1"/>
  <c r="V336" i="1"/>
  <c r="V337" i="1"/>
  <c r="V339" i="1"/>
  <c r="V340" i="1"/>
  <c r="V341" i="1"/>
  <c r="V342" i="1"/>
  <c r="V343" i="1"/>
  <c r="V344" i="1"/>
  <c r="V345" i="1"/>
  <c r="V347" i="1"/>
  <c r="V348" i="1"/>
  <c r="V349" i="1"/>
  <c r="V350" i="1"/>
  <c r="V351" i="1"/>
  <c r="V352" i="1"/>
  <c r="V353" i="1"/>
  <c r="V355" i="1"/>
  <c r="V356" i="1"/>
  <c r="V357" i="1"/>
  <c r="V358" i="1"/>
  <c r="V359" i="1"/>
  <c r="V360" i="1"/>
  <c r="V361" i="1"/>
  <c r="V363" i="1"/>
  <c r="V364" i="1"/>
  <c r="V365" i="1"/>
  <c r="V366" i="1"/>
  <c r="V367" i="1"/>
  <c r="V368" i="1"/>
  <c r="V369" i="1"/>
  <c r="V371" i="1"/>
  <c r="V372" i="1"/>
  <c r="V373" i="1"/>
  <c r="V374" i="1"/>
  <c r="V375" i="1"/>
  <c r="V376" i="1"/>
  <c r="V377" i="1"/>
  <c r="V379" i="1"/>
  <c r="V380" i="1"/>
  <c r="V381" i="1"/>
  <c r="V382" i="1"/>
  <c r="V383" i="1"/>
  <c r="V384" i="1"/>
  <c r="V385" i="1"/>
  <c r="V387" i="1"/>
  <c r="V388" i="1"/>
  <c r="V389" i="1"/>
  <c r="V390" i="1"/>
  <c r="V391" i="1"/>
  <c r="V392" i="1"/>
  <c r="V393" i="1"/>
  <c r="V395" i="1"/>
  <c r="V396" i="1"/>
  <c r="V397" i="1"/>
  <c r="V398" i="1"/>
  <c r="V399" i="1"/>
  <c r="V400" i="1"/>
  <c r="V401" i="1"/>
  <c r="V403" i="1"/>
  <c r="V404" i="1"/>
  <c r="V405" i="1"/>
  <c r="V406" i="1"/>
  <c r="V407" i="1"/>
  <c r="V408" i="1"/>
  <c r="V409" i="1"/>
  <c r="V411" i="1"/>
  <c r="V412" i="1"/>
  <c r="V413" i="1"/>
  <c r="V414" i="1"/>
  <c r="V415" i="1"/>
  <c r="V416" i="1"/>
  <c r="V417" i="1"/>
  <c r="V419" i="1"/>
  <c r="V420" i="1"/>
  <c r="V421" i="1"/>
  <c r="V422" i="1"/>
  <c r="V423" i="1"/>
  <c r="V424" i="1"/>
  <c r="V425" i="1"/>
  <c r="V427" i="1"/>
  <c r="V428" i="1"/>
  <c r="V429" i="1"/>
  <c r="V430" i="1"/>
  <c r="V431" i="1"/>
  <c r="V432" i="1"/>
  <c r="V433" i="1"/>
  <c r="V435" i="1"/>
  <c r="V436" i="1"/>
  <c r="V437" i="1"/>
  <c r="V438" i="1"/>
  <c r="V439" i="1"/>
  <c r="V440" i="1"/>
  <c r="V441" i="1"/>
  <c r="V443" i="1"/>
  <c r="V444" i="1"/>
  <c r="V445" i="1"/>
  <c r="V446" i="1"/>
  <c r="V447" i="1"/>
  <c r="V448" i="1"/>
  <c r="V449" i="1"/>
  <c r="V451" i="1"/>
  <c r="V452" i="1"/>
  <c r="V453" i="1"/>
  <c r="V454" i="1"/>
  <c r="V455" i="1"/>
  <c r="V456" i="1"/>
  <c r="V457" i="1"/>
  <c r="V459" i="1"/>
  <c r="V460" i="1"/>
  <c r="V461" i="1"/>
  <c r="V462" i="1"/>
  <c r="V463" i="1"/>
  <c r="V464" i="1"/>
  <c r="V465" i="1"/>
  <c r="V467" i="1"/>
  <c r="V468" i="1"/>
  <c r="V469" i="1"/>
  <c r="V470" i="1"/>
  <c r="V471" i="1"/>
  <c r="V472" i="1"/>
  <c r="V473" i="1"/>
  <c r="V475" i="1"/>
  <c r="V476" i="1"/>
  <c r="V477" i="1"/>
  <c r="V478" i="1"/>
  <c r="V479" i="1"/>
  <c r="V480" i="1"/>
  <c r="V481" i="1"/>
  <c r="V483" i="1"/>
  <c r="V484" i="1"/>
  <c r="V485" i="1"/>
  <c r="V486" i="1"/>
  <c r="V487" i="1"/>
  <c r="V488" i="1"/>
  <c r="V489" i="1"/>
  <c r="V491" i="1"/>
  <c r="V492" i="1"/>
  <c r="V493" i="1"/>
  <c r="V494" i="1"/>
  <c r="V495" i="1"/>
  <c r="V496" i="1"/>
  <c r="V497" i="1"/>
  <c r="V499" i="1"/>
  <c r="V500" i="1"/>
  <c r="V501" i="1"/>
  <c r="V502" i="1"/>
  <c r="V503" i="1"/>
  <c r="V504" i="1"/>
  <c r="V505" i="1"/>
  <c r="V507" i="1"/>
  <c r="V508" i="1"/>
  <c r="V509" i="1"/>
  <c r="V510" i="1"/>
  <c r="V511" i="1"/>
  <c r="V512" i="1"/>
  <c r="V513" i="1"/>
  <c r="V515" i="1"/>
  <c r="V516" i="1"/>
  <c r="V517" i="1"/>
  <c r="V518" i="1"/>
  <c r="V519" i="1"/>
  <c r="V520" i="1"/>
  <c r="V521" i="1"/>
  <c r="V523" i="1"/>
  <c r="V524" i="1"/>
  <c r="V525" i="1"/>
  <c r="V526" i="1"/>
  <c r="V527" i="1"/>
  <c r="V528" i="1"/>
  <c r="V529" i="1"/>
  <c r="V531" i="1"/>
  <c r="V532" i="1"/>
  <c r="V533" i="1"/>
  <c r="V534" i="1"/>
  <c r="V535" i="1"/>
  <c r="V536" i="1"/>
  <c r="V537" i="1"/>
  <c r="V539" i="1"/>
  <c r="V540" i="1"/>
  <c r="V541" i="1"/>
  <c r="V542" i="1"/>
  <c r="V543" i="1"/>
  <c r="V544" i="1"/>
  <c r="V545" i="1"/>
  <c r="V547" i="1"/>
  <c r="V548" i="1"/>
  <c r="V549" i="1"/>
  <c r="V550" i="1"/>
  <c r="V551" i="1"/>
  <c r="V552" i="1"/>
  <c r="V553" i="1"/>
  <c r="V555" i="1"/>
  <c r="V556" i="1"/>
  <c r="V557" i="1"/>
  <c r="V558" i="1"/>
  <c r="V559" i="1"/>
  <c r="V560" i="1"/>
  <c r="V561" i="1"/>
  <c r="V563" i="1"/>
  <c r="V564" i="1"/>
  <c r="V565" i="1"/>
  <c r="V566" i="1"/>
  <c r="V567" i="1"/>
  <c r="V568" i="1"/>
  <c r="V569" i="1"/>
  <c r="V571" i="1"/>
  <c r="V572" i="1"/>
  <c r="V573" i="1"/>
  <c r="V574" i="1"/>
  <c r="V575" i="1"/>
  <c r="V576" i="1"/>
  <c r="V577" i="1"/>
  <c r="V579" i="1"/>
  <c r="V580" i="1"/>
  <c r="V581" i="1"/>
  <c r="V582" i="1"/>
  <c r="V583" i="1"/>
  <c r="V584" i="1"/>
  <c r="V585" i="1"/>
  <c r="V587" i="1"/>
  <c r="V588" i="1"/>
  <c r="V589" i="1"/>
  <c r="V590" i="1"/>
  <c r="V591" i="1"/>
  <c r="V592" i="1"/>
  <c r="V593" i="1"/>
  <c r="V595" i="1"/>
  <c r="V596" i="1"/>
  <c r="V597" i="1"/>
  <c r="V598" i="1"/>
  <c r="V599" i="1"/>
  <c r="V600" i="1"/>
  <c r="V601" i="1"/>
  <c r="V603" i="1"/>
  <c r="V604" i="1"/>
  <c r="V605" i="1"/>
  <c r="V606" i="1"/>
  <c r="V607" i="1"/>
  <c r="V608" i="1"/>
  <c r="V609" i="1"/>
  <c r="V611" i="1"/>
  <c r="V612" i="1"/>
  <c r="V613" i="1"/>
  <c r="V614" i="1"/>
  <c r="V615" i="1"/>
  <c r="V616" i="1"/>
  <c r="V617" i="1"/>
  <c r="V619" i="1"/>
  <c r="V620" i="1"/>
  <c r="V621" i="1"/>
  <c r="V622" i="1"/>
  <c r="V623" i="1"/>
  <c r="V624" i="1"/>
  <c r="V625" i="1"/>
  <c r="V627" i="1"/>
  <c r="V628" i="1"/>
  <c r="V629" i="1"/>
  <c r="V630" i="1"/>
  <c r="V631" i="1"/>
  <c r="V632" i="1"/>
  <c r="V633" i="1"/>
  <c r="V635" i="1"/>
  <c r="V636" i="1"/>
  <c r="V637" i="1"/>
  <c r="V638" i="1"/>
  <c r="V639" i="1"/>
  <c r="V640" i="1"/>
  <c r="V641" i="1"/>
  <c r="V643" i="1"/>
  <c r="V644" i="1"/>
  <c r="V645" i="1"/>
  <c r="V646" i="1"/>
  <c r="V647" i="1"/>
  <c r="V648" i="1"/>
  <c r="V649" i="1"/>
  <c r="V651" i="1"/>
  <c r="V652" i="1"/>
  <c r="V653" i="1"/>
  <c r="V654" i="1"/>
  <c r="V655" i="1"/>
  <c r="V656" i="1"/>
  <c r="V657" i="1"/>
  <c r="V659" i="1"/>
  <c r="V660" i="1"/>
  <c r="V661" i="1"/>
  <c r="V662" i="1"/>
  <c r="V663" i="1"/>
  <c r="V664" i="1"/>
  <c r="V665" i="1"/>
  <c r="V667" i="1"/>
  <c r="V668" i="1"/>
  <c r="V669" i="1"/>
  <c r="V670" i="1"/>
  <c r="V671" i="1"/>
  <c r="V672" i="1"/>
  <c r="V673" i="1"/>
  <c r="V675" i="1"/>
  <c r="V676" i="1"/>
  <c r="V677" i="1"/>
  <c r="V678" i="1"/>
  <c r="V679" i="1"/>
  <c r="V680" i="1"/>
  <c r="V681" i="1"/>
  <c r="V683" i="1"/>
  <c r="V684" i="1"/>
  <c r="V685" i="1"/>
  <c r="V686" i="1"/>
  <c r="V687" i="1"/>
  <c r="V688" i="1"/>
  <c r="V689" i="1"/>
  <c r="V691" i="1"/>
  <c r="V692" i="1"/>
  <c r="V693" i="1"/>
  <c r="V694" i="1"/>
  <c r="V695" i="1"/>
  <c r="V696" i="1"/>
  <c r="V697" i="1"/>
  <c r="V699" i="1"/>
  <c r="V700" i="1"/>
  <c r="V701" i="1"/>
  <c r="V702" i="1"/>
  <c r="V703" i="1"/>
  <c r="V704" i="1"/>
  <c r="V705" i="1"/>
  <c r="V707" i="1"/>
  <c r="V708" i="1"/>
  <c r="V709" i="1"/>
  <c r="V710" i="1"/>
  <c r="V711" i="1"/>
  <c r="V712" i="1"/>
  <c r="V713" i="1"/>
  <c r="V715" i="1"/>
  <c r="V716" i="1"/>
  <c r="V717" i="1"/>
  <c r="V718" i="1"/>
  <c r="V719" i="1"/>
  <c r="V720" i="1"/>
  <c r="V721" i="1"/>
  <c r="V723" i="1"/>
  <c r="V724" i="1"/>
  <c r="V725" i="1"/>
  <c r="V726" i="1"/>
  <c r="V727" i="1"/>
  <c r="V728" i="1"/>
  <c r="V729" i="1"/>
  <c r="V731" i="1"/>
  <c r="V732" i="1"/>
  <c r="V733" i="1"/>
  <c r="V734" i="1"/>
  <c r="V735" i="1"/>
  <c r="V736" i="1"/>
  <c r="V737" i="1"/>
  <c r="V739" i="1"/>
  <c r="V740" i="1"/>
  <c r="V741" i="1"/>
  <c r="V742" i="1"/>
  <c r="V743" i="1"/>
  <c r="V744" i="1"/>
  <c r="V745" i="1"/>
  <c r="V747" i="1"/>
  <c r="V748" i="1"/>
  <c r="V749" i="1"/>
  <c r="V750" i="1"/>
  <c r="V751" i="1"/>
  <c r="V752" i="1"/>
  <c r="V753" i="1"/>
  <c r="V755" i="1"/>
  <c r="V756" i="1"/>
  <c r="V757" i="1"/>
  <c r="V758" i="1"/>
  <c r="V759" i="1"/>
  <c r="V760" i="1"/>
  <c r="V761" i="1"/>
  <c r="V763" i="1"/>
  <c r="V764" i="1"/>
  <c r="V765" i="1"/>
  <c r="V766" i="1"/>
  <c r="V767" i="1"/>
  <c r="V768" i="1"/>
  <c r="V769" i="1"/>
  <c r="V771" i="1"/>
  <c r="V772" i="1"/>
  <c r="V773" i="1"/>
  <c r="V774" i="1"/>
  <c r="V775" i="1"/>
  <c r="V776" i="1"/>
  <c r="V777" i="1"/>
  <c r="V779" i="1"/>
  <c r="V780" i="1"/>
  <c r="V781" i="1"/>
  <c r="V782" i="1"/>
  <c r="V783" i="1"/>
  <c r="V784" i="1"/>
  <c r="V785" i="1"/>
  <c r="V787" i="1"/>
  <c r="V788" i="1"/>
  <c r="V789" i="1"/>
  <c r="V790" i="1"/>
  <c r="V791" i="1"/>
  <c r="V792" i="1"/>
  <c r="V793" i="1"/>
  <c r="V795" i="1"/>
  <c r="V796" i="1"/>
  <c r="V797" i="1"/>
  <c r="V798" i="1"/>
  <c r="V799" i="1"/>
  <c r="V800" i="1"/>
  <c r="V801" i="1"/>
  <c r="V803" i="1"/>
  <c r="V804" i="1"/>
  <c r="V805" i="1"/>
  <c r="V806" i="1"/>
  <c r="V807" i="1"/>
  <c r="V808" i="1"/>
  <c r="V809" i="1"/>
  <c r="V811" i="1"/>
  <c r="V812" i="1"/>
  <c r="V813" i="1"/>
  <c r="V814" i="1"/>
  <c r="V815" i="1"/>
  <c r="V816" i="1"/>
  <c r="V817" i="1"/>
  <c r="V819" i="1"/>
  <c r="V820" i="1"/>
  <c r="V821" i="1"/>
  <c r="V822" i="1"/>
  <c r="V823" i="1"/>
  <c r="V824" i="1"/>
  <c r="V825" i="1"/>
  <c r="V827" i="1"/>
  <c r="V828" i="1"/>
  <c r="V829" i="1"/>
  <c r="V830" i="1"/>
  <c r="V831" i="1"/>
  <c r="V832" i="1"/>
  <c r="V833" i="1"/>
  <c r="V835" i="1"/>
  <c r="V836" i="1"/>
  <c r="V837" i="1"/>
  <c r="V838" i="1"/>
  <c r="V839" i="1"/>
  <c r="V840" i="1"/>
  <c r="V841" i="1"/>
  <c r="V843" i="1"/>
  <c r="V844" i="1"/>
  <c r="V845" i="1"/>
  <c r="V846" i="1"/>
  <c r="V847" i="1"/>
  <c r="V848" i="1"/>
  <c r="V849" i="1"/>
  <c r="V851" i="1"/>
  <c r="V852" i="1"/>
  <c r="V853" i="1"/>
  <c r="V854" i="1"/>
  <c r="V855" i="1"/>
  <c r="V856" i="1"/>
  <c r="V857" i="1"/>
  <c r="V859" i="1"/>
  <c r="V860" i="1"/>
  <c r="V861" i="1"/>
  <c r="V862" i="1"/>
  <c r="V863" i="1"/>
  <c r="V864" i="1"/>
  <c r="V865" i="1"/>
  <c r="V867" i="1"/>
  <c r="V868" i="1"/>
  <c r="V869" i="1"/>
  <c r="V870" i="1"/>
  <c r="V871" i="1"/>
  <c r="V872" i="1"/>
  <c r="V873" i="1"/>
  <c r="V875" i="1"/>
  <c r="V876" i="1"/>
  <c r="V877" i="1"/>
  <c r="V878" i="1"/>
  <c r="V879" i="1"/>
  <c r="V880" i="1"/>
  <c r="V881" i="1"/>
  <c r="V883" i="1"/>
  <c r="V884" i="1"/>
  <c r="V885" i="1"/>
  <c r="V886" i="1"/>
  <c r="V887" i="1"/>
  <c r="V888" i="1"/>
  <c r="V889" i="1"/>
  <c r="V891" i="1"/>
  <c r="V892" i="1"/>
  <c r="V893" i="1"/>
  <c r="V894" i="1"/>
  <c r="V895" i="1"/>
  <c r="V896" i="1"/>
  <c r="V897" i="1"/>
  <c r="V899" i="1"/>
  <c r="V900" i="1"/>
  <c r="V901" i="1"/>
  <c r="V902" i="1"/>
  <c r="V903" i="1"/>
  <c r="V904" i="1"/>
  <c r="V905" i="1"/>
  <c r="V907" i="1"/>
  <c r="V908" i="1"/>
  <c r="V909" i="1"/>
  <c r="V910" i="1"/>
  <c r="V911" i="1"/>
  <c r="V912" i="1"/>
  <c r="V913" i="1"/>
  <c r="V915" i="1"/>
  <c r="V916" i="1"/>
  <c r="V917" i="1"/>
  <c r="V918" i="1"/>
  <c r="V919" i="1"/>
  <c r="V920" i="1"/>
  <c r="V921" i="1"/>
  <c r="V923" i="1"/>
  <c r="V924" i="1"/>
  <c r="V925" i="1"/>
  <c r="V926" i="1"/>
  <c r="V927" i="1"/>
  <c r="V928" i="1"/>
  <c r="V929" i="1"/>
  <c r="V931" i="1"/>
  <c r="V932" i="1"/>
  <c r="V933" i="1"/>
  <c r="V934" i="1"/>
  <c r="V935" i="1"/>
  <c r="V936" i="1"/>
  <c r="V937" i="1"/>
  <c r="V939" i="1"/>
  <c r="V940" i="1"/>
  <c r="V941" i="1"/>
  <c r="V942" i="1"/>
  <c r="V943" i="1"/>
  <c r="V944" i="1"/>
  <c r="V945" i="1"/>
  <c r="V947" i="1"/>
  <c r="V948" i="1"/>
  <c r="V949" i="1"/>
  <c r="V950" i="1"/>
  <c r="V951" i="1"/>
  <c r="V952" i="1"/>
  <c r="V953" i="1"/>
  <c r="V955" i="1"/>
  <c r="V956" i="1"/>
  <c r="V957" i="1"/>
  <c r="V958" i="1"/>
  <c r="V959" i="1"/>
  <c r="V960" i="1"/>
  <c r="V961" i="1"/>
  <c r="V963" i="1"/>
  <c r="V964" i="1"/>
  <c r="V965" i="1"/>
  <c r="V966" i="1"/>
  <c r="V967" i="1"/>
  <c r="V968" i="1"/>
  <c r="V969" i="1"/>
  <c r="V971" i="1"/>
  <c r="V972" i="1"/>
  <c r="V973" i="1"/>
  <c r="V974" i="1"/>
  <c r="V975" i="1"/>
  <c r="V976" i="1"/>
  <c r="V977" i="1"/>
  <c r="V979" i="1"/>
  <c r="V980" i="1"/>
  <c r="V981" i="1"/>
  <c r="V982" i="1"/>
  <c r="V983" i="1"/>
  <c r="V984" i="1"/>
  <c r="V985" i="1"/>
  <c r="V987" i="1"/>
  <c r="V988" i="1"/>
  <c r="V989" i="1"/>
  <c r="V990" i="1"/>
  <c r="V991" i="1"/>
  <c r="V992" i="1"/>
  <c r="V993" i="1"/>
  <c r="V995" i="1"/>
  <c r="V996" i="1"/>
  <c r="V997" i="1"/>
  <c r="V998" i="1"/>
  <c r="V999" i="1"/>
  <c r="V1000" i="1"/>
  <c r="V1001" i="1"/>
  <c r="V1003" i="1"/>
  <c r="V1004" i="1"/>
  <c r="V1005" i="1"/>
  <c r="V1006" i="1"/>
  <c r="V1007" i="1"/>
  <c r="V1008" i="1"/>
  <c r="V1009" i="1"/>
  <c r="V1011" i="1"/>
  <c r="V1012" i="1"/>
  <c r="V1013" i="1"/>
  <c r="V1014" i="1"/>
  <c r="V1015" i="1"/>
  <c r="V1016" i="1"/>
  <c r="V1017" i="1"/>
  <c r="V1019" i="1"/>
  <c r="V1020" i="1"/>
  <c r="V1021" i="1"/>
  <c r="V1022" i="1"/>
  <c r="V1023" i="1"/>
  <c r="V1024" i="1"/>
  <c r="V1025" i="1"/>
  <c r="V1027" i="1"/>
  <c r="V1028" i="1"/>
  <c r="V1029" i="1"/>
  <c r="V1030" i="1"/>
  <c r="V1031" i="1"/>
  <c r="V1032" i="1"/>
  <c r="V1033" i="1"/>
  <c r="V1035" i="1"/>
  <c r="V1036" i="1"/>
  <c r="V1037" i="1"/>
  <c r="V1038" i="1"/>
  <c r="V1039" i="1"/>
  <c r="V1040" i="1"/>
  <c r="V1041" i="1"/>
  <c r="V1043" i="1"/>
  <c r="V1044" i="1"/>
  <c r="V1045" i="1"/>
  <c r="V1046" i="1"/>
  <c r="V1047" i="1"/>
  <c r="V1048" i="1"/>
  <c r="V1049" i="1"/>
  <c r="V1051" i="1"/>
  <c r="V1052" i="1"/>
  <c r="V1053" i="1"/>
  <c r="V1054" i="1"/>
  <c r="V1055" i="1"/>
  <c r="V1056" i="1"/>
  <c r="V1057" i="1"/>
  <c r="V1059" i="1"/>
  <c r="V1060" i="1"/>
  <c r="V1061" i="1"/>
  <c r="V1062" i="1"/>
  <c r="V1063" i="1"/>
  <c r="V1064" i="1"/>
  <c r="V1065" i="1"/>
  <c r="V1067" i="1"/>
  <c r="V1068" i="1"/>
  <c r="V1069" i="1"/>
  <c r="V1070" i="1"/>
  <c r="V1071" i="1"/>
  <c r="V1072" i="1"/>
  <c r="V1073" i="1"/>
  <c r="V1075" i="1"/>
  <c r="V1076" i="1"/>
  <c r="V1077" i="1"/>
  <c r="V1078" i="1"/>
  <c r="V1079" i="1"/>
  <c r="V1080" i="1"/>
  <c r="V1081" i="1"/>
  <c r="V1083" i="1"/>
  <c r="V1084" i="1"/>
  <c r="V1085" i="1"/>
  <c r="V1086" i="1"/>
  <c r="V1087" i="1"/>
  <c r="V1088" i="1"/>
  <c r="V1089" i="1"/>
  <c r="V1091" i="1"/>
  <c r="V1092" i="1"/>
  <c r="V1093" i="1"/>
  <c r="V1094" i="1"/>
  <c r="V1095" i="1"/>
  <c r="V1096" i="1"/>
  <c r="V1097" i="1"/>
  <c r="V1099" i="1"/>
  <c r="V1100" i="1"/>
  <c r="V1101" i="1"/>
  <c r="V1102" i="1"/>
  <c r="V1103" i="1"/>
  <c r="V1104" i="1"/>
  <c r="V1105" i="1"/>
  <c r="V1107" i="1"/>
  <c r="V1108" i="1"/>
  <c r="V1109" i="1"/>
  <c r="V1110" i="1"/>
  <c r="V1111" i="1"/>
  <c r="V1112" i="1"/>
  <c r="V1113" i="1"/>
  <c r="V1115" i="1"/>
  <c r="V1116" i="1"/>
  <c r="V1117" i="1"/>
  <c r="V1118" i="1"/>
  <c r="V1119" i="1"/>
  <c r="V1120" i="1"/>
  <c r="V1121" i="1"/>
  <c r="V1123" i="1"/>
  <c r="V1124" i="1"/>
  <c r="V1125" i="1"/>
  <c r="V1126" i="1"/>
  <c r="V1127" i="1"/>
  <c r="V1128" i="1"/>
  <c r="V1129" i="1"/>
  <c r="V1131" i="1"/>
  <c r="V1132" i="1"/>
  <c r="V1133" i="1"/>
  <c r="V1134" i="1"/>
  <c r="V1135" i="1"/>
  <c r="V1136" i="1"/>
  <c r="V1137" i="1"/>
  <c r="V1139" i="1"/>
  <c r="V1140" i="1"/>
  <c r="V1141" i="1"/>
  <c r="V1142" i="1"/>
  <c r="V1143" i="1"/>
  <c r="V1144" i="1"/>
  <c r="V1145" i="1"/>
  <c r="V1147" i="1"/>
  <c r="V1148" i="1"/>
  <c r="V1149" i="1"/>
  <c r="V1150" i="1"/>
  <c r="V1151" i="1"/>
  <c r="V1152" i="1"/>
  <c r="V1153" i="1"/>
  <c r="V1155" i="1"/>
  <c r="V1156" i="1"/>
  <c r="V1157" i="1"/>
  <c r="V1158" i="1"/>
  <c r="V1159" i="1"/>
  <c r="V1160" i="1"/>
  <c r="V1161" i="1"/>
  <c r="V1163" i="1"/>
  <c r="V1164" i="1"/>
  <c r="V1165" i="1"/>
  <c r="V1166" i="1"/>
  <c r="V1167" i="1"/>
  <c r="V1168" i="1"/>
  <c r="V1169" i="1"/>
  <c r="V1171" i="1"/>
  <c r="V1172" i="1"/>
  <c r="V1173" i="1"/>
  <c r="V1174" i="1"/>
  <c r="V1175" i="1"/>
  <c r="V1176" i="1"/>
  <c r="V1177" i="1"/>
  <c r="V1179" i="1"/>
  <c r="V1180" i="1"/>
  <c r="V1181" i="1"/>
  <c r="V1182" i="1"/>
  <c r="V1183" i="1"/>
  <c r="V1184" i="1"/>
  <c r="V1185" i="1"/>
  <c r="V1187" i="1"/>
  <c r="V1188" i="1"/>
  <c r="V1189" i="1"/>
  <c r="V1190" i="1"/>
  <c r="V1191" i="1"/>
  <c r="V1192" i="1"/>
  <c r="V1193" i="1"/>
  <c r="V1195" i="1"/>
  <c r="V1196" i="1"/>
  <c r="V1197" i="1"/>
  <c r="V1198" i="1"/>
  <c r="V1199" i="1"/>
  <c r="V1200" i="1"/>
  <c r="V1201" i="1"/>
  <c r="V1203" i="1"/>
  <c r="V1204" i="1"/>
  <c r="V1205" i="1"/>
  <c r="V1206" i="1"/>
  <c r="V1207" i="1"/>
  <c r="V1208" i="1"/>
  <c r="V1209" i="1"/>
  <c r="V1211" i="1"/>
  <c r="V1212" i="1"/>
  <c r="V1213" i="1"/>
  <c r="V1214" i="1"/>
  <c r="V1215" i="1"/>
  <c r="V1216" i="1"/>
  <c r="V1217" i="1"/>
  <c r="V1219" i="1"/>
  <c r="V1220" i="1"/>
  <c r="V1221" i="1"/>
  <c r="V1222" i="1"/>
  <c r="V1223" i="1"/>
  <c r="V1224" i="1"/>
  <c r="V1225" i="1"/>
  <c r="V1227" i="1"/>
  <c r="V1228" i="1"/>
  <c r="V1229" i="1"/>
  <c r="V1230" i="1"/>
  <c r="V1231" i="1"/>
  <c r="V1232" i="1"/>
  <c r="V1233" i="1"/>
  <c r="V1235" i="1"/>
  <c r="V1236" i="1"/>
  <c r="V1237" i="1"/>
  <c r="V1238" i="1"/>
  <c r="V1239" i="1"/>
  <c r="V1240" i="1"/>
  <c r="V1241" i="1"/>
  <c r="V1243" i="1"/>
  <c r="V1244" i="1"/>
  <c r="V1245" i="1"/>
  <c r="V1246" i="1"/>
  <c r="V1247" i="1"/>
  <c r="V1248" i="1"/>
  <c r="V1249" i="1"/>
  <c r="V1251" i="1"/>
  <c r="V1252" i="1"/>
  <c r="V1253" i="1"/>
  <c r="V1254" i="1"/>
  <c r="V1255" i="1"/>
  <c r="V1256" i="1"/>
  <c r="V1257" i="1"/>
  <c r="V1259" i="1"/>
  <c r="V1260" i="1"/>
  <c r="V1261" i="1"/>
  <c r="V1262" i="1"/>
  <c r="V1263" i="1"/>
  <c r="V1264" i="1"/>
  <c r="V1265" i="1"/>
  <c r="V1267" i="1"/>
  <c r="V1268" i="1"/>
  <c r="V1269" i="1"/>
  <c r="V1270" i="1"/>
  <c r="V1271" i="1"/>
  <c r="V1272" i="1"/>
  <c r="V1273" i="1"/>
  <c r="V1275" i="1"/>
  <c r="V1276" i="1"/>
  <c r="V1277" i="1"/>
  <c r="V1278" i="1"/>
  <c r="V1279" i="1"/>
  <c r="V1280" i="1"/>
  <c r="V1281" i="1"/>
  <c r="V1283" i="1"/>
  <c r="V1284" i="1"/>
  <c r="V1285" i="1"/>
  <c r="V1286" i="1"/>
  <c r="V1287" i="1"/>
  <c r="V1288" i="1"/>
  <c r="V1289" i="1"/>
  <c r="V1291" i="1"/>
  <c r="V1292" i="1"/>
  <c r="V1293" i="1"/>
  <c r="V1294" i="1"/>
  <c r="V1295" i="1"/>
  <c r="V1296" i="1"/>
  <c r="V1297" i="1"/>
  <c r="V1299" i="1"/>
  <c r="V1300" i="1"/>
  <c r="V1301" i="1"/>
  <c r="V1302" i="1"/>
  <c r="V1303" i="1"/>
  <c r="V1304" i="1"/>
  <c r="V1305" i="1"/>
  <c r="V1307" i="1"/>
  <c r="V1308" i="1"/>
  <c r="V1309" i="1"/>
  <c r="V1310" i="1"/>
  <c r="V1311" i="1"/>
  <c r="V1312" i="1"/>
  <c r="V1313" i="1"/>
  <c r="V1315" i="1"/>
  <c r="V1316" i="1"/>
  <c r="V1317" i="1"/>
  <c r="V1318" i="1"/>
  <c r="V1319" i="1"/>
  <c r="V1320" i="1"/>
  <c r="V1321" i="1"/>
  <c r="V1323" i="1"/>
  <c r="V1324" i="1"/>
  <c r="V1325" i="1"/>
  <c r="V1326" i="1"/>
  <c r="V1327" i="1"/>
  <c r="V1328" i="1"/>
  <c r="V1329" i="1"/>
  <c r="V1331" i="1"/>
  <c r="V1332" i="1"/>
  <c r="V1333" i="1"/>
  <c r="V1334" i="1"/>
  <c r="V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2" i="1"/>
  <c r="N1181" i="1"/>
  <c r="N1334" i="1"/>
  <c r="N963" i="1"/>
  <c r="N558" i="1"/>
  <c r="N172" i="1"/>
  <c r="N557" i="1"/>
  <c r="N171" i="1"/>
  <c r="N962" i="1"/>
  <c r="N170" i="1"/>
  <c r="N859" i="1"/>
  <c r="N1122" i="1"/>
  <c r="N1333" i="1"/>
  <c r="N858" i="1"/>
  <c r="N961" i="1"/>
  <c r="N556" i="1"/>
  <c r="N1018" i="1"/>
  <c r="N555" i="1"/>
  <c r="N857" i="1"/>
  <c r="N856" i="1"/>
  <c r="N375" i="1"/>
  <c r="N960" i="1"/>
  <c r="N677" i="1"/>
  <c r="N1121" i="1"/>
  <c r="N676" i="1"/>
  <c r="N554" i="1"/>
  <c r="N374" i="1"/>
  <c r="N959" i="1"/>
  <c r="N553" i="1"/>
  <c r="N855" i="1"/>
  <c r="N854" i="1"/>
  <c r="N552" i="1"/>
  <c r="N1332" i="1"/>
  <c r="N1120" i="1"/>
  <c r="N169" i="1"/>
  <c r="N958" i="1"/>
  <c r="N1180" i="1"/>
  <c r="N1066" i="1"/>
  <c r="N1119" i="1"/>
  <c r="N551" i="1"/>
  <c r="N373" i="1"/>
  <c r="N957" i="1"/>
  <c r="N956" i="1"/>
  <c r="N550" i="1"/>
  <c r="N675" i="1"/>
  <c r="N1003" i="1"/>
  <c r="N168" i="1"/>
  <c r="N853" i="1"/>
  <c r="N167" i="1"/>
  <c r="N852" i="1"/>
  <c r="N851" i="1"/>
  <c r="N850" i="1"/>
  <c r="N955" i="1"/>
  <c r="N549" i="1"/>
  <c r="N849" i="1"/>
  <c r="N1002" i="1"/>
  <c r="N166" i="1"/>
  <c r="N165" i="1"/>
  <c r="N164" i="1"/>
  <c r="N1001" i="1"/>
  <c r="N1118" i="1"/>
  <c r="N1000" i="1"/>
  <c r="N1179" i="1"/>
  <c r="N548" i="1"/>
  <c r="N163" i="1"/>
  <c r="N848" i="1"/>
  <c r="N1331" i="1"/>
  <c r="N674" i="1"/>
  <c r="N1330" i="1"/>
  <c r="N847" i="1"/>
  <c r="N673" i="1"/>
  <c r="N846" i="1"/>
  <c r="N1329" i="1"/>
  <c r="N372" i="1"/>
  <c r="N371" i="1"/>
  <c r="N845" i="1"/>
  <c r="N370" i="1"/>
  <c r="N1328" i="1"/>
  <c r="N1327" i="1"/>
  <c r="N1326" i="1"/>
  <c r="N1065" i="1"/>
  <c r="N547" i="1"/>
  <c r="N999" i="1"/>
  <c r="N162" i="1"/>
  <c r="N1325" i="1"/>
  <c r="N1064" i="1"/>
  <c r="N546" i="1"/>
  <c r="N1063" i="1"/>
  <c r="N998" i="1"/>
  <c r="N545" i="1"/>
  <c r="N369" i="1"/>
  <c r="N191" i="1"/>
  <c r="N190" i="1"/>
  <c r="N544" i="1"/>
  <c r="N844" i="1"/>
  <c r="N1062" i="1"/>
  <c r="N368" i="1"/>
  <c r="N543" i="1"/>
  <c r="N672" i="1"/>
  <c r="N954" i="1"/>
  <c r="N843" i="1"/>
  <c r="N1178" i="1"/>
  <c r="N1117" i="1"/>
  <c r="N953" i="1"/>
  <c r="N842" i="1"/>
  <c r="N841" i="1"/>
  <c r="N1017" i="1"/>
  <c r="N542" i="1"/>
  <c r="N671" i="1"/>
  <c r="N161" i="1"/>
  <c r="N670" i="1"/>
  <c r="N1324" i="1"/>
  <c r="N669" i="1"/>
  <c r="N952" i="1"/>
  <c r="N1016" i="1"/>
  <c r="N541" i="1"/>
  <c r="N951" i="1"/>
  <c r="N1323" i="1"/>
  <c r="N668" i="1"/>
  <c r="N540" i="1"/>
  <c r="N539" i="1"/>
  <c r="N950" i="1"/>
  <c r="N538" i="1"/>
  <c r="N840" i="1"/>
  <c r="N1177" i="1"/>
  <c r="N997" i="1"/>
  <c r="N1322" i="1"/>
  <c r="N1116" i="1"/>
  <c r="N537" i="1"/>
  <c r="N1321" i="1"/>
  <c r="N1320" i="1"/>
  <c r="N536" i="1"/>
  <c r="N160" i="1"/>
  <c r="N367" i="1"/>
  <c r="N1319" i="1"/>
  <c r="N1188" i="1"/>
  <c r="N189" i="1"/>
  <c r="N839" i="1"/>
  <c r="N366" i="1"/>
  <c r="N1176" i="1"/>
  <c r="N1175" i="1"/>
  <c r="N188" i="1"/>
  <c r="N838" i="1"/>
  <c r="N535" i="1"/>
  <c r="N1115" i="1"/>
  <c r="N187" i="1"/>
  <c r="N837" i="1"/>
  <c r="N534" i="1"/>
  <c r="N836" i="1"/>
  <c r="N1061" i="1"/>
  <c r="N1114" i="1"/>
  <c r="N365" i="1"/>
  <c r="N667" i="1"/>
  <c r="N1318" i="1"/>
  <c r="N364" i="1"/>
  <c r="N835" i="1"/>
  <c r="N159" i="1"/>
  <c r="N158" i="1"/>
  <c r="N666" i="1"/>
  <c r="N533" i="1"/>
  <c r="N1060" i="1"/>
  <c r="N1317" i="1"/>
  <c r="N1113" i="1"/>
  <c r="N834" i="1"/>
  <c r="N833" i="1"/>
  <c r="N532" i="1"/>
  <c r="N1316" i="1"/>
  <c r="N363" i="1"/>
  <c r="N157" i="1"/>
  <c r="N156" i="1"/>
  <c r="N832" i="1"/>
  <c r="N831" i="1"/>
  <c r="N531" i="1"/>
  <c r="N1112" i="1"/>
  <c r="N530" i="1"/>
  <c r="N362" i="1"/>
  <c r="N361" i="1"/>
  <c r="N830" i="1"/>
  <c r="N529" i="1"/>
  <c r="N949" i="1"/>
  <c r="N528" i="1"/>
  <c r="N829" i="1"/>
  <c r="N948" i="1"/>
  <c r="N828" i="1"/>
  <c r="N665" i="1"/>
  <c r="N1111" i="1"/>
  <c r="N1174" i="1"/>
  <c r="N1315" i="1"/>
  <c r="N1314" i="1"/>
  <c r="N664" i="1"/>
  <c r="N360" i="1"/>
  <c r="N359" i="1"/>
  <c r="N1110" i="1"/>
  <c r="N663" i="1"/>
  <c r="N827" i="1"/>
  <c r="N947" i="1"/>
  <c r="N186" i="1"/>
  <c r="N946" i="1"/>
  <c r="N155" i="1"/>
  <c r="N154" i="1"/>
  <c r="N358" i="1"/>
  <c r="N826" i="1"/>
  <c r="N185" i="1"/>
  <c r="N1313" i="1"/>
  <c r="N527" i="1"/>
  <c r="N526" i="1"/>
  <c r="N945" i="1"/>
  <c r="N662" i="1"/>
  <c r="N525" i="1"/>
  <c r="N524" i="1"/>
  <c r="N661" i="1"/>
  <c r="N1312" i="1"/>
  <c r="N153" i="1"/>
  <c r="N660" i="1"/>
  <c r="N825" i="1"/>
  <c r="N1311" i="1"/>
  <c r="N824" i="1"/>
  <c r="N523" i="1"/>
  <c r="N823" i="1"/>
  <c r="N357" i="1"/>
  <c r="N659" i="1"/>
  <c r="N1310" i="1"/>
  <c r="N356" i="1"/>
  <c r="N522" i="1"/>
  <c r="N521" i="1"/>
  <c r="N1015" i="1"/>
  <c r="N152" i="1"/>
  <c r="N822" i="1"/>
  <c r="N355" i="1"/>
  <c r="N821" i="1"/>
  <c r="N1059" i="1"/>
  <c r="N520" i="1"/>
  <c r="N1109" i="1"/>
  <c r="N151" i="1"/>
  <c r="N658" i="1"/>
  <c r="N820" i="1"/>
  <c r="N150" i="1"/>
  <c r="N519" i="1"/>
  <c r="N657" i="1"/>
  <c r="N518" i="1"/>
  <c r="N149" i="1"/>
  <c r="N1058" i="1"/>
  <c r="N517" i="1"/>
  <c r="N354" i="1"/>
  <c r="N1108" i="1"/>
  <c r="N1173" i="1"/>
  <c r="N516" i="1"/>
  <c r="N944" i="1"/>
  <c r="N148" i="1"/>
  <c r="N353" i="1"/>
  <c r="N515" i="1"/>
  <c r="N352" i="1"/>
  <c r="N656" i="1"/>
  <c r="N514" i="1"/>
  <c r="N1057" i="1"/>
  <c r="N1309" i="1"/>
  <c r="N655" i="1"/>
  <c r="N654" i="1"/>
  <c r="N819" i="1"/>
  <c r="N147" i="1"/>
  <c r="N351" i="1"/>
  <c r="N818" i="1"/>
  <c r="N817" i="1"/>
  <c r="N1056" i="1"/>
  <c r="N1308" i="1"/>
  <c r="N350" i="1"/>
  <c r="N943" i="1"/>
  <c r="N816" i="1"/>
  <c r="N815" i="1"/>
  <c r="N996" i="1"/>
  <c r="N1307" i="1"/>
  <c r="N814" i="1"/>
  <c r="N813" i="1"/>
  <c r="N1014" i="1"/>
  <c r="N812" i="1"/>
  <c r="N184" i="1"/>
  <c r="N942" i="1"/>
  <c r="N653" i="1"/>
  <c r="N1306" i="1"/>
  <c r="N1172" i="1"/>
  <c r="N652" i="1"/>
  <c r="N1305" i="1"/>
  <c r="N1304" i="1"/>
  <c r="N811" i="1"/>
  <c r="N1055" i="1"/>
  <c r="N349" i="1"/>
  <c r="N146" i="1"/>
  <c r="N1107" i="1"/>
  <c r="N1106" i="1"/>
  <c r="N810" i="1"/>
  <c r="N651" i="1"/>
  <c r="N145" i="1"/>
  <c r="N650" i="1"/>
  <c r="N649" i="1"/>
  <c r="N809" i="1"/>
  <c r="N808" i="1"/>
  <c r="N144" i="1"/>
  <c r="N348" i="1"/>
  <c r="N995" i="1"/>
  <c r="N143" i="1"/>
  <c r="N648" i="1"/>
  <c r="N941" i="1"/>
  <c r="N142" i="1"/>
  <c r="N647" i="1"/>
  <c r="N646" i="1"/>
  <c r="N513" i="1"/>
  <c r="N645" i="1"/>
  <c r="N1171" i="1"/>
  <c r="N807" i="1"/>
  <c r="N806" i="1"/>
  <c r="N141" i="1"/>
  <c r="N940" i="1"/>
  <c r="N140" i="1"/>
  <c r="N139" i="1"/>
  <c r="N1170" i="1"/>
  <c r="N512" i="1"/>
  <c r="N939" i="1"/>
  <c r="N1303" i="1"/>
  <c r="N805" i="1"/>
  <c r="N938" i="1"/>
  <c r="N138" i="1"/>
  <c r="N347" i="1"/>
  <c r="N1054" i="1"/>
  <c r="N137" i="1"/>
  <c r="N644" i="1"/>
  <c r="N346" i="1"/>
  <c r="N1302" i="1"/>
  <c r="N937" i="1"/>
  <c r="N1105" i="1"/>
  <c r="N643" i="1"/>
  <c r="N345" i="1"/>
  <c r="N936" i="1"/>
  <c r="N344" i="1"/>
  <c r="N343" i="1"/>
  <c r="N511" i="1"/>
  <c r="N1301" i="1"/>
  <c r="N342" i="1"/>
  <c r="N510" i="1"/>
  <c r="N642" i="1"/>
  <c r="N509" i="1"/>
  <c r="N341" i="1"/>
  <c r="N508" i="1"/>
  <c r="N507" i="1"/>
  <c r="N506" i="1"/>
  <c r="N1053" i="1"/>
  <c r="N1300" i="1"/>
  <c r="N804" i="1"/>
  <c r="N1299" i="1"/>
  <c r="N340" i="1"/>
  <c r="N339" i="1"/>
  <c r="N935" i="1"/>
  <c r="N136" i="1"/>
  <c r="N803" i="1"/>
  <c r="N338" i="1"/>
  <c r="N183" i="1"/>
  <c r="N934" i="1"/>
  <c r="N135" i="1"/>
  <c r="N505" i="1"/>
  <c r="N134" i="1"/>
  <c r="N1169" i="1"/>
  <c r="N337" i="1"/>
  <c r="N336" i="1"/>
  <c r="N133" i="1"/>
  <c r="N802" i="1"/>
  <c r="N1104" i="1"/>
  <c r="N132" i="1"/>
  <c r="N641" i="1"/>
  <c r="N640" i="1"/>
  <c r="N131" i="1"/>
  <c r="N1298" i="1"/>
  <c r="N504" i="1"/>
  <c r="N503" i="1"/>
  <c r="N335" i="1"/>
  <c r="N1103" i="1"/>
  <c r="N801" i="1"/>
  <c r="N1102" i="1"/>
  <c r="N1101" i="1"/>
  <c r="N639" i="1"/>
  <c r="N638" i="1"/>
  <c r="N1297" i="1"/>
  <c r="N994" i="1"/>
  <c r="N1296" i="1"/>
  <c r="N800" i="1"/>
  <c r="N502" i="1"/>
  <c r="N1187" i="1"/>
  <c r="N501" i="1"/>
  <c r="N334" i="1"/>
  <c r="N933" i="1"/>
  <c r="N1295" i="1"/>
  <c r="N500" i="1"/>
  <c r="N932" i="1"/>
  <c r="N799" i="1"/>
  <c r="N499" i="1"/>
  <c r="N798" i="1"/>
  <c r="N931" i="1"/>
  <c r="N797" i="1"/>
  <c r="N796" i="1"/>
  <c r="N1168" i="1"/>
  <c r="N1100" i="1"/>
  <c r="N498" i="1"/>
  <c r="N930" i="1"/>
  <c r="N795" i="1"/>
  <c r="N637" i="1"/>
  <c r="N929" i="1"/>
  <c r="N333" i="1"/>
  <c r="N332" i="1"/>
  <c r="N1167" i="1"/>
  <c r="N331" i="1"/>
  <c r="N636" i="1"/>
  <c r="N182" i="1"/>
  <c r="N635" i="1"/>
  <c r="N1052" i="1"/>
  <c r="N794" i="1"/>
  <c r="N793" i="1"/>
  <c r="N181" i="1"/>
  <c r="N1013" i="1"/>
  <c r="N497" i="1"/>
  <c r="N1099" i="1"/>
  <c r="N330" i="1"/>
  <c r="N496" i="1"/>
  <c r="N993" i="1"/>
  <c r="N1098" i="1"/>
  <c r="N792" i="1"/>
  <c r="N329" i="1"/>
  <c r="N328" i="1"/>
  <c r="N1166" i="1"/>
  <c r="N495" i="1"/>
  <c r="N1294" i="1"/>
  <c r="N992" i="1"/>
  <c r="N327" i="1"/>
  <c r="N634" i="1"/>
  <c r="N1165" i="1"/>
  <c r="N1293" i="1"/>
  <c r="N1164" i="1"/>
  <c r="N991" i="1"/>
  <c r="N130" i="1"/>
  <c r="N791" i="1"/>
  <c r="N1163" i="1"/>
  <c r="N633" i="1"/>
  <c r="N1292" i="1"/>
  <c r="N494" i="1"/>
  <c r="N493" i="1"/>
  <c r="N928" i="1"/>
  <c r="N129" i="1"/>
  <c r="N790" i="1"/>
  <c r="N927" i="1"/>
  <c r="N492" i="1"/>
  <c r="N926" i="1"/>
  <c r="N1291" i="1"/>
  <c r="N128" i="1"/>
  <c r="N491" i="1"/>
  <c r="N326" i="1"/>
  <c r="N180" i="1"/>
  <c r="N325" i="1"/>
  <c r="N490" i="1"/>
  <c r="N1290" i="1"/>
  <c r="N489" i="1"/>
  <c r="N1097" i="1"/>
  <c r="N789" i="1"/>
  <c r="N1051" i="1"/>
  <c r="N632" i="1"/>
  <c r="N324" i="1"/>
  <c r="N127" i="1"/>
  <c r="N990" i="1"/>
  <c r="N323" i="1"/>
  <c r="N126" i="1"/>
  <c r="N631" i="1"/>
  <c r="N630" i="1"/>
  <c r="N488" i="1"/>
  <c r="N125" i="1"/>
  <c r="N322" i="1"/>
  <c r="N124" i="1"/>
  <c r="N123" i="1"/>
  <c r="N1289" i="1"/>
  <c r="N925" i="1"/>
  <c r="N1162" i="1"/>
  <c r="N122" i="1"/>
  <c r="N1288" i="1"/>
  <c r="N1096" i="1"/>
  <c r="N487" i="1"/>
  <c r="N321" i="1"/>
  <c r="N121" i="1"/>
  <c r="N629" i="1"/>
  <c r="N120" i="1"/>
  <c r="N1161" i="1"/>
  <c r="N486" i="1"/>
  <c r="N989" i="1"/>
  <c r="N485" i="1"/>
  <c r="N484" i="1"/>
  <c r="N788" i="1"/>
  <c r="N787" i="1"/>
  <c r="N320" i="1"/>
  <c r="N924" i="1"/>
  <c r="N1287" i="1"/>
  <c r="N119" i="1"/>
  <c r="N319" i="1"/>
  <c r="N923" i="1"/>
  <c r="N1095" i="1"/>
  <c r="N118" i="1"/>
  <c r="N988" i="1"/>
  <c r="N117" i="1"/>
  <c r="N628" i="1"/>
  <c r="N1286" i="1"/>
  <c r="N922" i="1"/>
  <c r="N627" i="1"/>
  <c r="N318" i="1"/>
  <c r="N116" i="1"/>
  <c r="N317" i="1"/>
  <c r="N1285" i="1"/>
  <c r="N483" i="1"/>
  <c r="N482" i="1"/>
  <c r="N786" i="1"/>
  <c r="N626" i="1"/>
  <c r="N115" i="1"/>
  <c r="N625" i="1"/>
  <c r="N1284" i="1"/>
  <c r="N316" i="1"/>
  <c r="N114" i="1"/>
  <c r="N785" i="1"/>
  <c r="N784" i="1"/>
  <c r="N921" i="1"/>
  <c r="N481" i="1"/>
  <c r="N783" i="1"/>
  <c r="N1050" i="1"/>
  <c r="N782" i="1"/>
  <c r="N1160" i="1"/>
  <c r="N920" i="1"/>
  <c r="N1049" i="1"/>
  <c r="N315" i="1"/>
  <c r="N781" i="1"/>
  <c r="N1283" i="1"/>
  <c r="N113" i="1"/>
  <c r="N112" i="1"/>
  <c r="N1282" i="1"/>
  <c r="N480" i="1"/>
  <c r="N314" i="1"/>
  <c r="N479" i="1"/>
  <c r="N919" i="1"/>
  <c r="N313" i="1"/>
  <c r="N1048" i="1"/>
  <c r="N780" i="1"/>
  <c r="N111" i="1"/>
  <c r="N1094" i="1"/>
  <c r="N624" i="1"/>
  <c r="N779" i="1"/>
  <c r="N778" i="1"/>
  <c r="N777" i="1"/>
  <c r="N918" i="1"/>
  <c r="N478" i="1"/>
  <c r="N477" i="1"/>
  <c r="N476" i="1"/>
  <c r="N776" i="1"/>
  <c r="N312" i="1"/>
  <c r="N1281" i="1"/>
  <c r="N1280" i="1"/>
  <c r="N917" i="1"/>
  <c r="N311" i="1"/>
  <c r="N1047" i="1"/>
  <c r="N179" i="1"/>
  <c r="N1279" i="1"/>
  <c r="N1278" i="1"/>
  <c r="N1277" i="1"/>
  <c r="N110" i="1"/>
  <c r="N475" i="1"/>
  <c r="N623" i="1"/>
  <c r="N1093" i="1"/>
  <c r="N775" i="1"/>
  <c r="N109" i="1"/>
  <c r="N310" i="1"/>
  <c r="N1276" i="1"/>
  <c r="N108" i="1"/>
  <c r="N309" i="1"/>
  <c r="N774" i="1"/>
  <c r="N773" i="1"/>
  <c r="N107" i="1"/>
  <c r="N106" i="1"/>
  <c r="N1275" i="1"/>
  <c r="N772" i="1"/>
  <c r="N771" i="1"/>
  <c r="N1159" i="1"/>
  <c r="N308" i="1"/>
  <c r="N105" i="1"/>
  <c r="N1274" i="1"/>
  <c r="N1273" i="1"/>
  <c r="N770" i="1"/>
  <c r="N1158" i="1"/>
  <c r="N769" i="1"/>
  <c r="N307" i="1"/>
  <c r="N306" i="1"/>
  <c r="N305" i="1"/>
  <c r="N474" i="1"/>
  <c r="N916" i="1"/>
  <c r="N304" i="1"/>
  <c r="N768" i="1"/>
  <c r="N1272" i="1"/>
  <c r="N303" i="1"/>
  <c r="N767" i="1"/>
  <c r="N915" i="1"/>
  <c r="N104" i="1"/>
  <c r="N914" i="1"/>
  <c r="N1271" i="1"/>
  <c r="N103" i="1"/>
  <c r="N473" i="1"/>
  <c r="N1270" i="1"/>
  <c r="N1092" i="1"/>
  <c r="N102" i="1"/>
  <c r="N1046" i="1"/>
  <c r="N472" i="1"/>
  <c r="N1045" i="1"/>
  <c r="N987" i="1"/>
  <c r="N766" i="1"/>
  <c r="N471" i="1"/>
  <c r="N622" i="1"/>
  <c r="N913" i="1"/>
  <c r="N470" i="1"/>
  <c r="N1269" i="1"/>
  <c r="N302" i="1"/>
  <c r="N1091" i="1"/>
  <c r="N621" i="1"/>
  <c r="N101" i="1"/>
  <c r="N100" i="1"/>
  <c r="N765" i="1"/>
  <c r="N1268" i="1"/>
  <c r="N1090" i="1"/>
  <c r="N301" i="1"/>
  <c r="N469" i="1"/>
  <c r="N1267" i="1"/>
  <c r="N468" i="1"/>
  <c r="N912" i="1"/>
  <c r="N467" i="1"/>
  <c r="N300" i="1"/>
  <c r="N299" i="1"/>
  <c r="N298" i="1"/>
  <c r="N1266" i="1"/>
  <c r="N1265" i="1"/>
  <c r="N620" i="1"/>
  <c r="N297" i="1"/>
  <c r="N986" i="1"/>
  <c r="N911" i="1"/>
  <c r="N296" i="1"/>
  <c r="N764" i="1"/>
  <c r="N99" i="1"/>
  <c r="N1157" i="1"/>
  <c r="N466" i="1"/>
  <c r="N910" i="1"/>
  <c r="N98" i="1"/>
  <c r="N763" i="1"/>
  <c r="N295" i="1"/>
  <c r="N762" i="1"/>
  <c r="N1264" i="1"/>
  <c r="N761" i="1"/>
  <c r="N1012" i="1"/>
  <c r="N1263" i="1"/>
  <c r="N1044" i="1"/>
  <c r="N465" i="1"/>
  <c r="N1043" i="1"/>
  <c r="N760" i="1"/>
  <c r="N294" i="1"/>
  <c r="N759" i="1"/>
  <c r="N619" i="1"/>
  <c r="N1262" i="1"/>
  <c r="N293" i="1"/>
  <c r="N1011" i="1"/>
  <c r="N292" i="1"/>
  <c r="N758" i="1"/>
  <c r="N291" i="1"/>
  <c r="N97" i="1"/>
  <c r="N1261" i="1"/>
  <c r="N757" i="1"/>
  <c r="N1260" i="1"/>
  <c r="N909" i="1"/>
  <c r="N96" i="1"/>
  <c r="N464" i="1"/>
  <c r="N290" i="1"/>
  <c r="N95" i="1"/>
  <c r="N463" i="1"/>
  <c r="N1089" i="1"/>
  <c r="N756" i="1"/>
  <c r="N462" i="1"/>
  <c r="N94" i="1"/>
  <c r="N1088" i="1"/>
  <c r="N755" i="1"/>
  <c r="N618" i="1"/>
  <c r="N1042" i="1"/>
  <c r="N1156" i="1"/>
  <c r="N1087" i="1"/>
  <c r="N289" i="1"/>
  <c r="N617" i="1"/>
  <c r="N461" i="1"/>
  <c r="N908" i="1"/>
  <c r="N754" i="1"/>
  <c r="N460" i="1"/>
  <c r="N288" i="1"/>
  <c r="N907" i="1"/>
  <c r="N753" i="1"/>
  <c r="N616" i="1"/>
  <c r="N615" i="1"/>
  <c r="N1259" i="1"/>
  <c r="N93" i="1"/>
  <c r="N1155" i="1"/>
  <c r="N1258" i="1"/>
  <c r="N92" i="1"/>
  <c r="N287" i="1"/>
  <c r="N459" i="1"/>
  <c r="N614" i="1"/>
  <c r="N1154" i="1"/>
  <c r="N985" i="1"/>
  <c r="N458" i="1"/>
  <c r="N752" i="1"/>
  <c r="N613" i="1"/>
  <c r="N286" i="1"/>
  <c r="N457" i="1"/>
  <c r="N906" i="1"/>
  <c r="N905" i="1"/>
  <c r="N285" i="1"/>
  <c r="N751" i="1"/>
  <c r="N456" i="1"/>
  <c r="N1153" i="1"/>
  <c r="N455" i="1"/>
  <c r="N454" i="1"/>
  <c r="N453" i="1"/>
  <c r="N452" i="1"/>
  <c r="N284" i="1"/>
  <c r="N1041" i="1"/>
  <c r="N283" i="1"/>
  <c r="N1086" i="1"/>
  <c r="N91" i="1"/>
  <c r="N178" i="1"/>
  <c r="N750" i="1"/>
  <c r="N1152" i="1"/>
  <c r="N451" i="1"/>
  <c r="N612" i="1"/>
  <c r="N90" i="1"/>
  <c r="N1257" i="1"/>
  <c r="N89" i="1"/>
  <c r="N88" i="1"/>
  <c r="N87" i="1"/>
  <c r="N904" i="1"/>
  <c r="N611" i="1"/>
  <c r="N749" i="1"/>
  <c r="N1040" i="1"/>
  <c r="N610" i="1"/>
  <c r="N282" i="1"/>
  <c r="N748" i="1"/>
  <c r="N86" i="1"/>
  <c r="N747" i="1"/>
  <c r="N85" i="1"/>
  <c r="N84" i="1"/>
  <c r="N1039" i="1"/>
  <c r="N281" i="1"/>
  <c r="N746" i="1"/>
  <c r="N280" i="1"/>
  <c r="N1151" i="1"/>
  <c r="N279" i="1"/>
  <c r="N1256" i="1"/>
  <c r="N1255" i="1"/>
  <c r="N450" i="1"/>
  <c r="N1254" i="1"/>
  <c r="N903" i="1"/>
  <c r="N449" i="1"/>
  <c r="N902" i="1"/>
  <c r="N83" i="1"/>
  <c r="N1253" i="1"/>
  <c r="N609" i="1"/>
  <c r="N278" i="1"/>
  <c r="N608" i="1"/>
  <c r="N607" i="1"/>
  <c r="N1252" i="1"/>
  <c r="N82" i="1"/>
  <c r="N1251" i="1"/>
  <c r="N984" i="1"/>
  <c r="N606" i="1"/>
  <c r="N277" i="1"/>
  <c r="N1085" i="1"/>
  <c r="N177" i="1"/>
  <c r="N448" i="1"/>
  <c r="N276" i="1"/>
  <c r="N1150" i="1"/>
  <c r="N1149" i="1"/>
  <c r="N901" i="1"/>
  <c r="N605" i="1"/>
  <c r="N604" i="1"/>
  <c r="N603" i="1"/>
  <c r="N275" i="1"/>
  <c r="N1250" i="1"/>
  <c r="N602" i="1"/>
  <c r="N81" i="1"/>
  <c r="N80" i="1"/>
  <c r="N1249" i="1"/>
  <c r="N447" i="1"/>
  <c r="N745" i="1"/>
  <c r="N1148" i="1"/>
  <c r="N274" i="1"/>
  <c r="N79" i="1"/>
  <c r="N1248" i="1"/>
  <c r="N273" i="1"/>
  <c r="N983" i="1"/>
  <c r="N601" i="1"/>
  <c r="N744" i="1"/>
  <c r="N900" i="1"/>
  <c r="N743" i="1"/>
  <c r="N742" i="1"/>
  <c r="N1084" i="1"/>
  <c r="N78" i="1"/>
  <c r="N77" i="1"/>
  <c r="N899" i="1"/>
  <c r="N1247" i="1"/>
  <c r="N600" i="1"/>
  <c r="N1038" i="1"/>
  <c r="N446" i="1"/>
  <c r="N272" i="1"/>
  <c r="N445" i="1"/>
  <c r="N1147" i="1"/>
  <c r="N1146" i="1"/>
  <c r="N444" i="1"/>
  <c r="N443" i="1"/>
  <c r="N599" i="1"/>
  <c r="N271" i="1"/>
  <c r="N982" i="1"/>
  <c r="N270" i="1"/>
  <c r="N269" i="1"/>
  <c r="N268" i="1"/>
  <c r="N741" i="1"/>
  <c r="N598" i="1"/>
  <c r="N76" i="1"/>
  <c r="N1246" i="1"/>
  <c r="N1145" i="1"/>
  <c r="N597" i="1"/>
  <c r="N1245" i="1"/>
  <c r="N1244" i="1"/>
  <c r="N75" i="1"/>
  <c r="N442" i="1"/>
  <c r="N1243" i="1"/>
  <c r="N1010" i="1"/>
  <c r="N596" i="1"/>
  <c r="N595" i="1"/>
  <c r="N74" i="1"/>
  <c r="N594" i="1"/>
  <c r="N981" i="1"/>
  <c r="N593" i="1"/>
  <c r="N1037" i="1"/>
  <c r="N1036" i="1"/>
  <c r="N740" i="1"/>
  <c r="N1083" i="1"/>
  <c r="N1242" i="1"/>
  <c r="N441" i="1"/>
  <c r="N592" i="1"/>
  <c r="N739" i="1"/>
  <c r="N738" i="1"/>
  <c r="N73" i="1"/>
  <c r="N72" i="1"/>
  <c r="N71" i="1"/>
  <c r="N70" i="1"/>
  <c r="N737" i="1"/>
  <c r="N440" i="1"/>
  <c r="N1241" i="1"/>
  <c r="N980" i="1"/>
  <c r="N1240" i="1"/>
  <c r="N267" i="1"/>
  <c r="N1239" i="1"/>
  <c r="N266" i="1"/>
  <c r="N69" i="1"/>
  <c r="N68" i="1"/>
  <c r="N736" i="1"/>
  <c r="N439" i="1"/>
  <c r="N1035" i="1"/>
  <c r="N1238" i="1"/>
  <c r="N438" i="1"/>
  <c r="N67" i="1"/>
  <c r="N1144" i="1"/>
  <c r="N735" i="1"/>
  <c r="N437" i="1"/>
  <c r="N1237" i="1"/>
  <c r="N66" i="1"/>
  <c r="N436" i="1"/>
  <c r="N898" i="1"/>
  <c r="N1236" i="1"/>
  <c r="N265" i="1"/>
  <c r="N264" i="1"/>
  <c r="N435" i="1"/>
  <c r="N1034" i="1"/>
  <c r="N979" i="1"/>
  <c r="N1235" i="1"/>
  <c r="N65" i="1"/>
  <c r="N263" i="1"/>
  <c r="N734" i="1"/>
  <c r="N1033" i="1"/>
  <c r="N591" i="1"/>
  <c r="N64" i="1"/>
  <c r="N262" i="1"/>
  <c r="N590" i="1"/>
  <c r="N978" i="1"/>
  <c r="N434" i="1"/>
  <c r="N433" i="1"/>
  <c r="N63" i="1"/>
  <c r="N432" i="1"/>
  <c r="N589" i="1"/>
  <c r="N261" i="1"/>
  <c r="N62" i="1"/>
  <c r="N260" i="1"/>
  <c r="N1082" i="1"/>
  <c r="N61" i="1"/>
  <c r="N733" i="1"/>
  <c r="N1186" i="1"/>
  <c r="N431" i="1"/>
  <c r="N1234" i="1"/>
  <c r="N430" i="1"/>
  <c r="N732" i="1"/>
  <c r="N977" i="1"/>
  <c r="N259" i="1"/>
  <c r="N1233" i="1"/>
  <c r="N60" i="1"/>
  <c r="N258" i="1"/>
  <c r="N731" i="1"/>
  <c r="N59" i="1"/>
  <c r="N429" i="1"/>
  <c r="N428" i="1"/>
  <c r="N257" i="1"/>
  <c r="N1081" i="1"/>
  <c r="N1232" i="1"/>
  <c r="N1143" i="1"/>
  <c r="N427" i="1"/>
  <c r="N1142" i="1"/>
  <c r="N1009" i="1"/>
  <c r="N897" i="1"/>
  <c r="N1231" i="1"/>
  <c r="N58" i="1"/>
  <c r="N896" i="1"/>
  <c r="N256" i="1"/>
  <c r="N426" i="1"/>
  <c r="N1008" i="1"/>
  <c r="N1230" i="1"/>
  <c r="N425" i="1"/>
  <c r="N895" i="1"/>
  <c r="N894" i="1"/>
  <c r="N1080" i="1"/>
  <c r="N57" i="1"/>
  <c r="N976" i="1"/>
  <c r="N1032" i="1"/>
  <c r="N1031" i="1"/>
  <c r="N1229" i="1"/>
  <c r="N893" i="1"/>
  <c r="N1079" i="1"/>
  <c r="N730" i="1"/>
  <c r="N1228" i="1"/>
  <c r="N424" i="1"/>
  <c r="N975" i="1"/>
  <c r="N974" i="1"/>
  <c r="N892" i="1"/>
  <c r="N1227" i="1"/>
  <c r="N1141" i="1"/>
  <c r="N1226" i="1"/>
  <c r="N56" i="1"/>
  <c r="N55" i="1"/>
  <c r="N1225" i="1"/>
  <c r="N54" i="1"/>
  <c r="N53" i="1"/>
  <c r="N255" i="1"/>
  <c r="N52" i="1"/>
  <c r="N973" i="1"/>
  <c r="N51" i="1"/>
  <c r="N423" i="1"/>
  <c r="N1030" i="1"/>
  <c r="N729" i="1"/>
  <c r="N422" i="1"/>
  <c r="N891" i="1"/>
  <c r="N728" i="1"/>
  <c r="N421" i="1"/>
  <c r="N1224" i="1"/>
  <c r="N1078" i="1"/>
  <c r="N1223" i="1"/>
  <c r="N588" i="1"/>
  <c r="N420" i="1"/>
  <c r="N50" i="1"/>
  <c r="N1140" i="1"/>
  <c r="N49" i="1"/>
  <c r="N890" i="1"/>
  <c r="N254" i="1"/>
  <c r="N253" i="1"/>
  <c r="N889" i="1"/>
  <c r="N587" i="1"/>
  <c r="N48" i="1"/>
  <c r="N176" i="1"/>
  <c r="N252" i="1"/>
  <c r="N1077" i="1"/>
  <c r="N1222" i="1"/>
  <c r="N251" i="1"/>
  <c r="N419" i="1"/>
  <c r="N888" i="1"/>
  <c r="N586" i="1"/>
  <c r="N887" i="1"/>
  <c r="N727" i="1"/>
  <c r="N1221" i="1"/>
  <c r="N886" i="1"/>
  <c r="N250" i="1"/>
  <c r="N47" i="1"/>
  <c r="N418" i="1"/>
  <c r="N249" i="1"/>
  <c r="N1220" i="1"/>
  <c r="N585" i="1"/>
  <c r="N46" i="1"/>
  <c r="N248" i="1"/>
  <c r="N247" i="1"/>
  <c r="N45" i="1"/>
  <c r="N726" i="1"/>
  <c r="N725" i="1"/>
  <c r="N44" i="1"/>
  <c r="N246" i="1"/>
  <c r="N1185" i="1"/>
  <c r="N1139" i="1"/>
  <c r="N584" i="1"/>
  <c r="N583" i="1"/>
  <c r="N582" i="1"/>
  <c r="N245" i="1"/>
  <c r="N43" i="1"/>
  <c r="N1184" i="1"/>
  <c r="N244" i="1"/>
  <c r="N243" i="1"/>
  <c r="N242" i="1"/>
  <c r="N972" i="1"/>
  <c r="N581" i="1"/>
  <c r="N417" i="1"/>
  <c r="N241" i="1"/>
  <c r="N416" i="1"/>
  <c r="N580" i="1"/>
  <c r="N415" i="1"/>
  <c r="N240" i="1"/>
  <c r="N724" i="1"/>
  <c r="N579" i="1"/>
  <c r="N414" i="1"/>
  <c r="N885" i="1"/>
  <c r="N1219" i="1"/>
  <c r="N578" i="1"/>
  <c r="N1218" i="1"/>
  <c r="N971" i="1"/>
  <c r="N1217" i="1"/>
  <c r="N577" i="1"/>
  <c r="N1216" i="1"/>
  <c r="N723" i="1"/>
  <c r="N970" i="1"/>
  <c r="N722" i="1"/>
  <c r="N1215" i="1"/>
  <c r="N1214" i="1"/>
  <c r="N1138" i="1"/>
  <c r="N239" i="1"/>
  <c r="N413" i="1"/>
  <c r="N884" i="1"/>
  <c r="N969" i="1"/>
  <c r="N238" i="1"/>
  <c r="N412" i="1"/>
  <c r="N237" i="1"/>
  <c r="N721" i="1"/>
  <c r="N236" i="1"/>
  <c r="N411" i="1"/>
  <c r="N235" i="1"/>
  <c r="N234" i="1"/>
  <c r="N883" i="1"/>
  <c r="N968" i="1"/>
  <c r="N882" i="1"/>
  <c r="N410" i="1"/>
  <c r="N720" i="1"/>
  <c r="N233" i="1"/>
  <c r="N409" i="1"/>
  <c r="N576" i="1"/>
  <c r="N42" i="1"/>
  <c r="N1007" i="1"/>
  <c r="N719" i="1"/>
  <c r="N1029" i="1"/>
  <c r="N175" i="1"/>
  <c r="N232" i="1"/>
  <c r="N1076" i="1"/>
  <c r="N575" i="1"/>
  <c r="N408" i="1"/>
  <c r="N1213" i="1"/>
  <c r="N718" i="1"/>
  <c r="N574" i="1"/>
  <c r="N717" i="1"/>
  <c r="N716" i="1"/>
  <c r="N1212" i="1"/>
  <c r="N1211" i="1"/>
  <c r="N41" i="1"/>
  <c r="N407" i="1"/>
  <c r="N573" i="1"/>
  <c r="N715" i="1"/>
  <c r="N40" i="1"/>
  <c r="N39" i="1"/>
  <c r="N1210" i="1"/>
  <c r="N38" i="1"/>
  <c r="N37" i="1"/>
  <c r="N36" i="1"/>
  <c r="N881" i="1"/>
  <c r="N406" i="1"/>
  <c r="N35" i="1"/>
  <c r="N714" i="1"/>
  <c r="N713" i="1"/>
  <c r="N34" i="1"/>
  <c r="N1209" i="1"/>
  <c r="N231" i="1"/>
  <c r="N572" i="1"/>
  <c r="N405" i="1"/>
  <c r="N404" i="1"/>
  <c r="N230" i="1"/>
  <c r="N1075" i="1"/>
  <c r="N1074" i="1"/>
  <c r="N229" i="1"/>
  <c r="N228" i="1"/>
  <c r="N227" i="1"/>
  <c r="N712" i="1"/>
  <c r="N174" i="1"/>
  <c r="N1208" i="1"/>
  <c r="N571" i="1"/>
  <c r="N1207" i="1"/>
  <c r="N1206" i="1"/>
  <c r="N711" i="1"/>
  <c r="N1137" i="1"/>
  <c r="N1205" i="1"/>
  <c r="N226" i="1"/>
  <c r="N880" i="1"/>
  <c r="N1183" i="1"/>
  <c r="N1204" i="1"/>
  <c r="N879" i="1"/>
  <c r="N710" i="1"/>
  <c r="N225" i="1"/>
  <c r="N570" i="1"/>
  <c r="N33" i="1"/>
  <c r="N1073" i="1"/>
  <c r="N403" i="1"/>
  <c r="N32" i="1"/>
  <c r="N1072" i="1"/>
  <c r="N569" i="1"/>
  <c r="N224" i="1"/>
  <c r="N1203" i="1"/>
  <c r="N568" i="1"/>
  <c r="N709" i="1"/>
  <c r="N402" i="1"/>
  <c r="N223" i="1"/>
  <c r="N401" i="1"/>
  <c r="N708" i="1"/>
  <c r="N1202" i="1"/>
  <c r="N1201" i="1"/>
  <c r="N707" i="1"/>
  <c r="N1200" i="1"/>
  <c r="N706" i="1"/>
  <c r="N705" i="1"/>
  <c r="N1006" i="1"/>
  <c r="N878" i="1"/>
  <c r="N222" i="1"/>
  <c r="N221" i="1"/>
  <c r="N220" i="1"/>
  <c r="N31" i="1"/>
  <c r="N219" i="1"/>
  <c r="N1136" i="1"/>
  <c r="N400" i="1"/>
  <c r="N1199" i="1"/>
  <c r="N967" i="1"/>
  <c r="N1135" i="1"/>
  <c r="N704" i="1"/>
  <c r="N30" i="1"/>
  <c r="N877" i="1"/>
  <c r="N29" i="1"/>
  <c r="N1198" i="1"/>
  <c r="N399" i="1"/>
  <c r="N398" i="1"/>
  <c r="N397" i="1"/>
  <c r="N218" i="1"/>
  <c r="N703" i="1"/>
  <c r="N876" i="1"/>
  <c r="N702" i="1"/>
  <c r="N396" i="1"/>
  <c r="N1028" i="1"/>
  <c r="N1134" i="1"/>
  <c r="N1133" i="1"/>
  <c r="N395" i="1"/>
  <c r="N1027" i="1"/>
  <c r="N28" i="1"/>
  <c r="N27" i="1"/>
  <c r="N1197" i="1"/>
  <c r="N701" i="1"/>
  <c r="N217" i="1"/>
  <c r="N875" i="1"/>
  <c r="N216" i="1"/>
  <c r="N700" i="1"/>
  <c r="N215" i="1"/>
  <c r="N394" i="1"/>
  <c r="N567" i="1"/>
  <c r="N1026" i="1"/>
  <c r="N1196" i="1"/>
  <c r="N874" i="1"/>
  <c r="N26" i="1"/>
  <c r="N1071" i="1"/>
  <c r="N393" i="1"/>
  <c r="N214" i="1"/>
  <c r="N213" i="1"/>
  <c r="N25" i="1"/>
  <c r="N1132" i="1"/>
  <c r="N1131" i="1"/>
  <c r="N212" i="1"/>
  <c r="N24" i="1"/>
  <c r="N23" i="1"/>
  <c r="N22" i="1"/>
  <c r="N699" i="1"/>
  <c r="N392" i="1"/>
  <c r="N1130" i="1"/>
  <c r="N173" i="1"/>
  <c r="N698" i="1"/>
  <c r="N21" i="1"/>
  <c r="N873" i="1"/>
  <c r="N20" i="1"/>
  <c r="N1005" i="1"/>
  <c r="N1129" i="1"/>
  <c r="N872" i="1"/>
  <c r="N211" i="1"/>
  <c r="N391" i="1"/>
  <c r="N19" i="1"/>
  <c r="N18" i="1"/>
  <c r="N697" i="1"/>
  <c r="N210" i="1"/>
  <c r="N696" i="1"/>
  <c r="N1025" i="1"/>
  <c r="N1195" i="1"/>
  <c r="N390" i="1"/>
  <c r="N966" i="1"/>
  <c r="N695" i="1"/>
  <c r="N694" i="1"/>
  <c r="N17" i="1"/>
  <c r="N389" i="1"/>
  <c r="N566" i="1"/>
  <c r="N388" i="1"/>
  <c r="N1128" i="1"/>
  <c r="N16" i="1"/>
  <c r="N15" i="1"/>
  <c r="N693" i="1"/>
  <c r="N871" i="1"/>
  <c r="N1070" i="1"/>
  <c r="N1182" i="1"/>
  <c r="N1024" i="1"/>
  <c r="N565" i="1"/>
  <c r="N1023" i="1"/>
  <c r="N1022" i="1"/>
  <c r="N14" i="1"/>
  <c r="N13" i="1"/>
  <c r="N12" i="1"/>
  <c r="N209" i="1"/>
  <c r="N564" i="1"/>
  <c r="N208" i="1"/>
  <c r="N207" i="1"/>
  <c r="N563" i="1"/>
  <c r="N692" i="1"/>
  <c r="N562" i="1"/>
  <c r="N11" i="1"/>
  <c r="N387" i="1"/>
  <c r="N10" i="1"/>
  <c r="N206" i="1"/>
  <c r="N9" i="1"/>
  <c r="N8" i="1"/>
  <c r="N205" i="1"/>
  <c r="N691" i="1"/>
  <c r="N1194" i="1"/>
  <c r="N1127" i="1"/>
  <c r="N204" i="1"/>
  <c r="N7" i="1"/>
  <c r="N690" i="1"/>
  <c r="N203" i="1"/>
  <c r="N1069" i="1"/>
  <c r="N1021" i="1"/>
  <c r="N1193" i="1"/>
  <c r="N689" i="1"/>
  <c r="N870" i="1"/>
  <c r="N6" i="1"/>
  <c r="N202" i="1"/>
  <c r="N688" i="1"/>
  <c r="N869" i="1"/>
  <c r="N687" i="1"/>
  <c r="N201" i="1"/>
  <c r="N868" i="1"/>
  <c r="N1192" i="1"/>
  <c r="N386" i="1"/>
  <c r="N1191" i="1"/>
  <c r="N965" i="1"/>
  <c r="N200" i="1"/>
  <c r="N686" i="1"/>
  <c r="N561" i="1"/>
  <c r="N685" i="1"/>
  <c r="N385" i="1"/>
  <c r="N1190" i="1"/>
  <c r="N1020" i="1"/>
  <c r="N384" i="1"/>
  <c r="N1068" i="1"/>
  <c r="N560" i="1"/>
  <c r="N383" i="1"/>
  <c r="N5" i="1"/>
  <c r="N684" i="1"/>
  <c r="N199" i="1"/>
  <c r="N198" i="1"/>
  <c r="N197" i="1"/>
  <c r="N1126" i="1"/>
  <c r="N382" i="1"/>
  <c r="N1189" i="1"/>
  <c r="N196" i="1"/>
  <c r="N683" i="1"/>
  <c r="N4" i="1"/>
  <c r="N867" i="1"/>
  <c r="N682" i="1"/>
  <c r="N866" i="1"/>
  <c r="N865" i="1"/>
  <c r="N681" i="1"/>
  <c r="N1019" i="1"/>
  <c r="N381" i="1"/>
  <c r="N964" i="1"/>
  <c r="N195" i="1"/>
  <c r="N680" i="1"/>
  <c r="N864" i="1"/>
  <c r="N1125" i="1"/>
  <c r="N380" i="1"/>
  <c r="N379" i="1"/>
  <c r="N194" i="1"/>
  <c r="N1124" i="1"/>
  <c r="N863" i="1"/>
  <c r="N862" i="1"/>
  <c r="N861" i="1"/>
  <c r="N1004" i="1"/>
  <c r="N3" i="1"/>
  <c r="N193" i="1"/>
  <c r="N1067" i="1"/>
  <c r="N679" i="1"/>
  <c r="N378" i="1"/>
  <c r="N377" i="1"/>
  <c r="N2" i="1"/>
  <c r="N678" i="1"/>
  <c r="N559" i="1"/>
  <c r="N192" i="1"/>
  <c r="N1123" i="1"/>
  <c r="N376" i="1"/>
  <c r="N860" i="1"/>
  <c r="O27" i="1" l="1"/>
  <c r="P29" i="1" a="1"/>
  <c r="P29" i="1" s="1"/>
  <c r="P27" i="1" a="1"/>
  <c r="P27" i="1" s="1"/>
  <c r="P23" i="1" a="1"/>
  <c r="P23" i="1" s="1"/>
  <c r="P25" i="1" a="1"/>
  <c r="P25" i="1" s="1"/>
  <c r="P11" i="1" a="1"/>
  <c r="P11" i="1" s="1"/>
  <c r="P17" i="1" a="1"/>
  <c r="P17" i="1" s="1"/>
  <c r="P19" i="1" a="1"/>
  <c r="P19" i="1" s="1"/>
  <c r="P9" i="1" a="1"/>
  <c r="P9" i="1" s="1"/>
  <c r="P7" i="1" a="1"/>
  <c r="P7" i="1" s="1"/>
  <c r="P13" i="1" a="1"/>
  <c r="P13" i="1" s="1"/>
  <c r="P21" i="1" a="1"/>
  <c r="P21" i="1" s="1"/>
  <c r="P15" i="1" a="1"/>
  <c r="P15" i="1" s="1"/>
  <c r="P31" i="1" a="1"/>
  <c r="P31" i="1" s="1"/>
  <c r="P5" i="1" a="1"/>
  <c r="P5" i="1" s="1"/>
  <c r="J2" i="1"/>
  <c r="X2" i="1" s="1"/>
  <c r="J1334" i="1"/>
  <c r="X1334" i="1" s="1"/>
  <c r="J1326" i="1"/>
  <c r="L1326" i="1" s="1"/>
  <c r="J1318" i="1"/>
  <c r="X1318" i="1" s="1"/>
  <c r="AL1318" i="1" s="1"/>
  <c r="J1310" i="1"/>
  <c r="X1310" i="1" s="1"/>
  <c r="AL1310" i="1" s="1"/>
  <c r="J1302" i="1"/>
  <c r="X1302" i="1" s="1"/>
  <c r="AL1302" i="1" s="1"/>
  <c r="J1294" i="1"/>
  <c r="X1294" i="1" s="1"/>
  <c r="AL1294" i="1" s="1"/>
  <c r="J1286" i="1"/>
  <c r="X1286" i="1" s="1"/>
  <c r="AL1286" i="1" s="1"/>
  <c r="J1278" i="1"/>
  <c r="X1278" i="1" s="1"/>
  <c r="J1270" i="1"/>
  <c r="X1270" i="1" s="1"/>
  <c r="J1262" i="1"/>
  <c r="L1262" i="1" s="1"/>
  <c r="J1254" i="1"/>
  <c r="X1254" i="1" s="1"/>
  <c r="AL1254" i="1" s="1"/>
  <c r="J1246" i="1"/>
  <c r="X1246" i="1" s="1"/>
  <c r="J1238" i="1"/>
  <c r="X1238" i="1" s="1"/>
  <c r="J1230" i="1"/>
  <c r="X1230" i="1" s="1"/>
  <c r="AL1230" i="1" s="1"/>
  <c r="J1222" i="1"/>
  <c r="X1222" i="1" s="1"/>
  <c r="AL1222" i="1" s="1"/>
  <c r="J1214" i="1"/>
  <c r="L1214" i="1" s="1"/>
  <c r="J1206" i="1"/>
  <c r="X1206" i="1" s="1"/>
  <c r="AL1206" i="1" s="1"/>
  <c r="J1198" i="1"/>
  <c r="L1198" i="1" s="1"/>
  <c r="J1190" i="1"/>
  <c r="X1190" i="1" s="1"/>
  <c r="J1182" i="1"/>
  <c r="X1182" i="1" s="1"/>
  <c r="J1174" i="1"/>
  <c r="X1174" i="1" s="1"/>
  <c r="J1166" i="1"/>
  <c r="X1166" i="1" s="1"/>
  <c r="AL1166" i="1" s="1"/>
  <c r="J1158" i="1"/>
  <c r="X1158" i="1" s="1"/>
  <c r="J1150" i="1"/>
  <c r="X1150" i="1" s="1"/>
  <c r="J1142" i="1"/>
  <c r="X1142" i="1" s="1"/>
  <c r="J1134" i="1"/>
  <c r="L1134" i="1" s="1"/>
  <c r="J1126" i="1"/>
  <c r="X1126" i="1" s="1"/>
  <c r="J1118" i="1"/>
  <c r="X1118" i="1" s="1"/>
  <c r="AL1118" i="1" s="1"/>
  <c r="J1110" i="1"/>
  <c r="X1110" i="1" s="1"/>
  <c r="J1102" i="1"/>
  <c r="X1102" i="1" s="1"/>
  <c r="AL1102" i="1" s="1"/>
  <c r="J1094" i="1"/>
  <c r="X1094" i="1" s="1"/>
  <c r="AL1094" i="1" s="1"/>
  <c r="J1086" i="1"/>
  <c r="X1086" i="1" s="1"/>
  <c r="J1078" i="1"/>
  <c r="X1078" i="1" s="1"/>
  <c r="J1070" i="1"/>
  <c r="L1070" i="1" s="1"/>
  <c r="J1062" i="1"/>
  <c r="X1062" i="1" s="1"/>
  <c r="J1054" i="1"/>
  <c r="X1054" i="1" s="1"/>
  <c r="J1046" i="1"/>
  <c r="X1046" i="1" s="1"/>
  <c r="J1038" i="1"/>
  <c r="X1038" i="1" s="1"/>
  <c r="J1030" i="1"/>
  <c r="X1030" i="1" s="1"/>
  <c r="AL1030" i="1" s="1"/>
  <c r="J1022" i="1"/>
  <c r="X1022" i="1" s="1"/>
  <c r="AL1022" i="1" s="1"/>
  <c r="J1014" i="1"/>
  <c r="X1014" i="1" s="1"/>
  <c r="J1006" i="1"/>
  <c r="L1006" i="1" s="1"/>
  <c r="J998" i="1"/>
  <c r="X998" i="1" s="1"/>
  <c r="AL998" i="1" s="1"/>
  <c r="J990" i="1"/>
  <c r="X990" i="1" s="1"/>
  <c r="AL990" i="1" s="1"/>
  <c r="J982" i="1"/>
  <c r="X982" i="1" s="1"/>
  <c r="J974" i="1"/>
  <c r="X974" i="1" s="1"/>
  <c r="J966" i="1"/>
  <c r="X966" i="1" s="1"/>
  <c r="J958" i="1"/>
  <c r="X958" i="1" s="1"/>
  <c r="J950" i="1"/>
  <c r="X950" i="1" s="1"/>
  <c r="AL950" i="1" s="1"/>
  <c r="J942" i="1"/>
  <c r="L942" i="1" s="1"/>
  <c r="J934" i="1"/>
  <c r="L934" i="1" s="1"/>
  <c r="J926" i="1"/>
  <c r="X926" i="1" s="1"/>
  <c r="AL926" i="1" s="1"/>
  <c r="J918" i="1"/>
  <c r="X918" i="1" s="1"/>
  <c r="J910" i="1"/>
  <c r="X910" i="1" s="1"/>
  <c r="J902" i="1"/>
  <c r="X902" i="1" s="1"/>
  <c r="AL902" i="1" s="1"/>
  <c r="J894" i="1"/>
  <c r="X894" i="1" s="1"/>
  <c r="AL894" i="1" s="1"/>
  <c r="J886" i="1"/>
  <c r="X886" i="1" s="1"/>
  <c r="J878" i="1"/>
  <c r="L878" i="1" s="1"/>
  <c r="J870" i="1"/>
  <c r="X870" i="1" s="1"/>
  <c r="J862" i="1"/>
  <c r="X862" i="1" s="1"/>
  <c r="AL862" i="1" s="1"/>
  <c r="J854" i="1"/>
  <c r="X854" i="1" s="1"/>
  <c r="J430" i="1"/>
  <c r="X430" i="1" s="1"/>
  <c r="J398" i="1"/>
  <c r="X398" i="1" s="1"/>
  <c r="AL398" i="1" s="1"/>
  <c r="J366" i="1"/>
  <c r="X366" i="1" s="1"/>
  <c r="J334" i="1"/>
  <c r="X334" i="1" s="1"/>
  <c r="AL334" i="1" s="1"/>
  <c r="J302" i="1"/>
  <c r="X302" i="1" s="1"/>
  <c r="AL302" i="1" s="1"/>
  <c r="J270" i="1"/>
  <c r="X270" i="1" s="1"/>
  <c r="J238" i="1"/>
  <c r="X238" i="1" s="1"/>
  <c r="AL238" i="1" s="1"/>
  <c r="J206" i="1"/>
  <c r="X206" i="1" s="1"/>
  <c r="J174" i="1"/>
  <c r="X174" i="1" s="1"/>
  <c r="J142" i="1"/>
  <c r="X142" i="1" s="1"/>
  <c r="J110" i="1"/>
  <c r="X110" i="1" s="1"/>
  <c r="J78" i="1"/>
  <c r="X78" i="1" s="1"/>
  <c r="J54" i="1"/>
  <c r="L54" i="1" s="1"/>
  <c r="J1333" i="1"/>
  <c r="L1333" i="1" s="1"/>
  <c r="J1325" i="1"/>
  <c r="L1325" i="1" s="1"/>
  <c r="J1317" i="1"/>
  <c r="L1317" i="1" s="1"/>
  <c r="J1309" i="1"/>
  <c r="L1309" i="1" s="1"/>
  <c r="J1301" i="1"/>
  <c r="L1301" i="1" s="1"/>
  <c r="J1293" i="1"/>
  <c r="L1293" i="1" s="1"/>
  <c r="J1285" i="1"/>
  <c r="L1285" i="1" s="1"/>
  <c r="J1277" i="1"/>
  <c r="L1277" i="1" s="1"/>
  <c r="J1269" i="1"/>
  <c r="J1261" i="1"/>
  <c r="L1261" i="1" s="1"/>
  <c r="J1253" i="1"/>
  <c r="L1253" i="1" s="1"/>
  <c r="J1245" i="1"/>
  <c r="L1245" i="1" s="1"/>
  <c r="J1237" i="1"/>
  <c r="L1237" i="1" s="1"/>
  <c r="J1229" i="1"/>
  <c r="L1229" i="1" s="1"/>
  <c r="J1221" i="1"/>
  <c r="L1221" i="1" s="1"/>
  <c r="J1213" i="1"/>
  <c r="L1213" i="1" s="1"/>
  <c r="J1205" i="1"/>
  <c r="J1197" i="1"/>
  <c r="L1197" i="1" s="1"/>
  <c r="J1189" i="1"/>
  <c r="L1189" i="1" s="1"/>
  <c r="J1181" i="1"/>
  <c r="L1181" i="1" s="1"/>
  <c r="J1173" i="1"/>
  <c r="L1173" i="1" s="1"/>
  <c r="J1165" i="1"/>
  <c r="L1165" i="1" s="1"/>
  <c r="J1157" i="1"/>
  <c r="L1157" i="1" s="1"/>
  <c r="J1149" i="1"/>
  <c r="L1149" i="1" s="1"/>
  <c r="J1141" i="1"/>
  <c r="J1133" i="1"/>
  <c r="L1133" i="1" s="1"/>
  <c r="J1125" i="1"/>
  <c r="L1125" i="1" s="1"/>
  <c r="J1117" i="1"/>
  <c r="L1117" i="1" s="1"/>
  <c r="J1109" i="1"/>
  <c r="L1109" i="1" s="1"/>
  <c r="J1101" i="1"/>
  <c r="L1101" i="1" s="1"/>
  <c r="J1093" i="1"/>
  <c r="L1093" i="1" s="1"/>
  <c r="J1085" i="1"/>
  <c r="L1085" i="1" s="1"/>
  <c r="J1077" i="1"/>
  <c r="J1069" i="1"/>
  <c r="L1069" i="1" s="1"/>
  <c r="J1061" i="1"/>
  <c r="L1061" i="1" s="1"/>
  <c r="J1053" i="1"/>
  <c r="L1053" i="1" s="1"/>
  <c r="J1045" i="1"/>
  <c r="L1045" i="1" s="1"/>
  <c r="J1037" i="1"/>
  <c r="L1037" i="1" s="1"/>
  <c r="J1029" i="1"/>
  <c r="L1029" i="1" s="1"/>
  <c r="J1021" i="1"/>
  <c r="L1021" i="1" s="1"/>
  <c r="J1013" i="1"/>
  <c r="J1005" i="1"/>
  <c r="L1005" i="1" s="1"/>
  <c r="J997" i="1"/>
  <c r="L997" i="1" s="1"/>
  <c r="J989" i="1"/>
  <c r="L989" i="1" s="1"/>
  <c r="J981" i="1"/>
  <c r="L981" i="1" s="1"/>
  <c r="J973" i="1"/>
  <c r="L973" i="1" s="1"/>
  <c r="J965" i="1"/>
  <c r="L965" i="1" s="1"/>
  <c r="J957" i="1"/>
  <c r="L957" i="1" s="1"/>
  <c r="J949" i="1"/>
  <c r="J941" i="1"/>
  <c r="L941" i="1" s="1"/>
  <c r="J933" i="1"/>
  <c r="L933" i="1" s="1"/>
  <c r="J925" i="1"/>
  <c r="L925" i="1" s="1"/>
  <c r="J917" i="1"/>
  <c r="L917" i="1" s="1"/>
  <c r="J909" i="1"/>
  <c r="L909" i="1" s="1"/>
  <c r="J901" i="1"/>
  <c r="L901" i="1" s="1"/>
  <c r="J893" i="1"/>
  <c r="X893" i="1" s="1"/>
  <c r="J885" i="1"/>
  <c r="L885" i="1" s="1"/>
  <c r="J877" i="1"/>
  <c r="L877" i="1" s="1"/>
  <c r="J869" i="1"/>
  <c r="X869" i="1" s="1"/>
  <c r="AL869" i="1" s="1"/>
  <c r="J861" i="1"/>
  <c r="X861" i="1" s="1"/>
  <c r="AL861" i="1" s="1"/>
  <c r="J853" i="1"/>
  <c r="X853" i="1" s="1"/>
  <c r="J845" i="1"/>
  <c r="X845" i="1" s="1"/>
  <c r="AL845" i="1" s="1"/>
  <c r="J837" i="1"/>
  <c r="X837" i="1" s="1"/>
  <c r="J829" i="1"/>
  <c r="X829" i="1" s="1"/>
  <c r="AL829" i="1" s="1"/>
  <c r="J821" i="1"/>
  <c r="L821" i="1" s="1"/>
  <c r="J813" i="1"/>
  <c r="X813" i="1" s="1"/>
  <c r="J805" i="1"/>
  <c r="X805" i="1" s="1"/>
  <c r="AL805" i="1" s="1"/>
  <c r="J797" i="1"/>
  <c r="X797" i="1" s="1"/>
  <c r="J789" i="1"/>
  <c r="X789" i="1" s="1"/>
  <c r="J781" i="1"/>
  <c r="X781" i="1" s="1"/>
  <c r="AL781" i="1" s="1"/>
  <c r="J773" i="1"/>
  <c r="X773" i="1" s="1"/>
  <c r="J765" i="1"/>
  <c r="X765" i="1" s="1"/>
  <c r="J757" i="1"/>
  <c r="L757" i="1" s="1"/>
  <c r="J749" i="1"/>
  <c r="L749" i="1" s="1"/>
  <c r="J741" i="1"/>
  <c r="X741" i="1" s="1"/>
  <c r="J733" i="1"/>
  <c r="X733" i="1" s="1"/>
  <c r="AL733" i="1" s="1"/>
  <c r="J725" i="1"/>
  <c r="X725" i="1" s="1"/>
  <c r="AL725" i="1" s="1"/>
  <c r="J717" i="1"/>
  <c r="X717" i="1" s="1"/>
  <c r="J709" i="1"/>
  <c r="X709" i="1" s="1"/>
  <c r="J701" i="1"/>
  <c r="X701" i="1" s="1"/>
  <c r="J693" i="1"/>
  <c r="J685" i="1"/>
  <c r="X685" i="1" s="1"/>
  <c r="J677" i="1"/>
  <c r="X677" i="1" s="1"/>
  <c r="AL677" i="1" s="1"/>
  <c r="J669" i="1"/>
  <c r="X669" i="1" s="1"/>
  <c r="J661" i="1"/>
  <c r="X661" i="1" s="1"/>
  <c r="AL661" i="1" s="1"/>
  <c r="J653" i="1"/>
  <c r="X653" i="1" s="1"/>
  <c r="J645" i="1"/>
  <c r="X645" i="1" s="1"/>
  <c r="AL645" i="1" s="1"/>
  <c r="J637" i="1"/>
  <c r="X637" i="1" s="1"/>
  <c r="J629" i="1"/>
  <c r="J621" i="1"/>
  <c r="X621" i="1" s="1"/>
  <c r="J613" i="1"/>
  <c r="X613" i="1" s="1"/>
  <c r="J605" i="1"/>
  <c r="X605" i="1" s="1"/>
  <c r="J597" i="1"/>
  <c r="X597" i="1" s="1"/>
  <c r="AL597" i="1" s="1"/>
  <c r="J589" i="1"/>
  <c r="X589" i="1" s="1"/>
  <c r="J581" i="1"/>
  <c r="X581" i="1" s="1"/>
  <c r="AL581" i="1" s="1"/>
  <c r="J573" i="1"/>
  <c r="X573" i="1" s="1"/>
  <c r="J565" i="1"/>
  <c r="L565" i="1" s="1"/>
  <c r="J557" i="1"/>
  <c r="X557" i="1" s="1"/>
  <c r="AL557" i="1" s="1"/>
  <c r="J549" i="1"/>
  <c r="X549" i="1" s="1"/>
  <c r="J541" i="1"/>
  <c r="X541" i="1" s="1"/>
  <c r="AL541" i="1" s="1"/>
  <c r="J533" i="1"/>
  <c r="X533" i="1" s="1"/>
  <c r="J525" i="1"/>
  <c r="X525" i="1" s="1"/>
  <c r="J1332" i="1"/>
  <c r="X1332" i="1" s="1"/>
  <c r="AL1332" i="1" s="1"/>
  <c r="J1324" i="1"/>
  <c r="L1324" i="1" s="1"/>
  <c r="J1316" i="1"/>
  <c r="L1316" i="1" s="1"/>
  <c r="J1308" i="1"/>
  <c r="J1300" i="1"/>
  <c r="J1292" i="1"/>
  <c r="L1292" i="1" s="1"/>
  <c r="J1284" i="1"/>
  <c r="L1284" i="1" s="1"/>
  <c r="J1276" i="1"/>
  <c r="L1276" i="1" s="1"/>
  <c r="J1268" i="1"/>
  <c r="X1268" i="1" s="1"/>
  <c r="J1260" i="1"/>
  <c r="L1260" i="1" s="1"/>
  <c r="J1252" i="1"/>
  <c r="L1252" i="1" s="1"/>
  <c r="J1244" i="1"/>
  <c r="J1236" i="1"/>
  <c r="J1228" i="1"/>
  <c r="L1228" i="1" s="1"/>
  <c r="J1220" i="1"/>
  <c r="L1220" i="1" s="1"/>
  <c r="J1212" i="1"/>
  <c r="L1212" i="1" s="1"/>
  <c r="J1204" i="1"/>
  <c r="X1204" i="1" s="1"/>
  <c r="AL1204" i="1" s="1"/>
  <c r="J1196" i="1"/>
  <c r="L1196" i="1" s="1"/>
  <c r="J1188" i="1"/>
  <c r="L1188" i="1" s="1"/>
  <c r="J1180" i="1"/>
  <c r="J1172" i="1"/>
  <c r="J1164" i="1"/>
  <c r="L1164" i="1" s="1"/>
  <c r="J1156" i="1"/>
  <c r="L1156" i="1" s="1"/>
  <c r="J1148" i="1"/>
  <c r="L1148" i="1" s="1"/>
  <c r="J1140" i="1"/>
  <c r="X1140" i="1" s="1"/>
  <c r="J1132" i="1"/>
  <c r="L1132" i="1" s="1"/>
  <c r="J1124" i="1"/>
  <c r="J1116" i="1"/>
  <c r="J1108" i="1"/>
  <c r="J1100" i="1"/>
  <c r="L1100" i="1" s="1"/>
  <c r="J1092" i="1"/>
  <c r="L1092" i="1" s="1"/>
  <c r="J1084" i="1"/>
  <c r="L1084" i="1" s="1"/>
  <c r="J1076" i="1"/>
  <c r="J1068" i="1"/>
  <c r="L1068" i="1" s="1"/>
  <c r="J1060" i="1"/>
  <c r="J1052" i="1"/>
  <c r="J1044" i="1"/>
  <c r="J1036" i="1"/>
  <c r="L1036" i="1" s="1"/>
  <c r="J1028" i="1"/>
  <c r="J1020" i="1"/>
  <c r="L1020" i="1" s="1"/>
  <c r="J1012" i="1"/>
  <c r="L1012" i="1" s="1"/>
  <c r="J1004" i="1"/>
  <c r="L1004" i="1" s="1"/>
  <c r="J996" i="1"/>
  <c r="J988" i="1"/>
  <c r="L988" i="1" s="1"/>
  <c r="J980" i="1"/>
  <c r="L980" i="1" s="1"/>
  <c r="J972" i="1"/>
  <c r="L972" i="1" s="1"/>
  <c r="J964" i="1"/>
  <c r="X964" i="1" s="1"/>
  <c r="J956" i="1"/>
  <c r="X956" i="1" s="1"/>
  <c r="J948" i="1"/>
  <c r="X948" i="1" s="1"/>
  <c r="AL948" i="1" s="1"/>
  <c r="J940" i="1"/>
  <c r="X940" i="1" s="1"/>
  <c r="AL940" i="1" s="1"/>
  <c r="J932" i="1"/>
  <c r="X932" i="1" s="1"/>
  <c r="AL932" i="1" s="1"/>
  <c r="J924" i="1"/>
  <c r="X924" i="1" s="1"/>
  <c r="AL924" i="1" s="1"/>
  <c r="J916" i="1"/>
  <c r="X916" i="1" s="1"/>
  <c r="J908" i="1"/>
  <c r="X908" i="1" s="1"/>
  <c r="J900" i="1"/>
  <c r="X900" i="1" s="1"/>
  <c r="J892" i="1"/>
  <c r="X892" i="1" s="1"/>
  <c r="AL892" i="1" s="1"/>
  <c r="J884" i="1"/>
  <c r="X884" i="1" s="1"/>
  <c r="J876" i="1"/>
  <c r="X876" i="1" s="1"/>
  <c r="J1331" i="1"/>
  <c r="L1331" i="1" s="1"/>
  <c r="J1323" i="1"/>
  <c r="L1323" i="1" s="1"/>
  <c r="J1315" i="1"/>
  <c r="L1315" i="1" s="1"/>
  <c r="J1307" i="1"/>
  <c r="L1307" i="1" s="1"/>
  <c r="J1299" i="1"/>
  <c r="L1299" i="1" s="1"/>
  <c r="J1291" i="1"/>
  <c r="L1291" i="1" s="1"/>
  <c r="J1283" i="1"/>
  <c r="L1283" i="1" s="1"/>
  <c r="J1275" i="1"/>
  <c r="L1275" i="1" s="1"/>
  <c r="J1267" i="1"/>
  <c r="L1267" i="1" s="1"/>
  <c r="J1259" i="1"/>
  <c r="L1259" i="1" s="1"/>
  <c r="J1251" i="1"/>
  <c r="L1251" i="1" s="1"/>
  <c r="J1243" i="1"/>
  <c r="L1243" i="1" s="1"/>
  <c r="J1235" i="1"/>
  <c r="L1235" i="1" s="1"/>
  <c r="J1227" i="1"/>
  <c r="L1227" i="1" s="1"/>
  <c r="J1219" i="1"/>
  <c r="L1219" i="1" s="1"/>
  <c r="J1211" i="1"/>
  <c r="L1211" i="1" s="1"/>
  <c r="J1203" i="1"/>
  <c r="L1203" i="1" s="1"/>
  <c r="J1195" i="1"/>
  <c r="L1195" i="1" s="1"/>
  <c r="J1187" i="1"/>
  <c r="L1187" i="1" s="1"/>
  <c r="J1179" i="1"/>
  <c r="L1179" i="1" s="1"/>
  <c r="J1171" i="1"/>
  <c r="L1171" i="1" s="1"/>
  <c r="J1163" i="1"/>
  <c r="L1163" i="1" s="1"/>
  <c r="J1155" i="1"/>
  <c r="L1155" i="1" s="1"/>
  <c r="J1147" i="1"/>
  <c r="L1147" i="1" s="1"/>
  <c r="J1139" i="1"/>
  <c r="L1139" i="1" s="1"/>
  <c r="J1131" i="1"/>
  <c r="L1131" i="1" s="1"/>
  <c r="J1123" i="1"/>
  <c r="L1123" i="1" s="1"/>
  <c r="J1115" i="1"/>
  <c r="L1115" i="1" s="1"/>
  <c r="J1107" i="1"/>
  <c r="L1107" i="1" s="1"/>
  <c r="J1099" i="1"/>
  <c r="L1099" i="1" s="1"/>
  <c r="J1091" i="1"/>
  <c r="L1091" i="1" s="1"/>
  <c r="J1083" i="1"/>
  <c r="L1083" i="1" s="1"/>
  <c r="J1075" i="1"/>
  <c r="L1075" i="1" s="1"/>
  <c r="J1067" i="1"/>
  <c r="L1067" i="1" s="1"/>
  <c r="J1059" i="1"/>
  <c r="L1059" i="1" s="1"/>
  <c r="J1051" i="1"/>
  <c r="L1051" i="1" s="1"/>
  <c r="J1043" i="1"/>
  <c r="X1043" i="1" s="1"/>
  <c r="J1035" i="1"/>
  <c r="X1035" i="1" s="1"/>
  <c r="J1027" i="1"/>
  <c r="X1027" i="1" s="1"/>
  <c r="AL1027" i="1" s="1"/>
  <c r="J1019" i="1"/>
  <c r="X1019" i="1" s="1"/>
  <c r="J1011" i="1"/>
  <c r="X1011" i="1" s="1"/>
  <c r="AL1011" i="1" s="1"/>
  <c r="J1003" i="1"/>
  <c r="X1003" i="1" s="1"/>
  <c r="J995" i="1"/>
  <c r="X995" i="1" s="1"/>
  <c r="AL995" i="1" s="1"/>
  <c r="J987" i="1"/>
  <c r="X987" i="1" s="1"/>
  <c r="J979" i="1"/>
  <c r="X979" i="1" s="1"/>
  <c r="AL979" i="1" s="1"/>
  <c r="J971" i="1"/>
  <c r="X971" i="1" s="1"/>
  <c r="AL971" i="1" s="1"/>
  <c r="J963" i="1"/>
  <c r="L963" i="1" s="1"/>
  <c r="J955" i="1"/>
  <c r="X955" i="1" s="1"/>
  <c r="J947" i="1"/>
  <c r="X947" i="1" s="1"/>
  <c r="J939" i="1"/>
  <c r="X939" i="1" s="1"/>
  <c r="AL939" i="1" s="1"/>
  <c r="J931" i="1"/>
  <c r="X931" i="1" s="1"/>
  <c r="AL931" i="1" s="1"/>
  <c r="J923" i="1"/>
  <c r="X923" i="1" s="1"/>
  <c r="J915" i="1"/>
  <c r="X915" i="1" s="1"/>
  <c r="AL915" i="1" s="1"/>
  <c r="J907" i="1"/>
  <c r="L907" i="1" s="1"/>
  <c r="J899" i="1"/>
  <c r="X899" i="1" s="1"/>
  <c r="J891" i="1"/>
  <c r="X891" i="1" s="1"/>
  <c r="J883" i="1"/>
  <c r="X883" i="1" s="1"/>
  <c r="J875" i="1"/>
  <c r="X875" i="1" s="1"/>
  <c r="AL875" i="1" s="1"/>
  <c r="J867" i="1"/>
  <c r="X867" i="1" s="1"/>
  <c r="J859" i="1"/>
  <c r="X859" i="1" s="1"/>
  <c r="AL859" i="1" s="1"/>
  <c r="J851" i="1"/>
  <c r="X851" i="1" s="1"/>
  <c r="AL851" i="1" s="1"/>
  <c r="J843" i="1"/>
  <c r="L843" i="1" s="1"/>
  <c r="J835" i="1"/>
  <c r="X835" i="1" s="1"/>
  <c r="J827" i="1"/>
  <c r="X827" i="1" s="1"/>
  <c r="J819" i="1"/>
  <c r="X819" i="1" s="1"/>
  <c r="J811" i="1"/>
  <c r="X811" i="1" s="1"/>
  <c r="AL811" i="1" s="1"/>
  <c r="J803" i="1"/>
  <c r="X803" i="1" s="1"/>
  <c r="AL803" i="1" s="1"/>
  <c r="J795" i="1"/>
  <c r="X795" i="1" s="1"/>
  <c r="AL795" i="1" s="1"/>
  <c r="J787" i="1"/>
  <c r="X787" i="1" s="1"/>
  <c r="AL787" i="1" s="1"/>
  <c r="J779" i="1"/>
  <c r="X779" i="1" s="1"/>
  <c r="J771" i="1"/>
  <c r="X771" i="1" s="1"/>
  <c r="J763" i="1"/>
  <c r="X763" i="1" s="1"/>
  <c r="AL763" i="1" s="1"/>
  <c r="J755" i="1"/>
  <c r="X755" i="1" s="1"/>
  <c r="AL755" i="1" s="1"/>
  <c r="J747" i="1"/>
  <c r="X747" i="1" s="1"/>
  <c r="AL747" i="1" s="1"/>
  <c r="J739" i="1"/>
  <c r="X739" i="1" s="1"/>
  <c r="AL739" i="1" s="1"/>
  <c r="J731" i="1"/>
  <c r="X731" i="1" s="1"/>
  <c r="J723" i="1"/>
  <c r="X723" i="1" s="1"/>
  <c r="J715" i="1"/>
  <c r="X715" i="1" s="1"/>
  <c r="AL715" i="1" s="1"/>
  <c r="J707" i="1"/>
  <c r="X707" i="1" s="1"/>
  <c r="J699" i="1"/>
  <c r="X699" i="1" s="1"/>
  <c r="AL699" i="1" s="1"/>
  <c r="J691" i="1"/>
  <c r="X691" i="1" s="1"/>
  <c r="AL691" i="1" s="1"/>
  <c r="J683" i="1"/>
  <c r="X683" i="1" s="1"/>
  <c r="J675" i="1"/>
  <c r="X675" i="1" s="1"/>
  <c r="J667" i="1"/>
  <c r="X667" i="1" s="1"/>
  <c r="J659" i="1"/>
  <c r="X659" i="1" s="1"/>
  <c r="J651" i="1"/>
  <c r="X651" i="1" s="1"/>
  <c r="AL651" i="1" s="1"/>
  <c r="J643" i="1"/>
  <c r="X643" i="1" s="1"/>
  <c r="J635" i="1"/>
  <c r="L635" i="1" s="1"/>
  <c r="J627" i="1"/>
  <c r="X627" i="1" s="1"/>
  <c r="J619" i="1"/>
  <c r="X619" i="1" s="1"/>
  <c r="J611" i="1"/>
  <c r="X611" i="1" s="1"/>
  <c r="J603" i="1"/>
  <c r="X603" i="1" s="1"/>
  <c r="AL603" i="1" s="1"/>
  <c r="J595" i="1"/>
  <c r="X595" i="1" s="1"/>
  <c r="AL595" i="1" s="1"/>
  <c r="J587" i="1"/>
  <c r="X587" i="1" s="1"/>
  <c r="J579" i="1"/>
  <c r="L579" i="1" s="1"/>
  <c r="J571" i="1"/>
  <c r="X571" i="1" s="1"/>
  <c r="J563" i="1"/>
  <c r="X563" i="1" s="1"/>
  <c r="J555" i="1"/>
  <c r="X555" i="1" s="1"/>
  <c r="AL555" i="1" s="1"/>
  <c r="J547" i="1"/>
  <c r="X547" i="1" s="1"/>
  <c r="J539" i="1"/>
  <c r="X539" i="1" s="1"/>
  <c r="J531" i="1"/>
  <c r="X531" i="1" s="1"/>
  <c r="J523" i="1"/>
  <c r="X523" i="1" s="1"/>
  <c r="AL523" i="1" s="1"/>
  <c r="J515" i="1"/>
  <c r="X515" i="1" s="1"/>
  <c r="J419" i="1"/>
  <c r="X419" i="1" s="1"/>
  <c r="J387" i="1"/>
  <c r="X387" i="1" s="1"/>
  <c r="AL387" i="1" s="1"/>
  <c r="J355" i="1"/>
  <c r="X355" i="1" s="1"/>
  <c r="J323" i="1"/>
  <c r="X323" i="1" s="1"/>
  <c r="J291" i="1"/>
  <c r="L291" i="1" s="1"/>
  <c r="J259" i="1"/>
  <c r="X259" i="1" s="1"/>
  <c r="AL259" i="1" s="1"/>
  <c r="J227" i="1"/>
  <c r="X227" i="1" s="1"/>
  <c r="J195" i="1"/>
  <c r="X195" i="1" s="1"/>
  <c r="J163" i="1"/>
  <c r="X163" i="1" s="1"/>
  <c r="J131" i="1"/>
  <c r="X131" i="1" s="1"/>
  <c r="AL131" i="1" s="1"/>
  <c r="J99" i="1"/>
  <c r="X99" i="1" s="1"/>
  <c r="J1330" i="1"/>
  <c r="L1330" i="1" s="1"/>
  <c r="J1322" i="1"/>
  <c r="L1322" i="1" s="1"/>
  <c r="J1314" i="1"/>
  <c r="L1314" i="1" s="1"/>
  <c r="J1306" i="1"/>
  <c r="L1306" i="1" s="1"/>
  <c r="J1298" i="1"/>
  <c r="L1298" i="1" s="1"/>
  <c r="J1290" i="1"/>
  <c r="L1290" i="1" s="1"/>
  <c r="J1282" i="1"/>
  <c r="L1282" i="1" s="1"/>
  <c r="J1274" i="1"/>
  <c r="L1274" i="1" s="1"/>
  <c r="J1266" i="1"/>
  <c r="L1266" i="1" s="1"/>
  <c r="J1258" i="1"/>
  <c r="L1258" i="1" s="1"/>
  <c r="J1250" i="1"/>
  <c r="L1250" i="1" s="1"/>
  <c r="J1242" i="1"/>
  <c r="L1242" i="1" s="1"/>
  <c r="J1234" i="1"/>
  <c r="L1234" i="1" s="1"/>
  <c r="J1226" i="1"/>
  <c r="L1226" i="1" s="1"/>
  <c r="J1218" i="1"/>
  <c r="L1218" i="1" s="1"/>
  <c r="J1210" i="1"/>
  <c r="L1210" i="1" s="1"/>
  <c r="J1202" i="1"/>
  <c r="L1202" i="1" s="1"/>
  <c r="J1194" i="1"/>
  <c r="L1194" i="1" s="1"/>
  <c r="J1186" i="1"/>
  <c r="L1186" i="1" s="1"/>
  <c r="J1178" i="1"/>
  <c r="L1178" i="1" s="1"/>
  <c r="J1170" i="1"/>
  <c r="L1170" i="1" s="1"/>
  <c r="J1162" i="1"/>
  <c r="L1162" i="1" s="1"/>
  <c r="J1154" i="1"/>
  <c r="L1154" i="1" s="1"/>
  <c r="J1146" i="1"/>
  <c r="L1146" i="1" s="1"/>
  <c r="J1138" i="1"/>
  <c r="L1138" i="1" s="1"/>
  <c r="J1130" i="1"/>
  <c r="L1130" i="1" s="1"/>
  <c r="J1122" i="1"/>
  <c r="L1122" i="1" s="1"/>
  <c r="J1114" i="1"/>
  <c r="L1114" i="1" s="1"/>
  <c r="J1106" i="1"/>
  <c r="L1106" i="1" s="1"/>
  <c r="J1098" i="1"/>
  <c r="L1098" i="1" s="1"/>
  <c r="J1090" i="1"/>
  <c r="L1090" i="1" s="1"/>
  <c r="J1082" i="1"/>
  <c r="L1082" i="1" s="1"/>
  <c r="J1074" i="1"/>
  <c r="L1074" i="1" s="1"/>
  <c r="J1066" i="1"/>
  <c r="L1066" i="1" s="1"/>
  <c r="J1058" i="1"/>
  <c r="L1058" i="1" s="1"/>
  <c r="J1050" i="1"/>
  <c r="L1050" i="1" s="1"/>
  <c r="J1042" i="1"/>
  <c r="L1042" i="1" s="1"/>
  <c r="J1034" i="1"/>
  <c r="L1034" i="1" s="1"/>
  <c r="J1026" i="1"/>
  <c r="L1026" i="1" s="1"/>
  <c r="J1018" i="1"/>
  <c r="L1018" i="1" s="1"/>
  <c r="J1010" i="1"/>
  <c r="L1010" i="1" s="1"/>
  <c r="J1002" i="1"/>
  <c r="L1002" i="1" s="1"/>
  <c r="J994" i="1"/>
  <c r="L994" i="1" s="1"/>
  <c r="J986" i="1"/>
  <c r="L986" i="1" s="1"/>
  <c r="J978" i="1"/>
  <c r="L978" i="1" s="1"/>
  <c r="J970" i="1"/>
  <c r="L970" i="1" s="1"/>
  <c r="J962" i="1"/>
  <c r="L962" i="1" s="1"/>
  <c r="J954" i="1"/>
  <c r="L954" i="1" s="1"/>
  <c r="J946" i="1"/>
  <c r="L946" i="1" s="1"/>
  <c r="J938" i="1"/>
  <c r="L938" i="1" s="1"/>
  <c r="J930" i="1"/>
  <c r="L930" i="1" s="1"/>
  <c r="J922" i="1"/>
  <c r="L922" i="1" s="1"/>
  <c r="J914" i="1"/>
  <c r="L914" i="1" s="1"/>
  <c r="J906" i="1"/>
  <c r="L906" i="1" s="1"/>
  <c r="J898" i="1"/>
  <c r="X898" i="1" s="1"/>
  <c r="AL898" i="1" s="1"/>
  <c r="J890" i="1"/>
  <c r="X890" i="1" s="1"/>
  <c r="J882" i="1"/>
  <c r="X882" i="1" s="1"/>
  <c r="J874" i="1"/>
  <c r="X874" i="1" s="1"/>
  <c r="AL874" i="1" s="1"/>
  <c r="J866" i="1"/>
  <c r="X866" i="1" s="1"/>
  <c r="J858" i="1"/>
  <c r="L858" i="1" s="1"/>
  <c r="J850" i="1"/>
  <c r="X850" i="1" s="1"/>
  <c r="AL850" i="1" s="1"/>
  <c r="J842" i="1"/>
  <c r="X842" i="1" s="1"/>
  <c r="AL842" i="1" s="1"/>
  <c r="J834" i="1"/>
  <c r="X834" i="1" s="1"/>
  <c r="J826" i="1"/>
  <c r="L826" i="1" s="1"/>
  <c r="J818" i="1"/>
  <c r="X818" i="1" s="1"/>
  <c r="AL818" i="1" s="1"/>
  <c r="J810" i="1"/>
  <c r="X810" i="1" s="1"/>
  <c r="J802" i="1"/>
  <c r="X802" i="1" s="1"/>
  <c r="J794" i="1"/>
  <c r="L794" i="1" s="1"/>
  <c r="J786" i="1"/>
  <c r="X786" i="1" s="1"/>
  <c r="J778" i="1"/>
  <c r="X778" i="1" s="1"/>
  <c r="AL778" i="1" s="1"/>
  <c r="J770" i="1"/>
  <c r="X770" i="1" s="1"/>
  <c r="AL770" i="1" s="1"/>
  <c r="J762" i="1"/>
  <c r="X762" i="1" s="1"/>
  <c r="J754" i="1"/>
  <c r="X754" i="1" s="1"/>
  <c r="J746" i="1"/>
  <c r="L746" i="1" s="1"/>
  <c r="J738" i="1"/>
  <c r="X738" i="1" s="1"/>
  <c r="J730" i="1"/>
  <c r="L730" i="1" s="1"/>
  <c r="J722" i="1"/>
  <c r="X722" i="1" s="1"/>
  <c r="J714" i="1"/>
  <c r="X714" i="1" s="1"/>
  <c r="AL714" i="1" s="1"/>
  <c r="J706" i="1"/>
  <c r="X706" i="1" s="1"/>
  <c r="J698" i="1"/>
  <c r="X698" i="1" s="1"/>
  <c r="AL698" i="1" s="1"/>
  <c r="J690" i="1"/>
  <c r="L690" i="1" s="1"/>
  <c r="J682" i="1"/>
  <c r="X682" i="1" s="1"/>
  <c r="J674" i="1"/>
  <c r="X674" i="1" s="1"/>
  <c r="J666" i="1"/>
  <c r="L666" i="1" s="1"/>
  <c r="J658" i="1"/>
  <c r="X658" i="1" s="1"/>
  <c r="J650" i="1"/>
  <c r="X650" i="1" s="1"/>
  <c r="J642" i="1"/>
  <c r="X642" i="1" s="1"/>
  <c r="AL642" i="1" s="1"/>
  <c r="J634" i="1"/>
  <c r="X634" i="1" s="1"/>
  <c r="AL634" i="1" s="1"/>
  <c r="J626" i="1"/>
  <c r="X626" i="1" s="1"/>
  <c r="AL626" i="1" s="1"/>
  <c r="J618" i="1"/>
  <c r="X618" i="1" s="1"/>
  <c r="AL618" i="1" s="1"/>
  <c r="J610" i="1"/>
  <c r="X610" i="1" s="1"/>
  <c r="J602" i="1"/>
  <c r="L602" i="1" s="1"/>
  <c r="J594" i="1"/>
  <c r="X594" i="1" s="1"/>
  <c r="AL594" i="1" s="1"/>
  <c r="J586" i="1"/>
  <c r="X586" i="1" s="1"/>
  <c r="J578" i="1"/>
  <c r="X578" i="1" s="1"/>
  <c r="AL578" i="1" s="1"/>
  <c r="J570" i="1"/>
  <c r="X570" i="1" s="1"/>
  <c r="AL570" i="1" s="1"/>
  <c r="J562" i="1"/>
  <c r="X562" i="1" s="1"/>
  <c r="J554" i="1"/>
  <c r="X554" i="1" s="1"/>
  <c r="AL554" i="1" s="1"/>
  <c r="J546" i="1"/>
  <c r="X546" i="1" s="1"/>
  <c r="J538" i="1"/>
  <c r="L538" i="1" s="1"/>
  <c r="J530" i="1"/>
  <c r="X530" i="1" s="1"/>
  <c r="J522" i="1"/>
  <c r="X522" i="1" s="1"/>
  <c r="J514" i="1"/>
  <c r="X514" i="1" s="1"/>
  <c r="AL514" i="1" s="1"/>
  <c r="J506" i="1"/>
  <c r="L506" i="1" s="1"/>
  <c r="J498" i="1"/>
  <c r="X498" i="1" s="1"/>
  <c r="J490" i="1"/>
  <c r="X490" i="1" s="1"/>
  <c r="J482" i="1"/>
  <c r="X482" i="1" s="1"/>
  <c r="AL482" i="1" s="1"/>
  <c r="J474" i="1"/>
  <c r="L474" i="1" s="1"/>
  <c r="J466" i="1"/>
  <c r="X466" i="1" s="1"/>
  <c r="J458" i="1"/>
  <c r="X458" i="1" s="1"/>
  <c r="J450" i="1"/>
  <c r="X450" i="1" s="1"/>
  <c r="J441" i="1"/>
  <c r="L441" i="1" s="1"/>
  <c r="J409" i="1"/>
  <c r="X409" i="1" s="1"/>
  <c r="J377" i="1"/>
  <c r="X377" i="1" s="1"/>
  <c r="AL377" i="1" s="1"/>
  <c r="J345" i="1"/>
  <c r="L345" i="1" s="1"/>
  <c r="J313" i="1"/>
  <c r="X313" i="1" s="1"/>
  <c r="AL313" i="1" s="1"/>
  <c r="J281" i="1"/>
  <c r="X281" i="1" s="1"/>
  <c r="AL281" i="1" s="1"/>
  <c r="J249" i="1"/>
  <c r="L249" i="1" s="1"/>
  <c r="J217" i="1"/>
  <c r="X217" i="1" s="1"/>
  <c r="J185" i="1"/>
  <c r="X185" i="1" s="1"/>
  <c r="J153" i="1"/>
  <c r="X153" i="1" s="1"/>
  <c r="AL153" i="1" s="1"/>
  <c r="J121" i="1"/>
  <c r="X121" i="1" s="1"/>
  <c r="J89" i="1"/>
  <c r="L89" i="1" s="1"/>
  <c r="J65" i="1"/>
  <c r="X65" i="1" s="1"/>
  <c r="J41" i="1"/>
  <c r="X41" i="1" s="1"/>
  <c r="AL41" i="1" s="1"/>
  <c r="J17" i="1"/>
  <c r="X17" i="1" s="1"/>
  <c r="J29" i="1"/>
  <c r="X29" i="1" s="1"/>
  <c r="AL29" i="1" s="1"/>
  <c r="L1190" i="1"/>
  <c r="J828" i="1"/>
  <c r="J796" i="1"/>
  <c r="X796" i="1" s="1"/>
  <c r="J748" i="1"/>
  <c r="X748" i="1" s="1"/>
  <c r="J708" i="1"/>
  <c r="X708" i="1" s="1"/>
  <c r="AL708" i="1" s="1"/>
  <c r="J676" i="1"/>
  <c r="X676" i="1" s="1"/>
  <c r="AL676" i="1" s="1"/>
  <c r="J628" i="1"/>
  <c r="X628" i="1" s="1"/>
  <c r="J588" i="1"/>
  <c r="X588" i="1" s="1"/>
  <c r="J548" i="1"/>
  <c r="X548" i="1" s="1"/>
  <c r="J508" i="1"/>
  <c r="J460" i="1"/>
  <c r="X460" i="1" s="1"/>
  <c r="J412" i="1"/>
  <c r="X412" i="1" s="1"/>
  <c r="J380" i="1"/>
  <c r="X380" i="1" s="1"/>
  <c r="AL380" i="1" s="1"/>
  <c r="J340" i="1"/>
  <c r="X340" i="1" s="1"/>
  <c r="AL340" i="1" s="1"/>
  <c r="J284" i="1"/>
  <c r="X284" i="1" s="1"/>
  <c r="AL284" i="1" s="1"/>
  <c r="J236" i="1"/>
  <c r="X236" i="1" s="1"/>
  <c r="J180" i="1"/>
  <c r="X180" i="1" s="1"/>
  <c r="AL180" i="1" s="1"/>
  <c r="J132" i="1"/>
  <c r="X132" i="1" s="1"/>
  <c r="J76" i="1"/>
  <c r="X76" i="1" s="1"/>
  <c r="AL76" i="1" s="1"/>
  <c r="J36" i="1"/>
  <c r="X36" i="1" s="1"/>
  <c r="J507" i="1"/>
  <c r="X507" i="1" s="1"/>
  <c r="AL507" i="1" s="1"/>
  <c r="J499" i="1"/>
  <c r="X499" i="1" s="1"/>
  <c r="AL499" i="1" s="1"/>
  <c r="J491" i="1"/>
  <c r="X491" i="1" s="1"/>
  <c r="J483" i="1"/>
  <c r="X483" i="1" s="1"/>
  <c r="J475" i="1"/>
  <c r="X475" i="1" s="1"/>
  <c r="J467" i="1"/>
  <c r="J459" i="1"/>
  <c r="X459" i="1" s="1"/>
  <c r="J451" i="1"/>
  <c r="X451" i="1" s="1"/>
  <c r="J443" i="1"/>
  <c r="X443" i="1" s="1"/>
  <c r="J435" i="1"/>
  <c r="X435" i="1" s="1"/>
  <c r="J427" i="1"/>
  <c r="X427" i="1" s="1"/>
  <c r="J411" i="1"/>
  <c r="X411" i="1" s="1"/>
  <c r="AL411" i="1" s="1"/>
  <c r="J403" i="1"/>
  <c r="X403" i="1" s="1"/>
  <c r="J395" i="1"/>
  <c r="X395" i="1" s="1"/>
  <c r="J379" i="1"/>
  <c r="X379" i="1" s="1"/>
  <c r="J371" i="1"/>
  <c r="X371" i="1" s="1"/>
  <c r="AL371" i="1" s="1"/>
  <c r="J363" i="1"/>
  <c r="X363" i="1" s="1"/>
  <c r="J347" i="1"/>
  <c r="X347" i="1" s="1"/>
  <c r="AL347" i="1" s="1"/>
  <c r="J339" i="1"/>
  <c r="X339" i="1" s="1"/>
  <c r="AL339" i="1" s="1"/>
  <c r="J331" i="1"/>
  <c r="X331" i="1" s="1"/>
  <c r="AL331" i="1" s="1"/>
  <c r="J315" i="1"/>
  <c r="X315" i="1" s="1"/>
  <c r="J307" i="1"/>
  <c r="X307" i="1" s="1"/>
  <c r="J299" i="1"/>
  <c r="X299" i="1" s="1"/>
  <c r="J283" i="1"/>
  <c r="J275" i="1"/>
  <c r="X275" i="1" s="1"/>
  <c r="AL275" i="1" s="1"/>
  <c r="J267" i="1"/>
  <c r="X267" i="1" s="1"/>
  <c r="AL267" i="1" s="1"/>
  <c r="J251" i="1"/>
  <c r="X251" i="1" s="1"/>
  <c r="AL251" i="1" s="1"/>
  <c r="J243" i="1"/>
  <c r="X243" i="1" s="1"/>
  <c r="J235" i="1"/>
  <c r="X235" i="1" s="1"/>
  <c r="J219" i="1"/>
  <c r="X219" i="1" s="1"/>
  <c r="J211" i="1"/>
  <c r="X211" i="1" s="1"/>
  <c r="J203" i="1"/>
  <c r="X203" i="1" s="1"/>
  <c r="J187" i="1"/>
  <c r="X187" i="1" s="1"/>
  <c r="J179" i="1"/>
  <c r="X179" i="1" s="1"/>
  <c r="AL179" i="1" s="1"/>
  <c r="J171" i="1"/>
  <c r="X171" i="1" s="1"/>
  <c r="AL171" i="1" s="1"/>
  <c r="J155" i="1"/>
  <c r="X155" i="1" s="1"/>
  <c r="AL155" i="1" s="1"/>
  <c r="J147" i="1"/>
  <c r="X147" i="1" s="1"/>
  <c r="AL147" i="1" s="1"/>
  <c r="J139" i="1"/>
  <c r="X139" i="1" s="1"/>
  <c r="AL139" i="1" s="1"/>
  <c r="J123" i="1"/>
  <c r="X123" i="1" s="1"/>
  <c r="J115" i="1"/>
  <c r="X115" i="1" s="1"/>
  <c r="J107" i="1"/>
  <c r="X107" i="1" s="1"/>
  <c r="J91" i="1"/>
  <c r="X91" i="1" s="1"/>
  <c r="J83" i="1"/>
  <c r="X83" i="1" s="1"/>
  <c r="AL83" i="1" s="1"/>
  <c r="J75" i="1"/>
  <c r="X75" i="1" s="1"/>
  <c r="J67" i="1"/>
  <c r="X67" i="1" s="1"/>
  <c r="AL67" i="1" s="1"/>
  <c r="J59" i="1"/>
  <c r="X59" i="1" s="1"/>
  <c r="AL59" i="1" s="1"/>
  <c r="J51" i="1"/>
  <c r="X51" i="1" s="1"/>
  <c r="AL51" i="1" s="1"/>
  <c r="J43" i="1"/>
  <c r="X43" i="1" s="1"/>
  <c r="J35" i="1"/>
  <c r="X35" i="1" s="1"/>
  <c r="J27" i="1"/>
  <c r="X27" i="1" s="1"/>
  <c r="J19" i="1"/>
  <c r="X19" i="1" s="1"/>
  <c r="J11" i="1"/>
  <c r="X11" i="1" s="1"/>
  <c r="J3" i="1"/>
  <c r="X3" i="1" s="1"/>
  <c r="J844" i="1"/>
  <c r="X844" i="1" s="1"/>
  <c r="AL844" i="1" s="1"/>
  <c r="J756" i="1"/>
  <c r="X756" i="1" s="1"/>
  <c r="J660" i="1"/>
  <c r="X660" i="1" s="1"/>
  <c r="J564" i="1"/>
  <c r="X564" i="1" s="1"/>
  <c r="AL564" i="1" s="1"/>
  <c r="J468" i="1"/>
  <c r="X468" i="1" s="1"/>
  <c r="J372" i="1"/>
  <c r="X372" i="1" s="1"/>
  <c r="J292" i="1"/>
  <c r="X292" i="1" s="1"/>
  <c r="J212" i="1"/>
  <c r="J124" i="1"/>
  <c r="J44" i="1"/>
  <c r="X44" i="1" s="1"/>
  <c r="AL44" i="1" s="1"/>
  <c r="J442" i="1"/>
  <c r="X442" i="1" s="1"/>
  <c r="J434" i="1"/>
  <c r="X434" i="1" s="1"/>
  <c r="J426" i="1"/>
  <c r="X426" i="1" s="1"/>
  <c r="J418" i="1"/>
  <c r="X418" i="1" s="1"/>
  <c r="J410" i="1"/>
  <c r="X410" i="1" s="1"/>
  <c r="AL410" i="1" s="1"/>
  <c r="J402" i="1"/>
  <c r="X402" i="1" s="1"/>
  <c r="J394" i="1"/>
  <c r="X394" i="1" s="1"/>
  <c r="AL394" i="1" s="1"/>
  <c r="J386" i="1"/>
  <c r="X386" i="1" s="1"/>
  <c r="AL386" i="1" s="1"/>
  <c r="J378" i="1"/>
  <c r="X378" i="1" s="1"/>
  <c r="AL378" i="1" s="1"/>
  <c r="J370" i="1"/>
  <c r="X370" i="1" s="1"/>
  <c r="J362" i="1"/>
  <c r="X362" i="1" s="1"/>
  <c r="J354" i="1"/>
  <c r="X354" i="1" s="1"/>
  <c r="J346" i="1"/>
  <c r="X346" i="1" s="1"/>
  <c r="J338" i="1"/>
  <c r="X338" i="1" s="1"/>
  <c r="AL338" i="1" s="1"/>
  <c r="J330" i="1"/>
  <c r="X330" i="1" s="1"/>
  <c r="AL330" i="1" s="1"/>
  <c r="J322" i="1"/>
  <c r="X322" i="1" s="1"/>
  <c r="J314" i="1"/>
  <c r="X314" i="1" s="1"/>
  <c r="AL314" i="1" s="1"/>
  <c r="J306" i="1"/>
  <c r="X306" i="1" s="1"/>
  <c r="J298" i="1"/>
  <c r="X298" i="1" s="1"/>
  <c r="AL298" i="1" s="1"/>
  <c r="J290" i="1"/>
  <c r="X290" i="1" s="1"/>
  <c r="AL290" i="1" s="1"/>
  <c r="J282" i="1"/>
  <c r="X282" i="1" s="1"/>
  <c r="AL282" i="1" s="1"/>
  <c r="J274" i="1"/>
  <c r="X274" i="1" s="1"/>
  <c r="J266" i="1"/>
  <c r="X266" i="1" s="1"/>
  <c r="J258" i="1"/>
  <c r="X258" i="1" s="1"/>
  <c r="AL258" i="1" s="1"/>
  <c r="J250" i="1"/>
  <c r="X250" i="1" s="1"/>
  <c r="J242" i="1"/>
  <c r="X242" i="1" s="1"/>
  <c r="J234" i="1"/>
  <c r="X234" i="1" s="1"/>
  <c r="AL234" i="1" s="1"/>
  <c r="J226" i="1"/>
  <c r="X226" i="1" s="1"/>
  <c r="AL226" i="1" s="1"/>
  <c r="J218" i="1"/>
  <c r="X218" i="1" s="1"/>
  <c r="AL218" i="1" s="1"/>
  <c r="J210" i="1"/>
  <c r="X210" i="1" s="1"/>
  <c r="AL210" i="1" s="1"/>
  <c r="J202" i="1"/>
  <c r="X202" i="1" s="1"/>
  <c r="J194" i="1"/>
  <c r="X194" i="1" s="1"/>
  <c r="AL194" i="1" s="1"/>
  <c r="J186" i="1"/>
  <c r="X186" i="1" s="1"/>
  <c r="AL186" i="1" s="1"/>
  <c r="J178" i="1"/>
  <c r="X178" i="1" s="1"/>
  <c r="J170" i="1"/>
  <c r="X170" i="1" s="1"/>
  <c r="AL170" i="1" s="1"/>
  <c r="J162" i="1"/>
  <c r="X162" i="1" s="1"/>
  <c r="J154" i="1"/>
  <c r="X154" i="1" s="1"/>
  <c r="AL154" i="1" s="1"/>
  <c r="J146" i="1"/>
  <c r="X146" i="1" s="1"/>
  <c r="AL146" i="1" s="1"/>
  <c r="J138" i="1"/>
  <c r="X138" i="1" s="1"/>
  <c r="AL138" i="1" s="1"/>
  <c r="J130" i="1"/>
  <c r="X130" i="1" s="1"/>
  <c r="AL130" i="1" s="1"/>
  <c r="J122" i="1"/>
  <c r="X122" i="1" s="1"/>
  <c r="J114" i="1"/>
  <c r="X114" i="1" s="1"/>
  <c r="J106" i="1"/>
  <c r="X106" i="1" s="1"/>
  <c r="J98" i="1"/>
  <c r="X98" i="1" s="1"/>
  <c r="J90" i="1"/>
  <c r="J82" i="1"/>
  <c r="X82" i="1" s="1"/>
  <c r="J74" i="1"/>
  <c r="J66" i="1"/>
  <c r="J58" i="1"/>
  <c r="X58" i="1" s="1"/>
  <c r="J50" i="1"/>
  <c r="J42" i="1"/>
  <c r="X42" i="1" s="1"/>
  <c r="J34" i="1"/>
  <c r="X34" i="1" s="1"/>
  <c r="J26" i="1"/>
  <c r="X26" i="1" s="1"/>
  <c r="AL26" i="1" s="1"/>
  <c r="J18" i="1"/>
  <c r="X18" i="1" s="1"/>
  <c r="AL18" i="1" s="1"/>
  <c r="J10" i="1"/>
  <c r="X10" i="1" s="1"/>
  <c r="J868" i="1"/>
  <c r="X868" i="1" s="1"/>
  <c r="J812" i="1"/>
  <c r="X812" i="1" s="1"/>
  <c r="J764" i="1"/>
  <c r="X764" i="1" s="1"/>
  <c r="J700" i="1"/>
  <c r="X700" i="1" s="1"/>
  <c r="J636" i="1"/>
  <c r="X636" i="1" s="1"/>
  <c r="J580" i="1"/>
  <c r="J516" i="1"/>
  <c r="X516" i="1" s="1"/>
  <c r="J452" i="1"/>
  <c r="X452" i="1" s="1"/>
  <c r="AL452" i="1" s="1"/>
  <c r="J396" i="1"/>
  <c r="X396" i="1" s="1"/>
  <c r="AL396" i="1" s="1"/>
  <c r="J332" i="1"/>
  <c r="X332" i="1" s="1"/>
  <c r="AL332" i="1" s="1"/>
  <c r="J276" i="1"/>
  <c r="J228" i="1"/>
  <c r="J172" i="1"/>
  <c r="X172" i="1" s="1"/>
  <c r="AL172" i="1" s="1"/>
  <c r="J100" i="1"/>
  <c r="X100" i="1" s="1"/>
  <c r="J20" i="1"/>
  <c r="X20" i="1" s="1"/>
  <c r="J1329" i="1"/>
  <c r="J1321" i="1"/>
  <c r="J1313" i="1"/>
  <c r="J1305" i="1"/>
  <c r="X1305" i="1" s="1"/>
  <c r="J1297" i="1"/>
  <c r="J1289" i="1"/>
  <c r="J1281" i="1"/>
  <c r="J1273" i="1"/>
  <c r="J1265" i="1"/>
  <c r="J1257" i="1"/>
  <c r="J1249" i="1"/>
  <c r="J1241" i="1"/>
  <c r="X1241" i="1" s="1"/>
  <c r="J1233" i="1"/>
  <c r="J1225" i="1"/>
  <c r="J1217" i="1"/>
  <c r="J1209" i="1"/>
  <c r="J1201" i="1"/>
  <c r="J1193" i="1"/>
  <c r="J1185" i="1"/>
  <c r="J1177" i="1"/>
  <c r="X1177" i="1" s="1"/>
  <c r="J1169" i="1"/>
  <c r="X1169" i="1" s="1"/>
  <c r="J1161" i="1"/>
  <c r="X1161" i="1" s="1"/>
  <c r="J1153" i="1"/>
  <c r="X1153" i="1" s="1"/>
  <c r="AL1153" i="1" s="1"/>
  <c r="J1145" i="1"/>
  <c r="X1145" i="1" s="1"/>
  <c r="J1137" i="1"/>
  <c r="X1137" i="1" s="1"/>
  <c r="AL1137" i="1" s="1"/>
  <c r="J1129" i="1"/>
  <c r="X1129" i="1" s="1"/>
  <c r="J1121" i="1"/>
  <c r="X1121" i="1" s="1"/>
  <c r="AL1121" i="1" s="1"/>
  <c r="J1113" i="1"/>
  <c r="X1113" i="1" s="1"/>
  <c r="AL1113" i="1" s="1"/>
  <c r="J1105" i="1"/>
  <c r="X1105" i="1" s="1"/>
  <c r="J1097" i="1"/>
  <c r="X1097" i="1" s="1"/>
  <c r="AL1097" i="1" s="1"/>
  <c r="J1089" i="1"/>
  <c r="X1089" i="1" s="1"/>
  <c r="AL1089" i="1" s="1"/>
  <c r="J1081" i="1"/>
  <c r="X1081" i="1" s="1"/>
  <c r="AL1081" i="1" s="1"/>
  <c r="J1073" i="1"/>
  <c r="X1073" i="1" s="1"/>
  <c r="AL1073" i="1" s="1"/>
  <c r="J1065" i="1"/>
  <c r="X1065" i="1" s="1"/>
  <c r="J1057" i="1"/>
  <c r="X1057" i="1" s="1"/>
  <c r="J1049" i="1"/>
  <c r="X1049" i="1" s="1"/>
  <c r="J1041" i="1"/>
  <c r="X1041" i="1" s="1"/>
  <c r="J1033" i="1"/>
  <c r="X1033" i="1" s="1"/>
  <c r="J1025" i="1"/>
  <c r="X1025" i="1" s="1"/>
  <c r="AL1025" i="1" s="1"/>
  <c r="J1017" i="1"/>
  <c r="X1017" i="1" s="1"/>
  <c r="J1009" i="1"/>
  <c r="X1009" i="1" s="1"/>
  <c r="J1001" i="1"/>
  <c r="X1001" i="1" s="1"/>
  <c r="J993" i="1"/>
  <c r="X993" i="1" s="1"/>
  <c r="J985" i="1"/>
  <c r="X985" i="1" s="1"/>
  <c r="AL985" i="1" s="1"/>
  <c r="J977" i="1"/>
  <c r="X977" i="1" s="1"/>
  <c r="J969" i="1"/>
  <c r="X969" i="1" s="1"/>
  <c r="J961" i="1"/>
  <c r="X961" i="1" s="1"/>
  <c r="AL961" i="1" s="1"/>
  <c r="J953" i="1"/>
  <c r="X953" i="1" s="1"/>
  <c r="J945" i="1"/>
  <c r="X945" i="1" s="1"/>
  <c r="J937" i="1"/>
  <c r="X937" i="1" s="1"/>
  <c r="J929" i="1"/>
  <c r="X929" i="1" s="1"/>
  <c r="J921" i="1"/>
  <c r="X921" i="1" s="1"/>
  <c r="AL921" i="1" s="1"/>
  <c r="J913" i="1"/>
  <c r="X913" i="1" s="1"/>
  <c r="J905" i="1"/>
  <c r="X905" i="1" s="1"/>
  <c r="AL905" i="1" s="1"/>
  <c r="J897" i="1"/>
  <c r="X897" i="1" s="1"/>
  <c r="J889" i="1"/>
  <c r="X889" i="1" s="1"/>
  <c r="AL889" i="1" s="1"/>
  <c r="J881" i="1"/>
  <c r="X881" i="1" s="1"/>
  <c r="J873" i="1"/>
  <c r="X873" i="1" s="1"/>
  <c r="AL873" i="1" s="1"/>
  <c r="J865" i="1"/>
  <c r="X865" i="1" s="1"/>
  <c r="J857" i="1"/>
  <c r="X857" i="1" s="1"/>
  <c r="AL857" i="1" s="1"/>
  <c r="J849" i="1"/>
  <c r="X849" i="1" s="1"/>
  <c r="J841" i="1"/>
  <c r="X841" i="1" s="1"/>
  <c r="J833" i="1"/>
  <c r="X833" i="1" s="1"/>
  <c r="J825" i="1"/>
  <c r="X825" i="1" s="1"/>
  <c r="AL825" i="1" s="1"/>
  <c r="J817" i="1"/>
  <c r="J809" i="1"/>
  <c r="X809" i="1" s="1"/>
  <c r="AL809" i="1" s="1"/>
  <c r="J801" i="1"/>
  <c r="X801" i="1" s="1"/>
  <c r="AL801" i="1" s="1"/>
  <c r="J793" i="1"/>
  <c r="X793" i="1" s="1"/>
  <c r="J785" i="1"/>
  <c r="X785" i="1" s="1"/>
  <c r="AL785" i="1" s="1"/>
  <c r="J777" i="1"/>
  <c r="X777" i="1" s="1"/>
  <c r="AL777" i="1" s="1"/>
  <c r="J769" i="1"/>
  <c r="J761" i="1"/>
  <c r="X761" i="1" s="1"/>
  <c r="J753" i="1"/>
  <c r="X753" i="1" s="1"/>
  <c r="AL753" i="1" s="1"/>
  <c r="J745" i="1"/>
  <c r="X745" i="1" s="1"/>
  <c r="J737" i="1"/>
  <c r="X737" i="1" s="1"/>
  <c r="J729" i="1"/>
  <c r="X729" i="1" s="1"/>
  <c r="AL729" i="1" s="1"/>
  <c r="J721" i="1"/>
  <c r="J713" i="1"/>
  <c r="X713" i="1" s="1"/>
  <c r="J705" i="1"/>
  <c r="X705" i="1" s="1"/>
  <c r="J697" i="1"/>
  <c r="X697" i="1" s="1"/>
  <c r="AL697" i="1" s="1"/>
  <c r="J689" i="1"/>
  <c r="X689" i="1" s="1"/>
  <c r="J681" i="1"/>
  <c r="X681" i="1" s="1"/>
  <c r="J673" i="1"/>
  <c r="X673" i="1" s="1"/>
  <c r="J665" i="1"/>
  <c r="X665" i="1" s="1"/>
  <c r="AL665" i="1" s="1"/>
  <c r="J657" i="1"/>
  <c r="J649" i="1"/>
  <c r="X649" i="1" s="1"/>
  <c r="AL649" i="1" s="1"/>
  <c r="J641" i="1"/>
  <c r="X641" i="1" s="1"/>
  <c r="J633" i="1"/>
  <c r="X633" i="1" s="1"/>
  <c r="J625" i="1"/>
  <c r="X625" i="1" s="1"/>
  <c r="J617" i="1"/>
  <c r="X617" i="1" s="1"/>
  <c r="J609" i="1"/>
  <c r="X609" i="1" s="1"/>
  <c r="J601" i="1"/>
  <c r="X601" i="1" s="1"/>
  <c r="J593" i="1"/>
  <c r="J585" i="1"/>
  <c r="X585" i="1" s="1"/>
  <c r="J577" i="1"/>
  <c r="X577" i="1" s="1"/>
  <c r="J569" i="1"/>
  <c r="X569" i="1" s="1"/>
  <c r="AL569" i="1" s="1"/>
  <c r="J561" i="1"/>
  <c r="X561" i="1" s="1"/>
  <c r="J553" i="1"/>
  <c r="X553" i="1" s="1"/>
  <c r="J545" i="1"/>
  <c r="X545" i="1" s="1"/>
  <c r="J537" i="1"/>
  <c r="X537" i="1" s="1"/>
  <c r="AL537" i="1" s="1"/>
  <c r="J529" i="1"/>
  <c r="X529" i="1" s="1"/>
  <c r="J521" i="1"/>
  <c r="X521" i="1" s="1"/>
  <c r="J513" i="1"/>
  <c r="X513" i="1" s="1"/>
  <c r="J505" i="1"/>
  <c r="X505" i="1" s="1"/>
  <c r="J497" i="1"/>
  <c r="X497" i="1" s="1"/>
  <c r="AL497" i="1" s="1"/>
  <c r="J489" i="1"/>
  <c r="X489" i="1" s="1"/>
  <c r="AL489" i="1" s="1"/>
  <c r="J481" i="1"/>
  <c r="X481" i="1" s="1"/>
  <c r="J473" i="1"/>
  <c r="X473" i="1" s="1"/>
  <c r="AL473" i="1" s="1"/>
  <c r="J465" i="1"/>
  <c r="X465" i="1" s="1"/>
  <c r="J457" i="1"/>
  <c r="X457" i="1" s="1"/>
  <c r="J449" i="1"/>
  <c r="X449" i="1" s="1"/>
  <c r="J433" i="1"/>
  <c r="X433" i="1" s="1"/>
  <c r="AL433" i="1" s="1"/>
  <c r="J425" i="1"/>
  <c r="X425" i="1" s="1"/>
  <c r="AL425" i="1" s="1"/>
  <c r="J417" i="1"/>
  <c r="X417" i="1" s="1"/>
  <c r="AL417" i="1" s="1"/>
  <c r="J401" i="1"/>
  <c r="X401" i="1" s="1"/>
  <c r="J393" i="1"/>
  <c r="X393" i="1" s="1"/>
  <c r="AL393" i="1" s="1"/>
  <c r="J385" i="1"/>
  <c r="X385" i="1" s="1"/>
  <c r="AL385" i="1" s="1"/>
  <c r="J369" i="1"/>
  <c r="X369" i="1" s="1"/>
  <c r="J361" i="1"/>
  <c r="X361" i="1" s="1"/>
  <c r="AL361" i="1" s="1"/>
  <c r="J353" i="1"/>
  <c r="X353" i="1" s="1"/>
  <c r="J337" i="1"/>
  <c r="X337" i="1" s="1"/>
  <c r="J329" i="1"/>
  <c r="X329" i="1" s="1"/>
  <c r="AL329" i="1" s="1"/>
  <c r="J321" i="1"/>
  <c r="X321" i="1" s="1"/>
  <c r="AL321" i="1" s="1"/>
  <c r="J305" i="1"/>
  <c r="X305" i="1" s="1"/>
  <c r="AL305" i="1" s="1"/>
  <c r="J297" i="1"/>
  <c r="X297" i="1" s="1"/>
  <c r="AL297" i="1" s="1"/>
  <c r="J289" i="1"/>
  <c r="X289" i="1" s="1"/>
  <c r="J273" i="1"/>
  <c r="X273" i="1" s="1"/>
  <c r="J265" i="1"/>
  <c r="X265" i="1" s="1"/>
  <c r="J257" i="1"/>
  <c r="X257" i="1" s="1"/>
  <c r="AL257" i="1" s="1"/>
  <c r="J241" i="1"/>
  <c r="X241" i="1" s="1"/>
  <c r="AL241" i="1" s="1"/>
  <c r="J233" i="1"/>
  <c r="X233" i="1" s="1"/>
  <c r="AL233" i="1" s="1"/>
  <c r="J225" i="1"/>
  <c r="X225" i="1" s="1"/>
  <c r="J209" i="1"/>
  <c r="X209" i="1" s="1"/>
  <c r="J201" i="1"/>
  <c r="X201" i="1" s="1"/>
  <c r="AL201" i="1" s="1"/>
  <c r="J193" i="1"/>
  <c r="X193" i="1" s="1"/>
  <c r="J177" i="1"/>
  <c r="X177" i="1" s="1"/>
  <c r="AL177" i="1" s="1"/>
  <c r="J169" i="1"/>
  <c r="X169" i="1" s="1"/>
  <c r="AL169" i="1" s="1"/>
  <c r="J161" i="1"/>
  <c r="X161" i="1" s="1"/>
  <c r="AL161" i="1" s="1"/>
  <c r="J145" i="1"/>
  <c r="X145" i="1" s="1"/>
  <c r="J137" i="1"/>
  <c r="X137" i="1" s="1"/>
  <c r="J129" i="1"/>
  <c r="X129" i="1" s="1"/>
  <c r="J113" i="1"/>
  <c r="X113" i="1" s="1"/>
  <c r="J105" i="1"/>
  <c r="X105" i="1" s="1"/>
  <c r="J97" i="1"/>
  <c r="X97" i="1" s="1"/>
  <c r="AL97" i="1" s="1"/>
  <c r="J81" i="1"/>
  <c r="X81" i="1" s="1"/>
  <c r="AL81" i="1" s="1"/>
  <c r="J73" i="1"/>
  <c r="X73" i="1" s="1"/>
  <c r="J57" i="1"/>
  <c r="X57" i="1" s="1"/>
  <c r="J49" i="1"/>
  <c r="X49" i="1" s="1"/>
  <c r="AL49" i="1" s="1"/>
  <c r="J33" i="1"/>
  <c r="X33" i="1" s="1"/>
  <c r="AL33" i="1" s="1"/>
  <c r="J25" i="1"/>
  <c r="X25" i="1" s="1"/>
  <c r="J9" i="1"/>
  <c r="X9" i="1" s="1"/>
  <c r="AL9" i="1" s="1"/>
  <c r="J820" i="1"/>
  <c r="X820" i="1" s="1"/>
  <c r="AL820" i="1" s="1"/>
  <c r="J772" i="1"/>
  <c r="X772" i="1" s="1"/>
  <c r="J732" i="1"/>
  <c r="X732" i="1" s="1"/>
  <c r="J692" i="1"/>
  <c r="X692" i="1" s="1"/>
  <c r="AL692" i="1" s="1"/>
  <c r="J644" i="1"/>
  <c r="X644" i="1" s="1"/>
  <c r="J612" i="1"/>
  <c r="X612" i="1" s="1"/>
  <c r="J572" i="1"/>
  <c r="X572" i="1" s="1"/>
  <c r="AL572" i="1" s="1"/>
  <c r="J524" i="1"/>
  <c r="X524" i="1" s="1"/>
  <c r="J476" i="1"/>
  <c r="X476" i="1" s="1"/>
  <c r="AL476" i="1" s="1"/>
  <c r="J436" i="1"/>
  <c r="X436" i="1" s="1"/>
  <c r="J404" i="1"/>
  <c r="X404" i="1" s="1"/>
  <c r="J348" i="1"/>
  <c r="X348" i="1" s="1"/>
  <c r="J300" i="1"/>
  <c r="X300" i="1" s="1"/>
  <c r="J244" i="1"/>
  <c r="X244" i="1" s="1"/>
  <c r="AL244" i="1" s="1"/>
  <c r="J188" i="1"/>
  <c r="X188" i="1" s="1"/>
  <c r="AL188" i="1" s="1"/>
  <c r="J140" i="1"/>
  <c r="X140" i="1" s="1"/>
  <c r="J92" i="1"/>
  <c r="X92" i="1" s="1"/>
  <c r="AL92" i="1" s="1"/>
  <c r="J52" i="1"/>
  <c r="X52" i="1" s="1"/>
  <c r="J1328" i="1"/>
  <c r="J1320" i="1"/>
  <c r="J1312" i="1"/>
  <c r="J1304" i="1"/>
  <c r="J1296" i="1"/>
  <c r="J1288" i="1"/>
  <c r="J1280" i="1"/>
  <c r="J1272" i="1"/>
  <c r="J1264" i="1"/>
  <c r="J1256" i="1"/>
  <c r="J1248" i="1"/>
  <c r="J1240" i="1"/>
  <c r="J1232" i="1"/>
  <c r="J1224" i="1"/>
  <c r="J1216" i="1"/>
  <c r="J1208" i="1"/>
  <c r="J1200" i="1"/>
  <c r="J1192" i="1"/>
  <c r="J1184" i="1"/>
  <c r="J1176" i="1"/>
  <c r="J1168" i="1"/>
  <c r="J1160" i="1"/>
  <c r="J1152" i="1"/>
  <c r="J1144" i="1"/>
  <c r="J1136" i="1"/>
  <c r="J1128" i="1"/>
  <c r="J1120" i="1"/>
  <c r="J1112" i="1"/>
  <c r="J1104" i="1"/>
  <c r="J1096" i="1"/>
  <c r="J1088" i="1"/>
  <c r="J1080" i="1"/>
  <c r="J1072" i="1"/>
  <c r="J1064" i="1"/>
  <c r="J1056" i="1"/>
  <c r="J1048" i="1"/>
  <c r="J1040" i="1"/>
  <c r="J1032" i="1"/>
  <c r="J1024" i="1"/>
  <c r="J1016" i="1"/>
  <c r="J1008" i="1"/>
  <c r="J1000" i="1"/>
  <c r="J992" i="1"/>
  <c r="J984" i="1"/>
  <c r="J976" i="1"/>
  <c r="J968" i="1"/>
  <c r="J960" i="1"/>
  <c r="J952" i="1"/>
  <c r="J944" i="1"/>
  <c r="J936" i="1"/>
  <c r="J928" i="1"/>
  <c r="J920" i="1"/>
  <c r="J912" i="1"/>
  <c r="J904" i="1"/>
  <c r="J896" i="1"/>
  <c r="J888" i="1"/>
  <c r="J880" i="1"/>
  <c r="J872" i="1"/>
  <c r="J864" i="1"/>
  <c r="J856" i="1"/>
  <c r="J848" i="1"/>
  <c r="J840" i="1"/>
  <c r="J832" i="1"/>
  <c r="J824" i="1"/>
  <c r="J816" i="1"/>
  <c r="J808" i="1"/>
  <c r="J800" i="1"/>
  <c r="J792" i="1"/>
  <c r="J784" i="1"/>
  <c r="J776" i="1"/>
  <c r="J768" i="1"/>
  <c r="J760" i="1"/>
  <c r="J752" i="1"/>
  <c r="J744" i="1"/>
  <c r="J736" i="1"/>
  <c r="J728" i="1"/>
  <c r="J720" i="1"/>
  <c r="J712" i="1"/>
  <c r="J704" i="1"/>
  <c r="J696" i="1"/>
  <c r="J688" i="1"/>
  <c r="J680" i="1"/>
  <c r="J672" i="1"/>
  <c r="J664" i="1"/>
  <c r="J656" i="1"/>
  <c r="J648" i="1"/>
  <c r="J640" i="1"/>
  <c r="J632" i="1"/>
  <c r="J624" i="1"/>
  <c r="J616" i="1"/>
  <c r="J608" i="1"/>
  <c r="J600" i="1"/>
  <c r="J592" i="1"/>
  <c r="J584" i="1"/>
  <c r="J576" i="1"/>
  <c r="J568" i="1"/>
  <c r="J560" i="1"/>
  <c r="J552" i="1"/>
  <c r="J544" i="1"/>
  <c r="J536" i="1"/>
  <c r="J528" i="1"/>
  <c r="J520" i="1"/>
  <c r="J512" i="1"/>
  <c r="J504" i="1"/>
  <c r="J496" i="1"/>
  <c r="J488" i="1"/>
  <c r="J480" i="1"/>
  <c r="J472" i="1"/>
  <c r="J464" i="1"/>
  <c r="J456" i="1"/>
  <c r="J448" i="1"/>
  <c r="J440" i="1"/>
  <c r="J432" i="1"/>
  <c r="J424" i="1"/>
  <c r="J416" i="1"/>
  <c r="J408" i="1"/>
  <c r="J400" i="1"/>
  <c r="J392" i="1"/>
  <c r="J384" i="1"/>
  <c r="J376" i="1"/>
  <c r="J368" i="1"/>
  <c r="J360" i="1"/>
  <c r="J352" i="1"/>
  <c r="J344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6" i="1"/>
  <c r="J48" i="1"/>
  <c r="J40" i="1"/>
  <c r="J32" i="1"/>
  <c r="J24" i="1"/>
  <c r="J16" i="1"/>
  <c r="J8" i="1"/>
  <c r="J852" i="1"/>
  <c r="X852" i="1" s="1"/>
  <c r="J788" i="1"/>
  <c r="X788" i="1" s="1"/>
  <c r="J724" i="1"/>
  <c r="X724" i="1" s="1"/>
  <c r="J668" i="1"/>
  <c r="X668" i="1" s="1"/>
  <c r="AL668" i="1" s="1"/>
  <c r="J604" i="1"/>
  <c r="X604" i="1" s="1"/>
  <c r="J532" i="1"/>
  <c r="X532" i="1" s="1"/>
  <c r="J484" i="1"/>
  <c r="X484" i="1" s="1"/>
  <c r="AL484" i="1" s="1"/>
  <c r="J428" i="1"/>
  <c r="X428" i="1" s="1"/>
  <c r="AL428" i="1" s="1"/>
  <c r="J364" i="1"/>
  <c r="X364" i="1" s="1"/>
  <c r="J316" i="1"/>
  <c r="J260" i="1"/>
  <c r="J196" i="1"/>
  <c r="X196" i="1" s="1"/>
  <c r="J156" i="1"/>
  <c r="X156" i="1" s="1"/>
  <c r="J108" i="1"/>
  <c r="X108" i="1" s="1"/>
  <c r="J60" i="1"/>
  <c r="X60" i="1" s="1"/>
  <c r="J4" i="1"/>
  <c r="X4" i="1" s="1"/>
  <c r="AL4" i="1" s="1"/>
  <c r="J1327" i="1"/>
  <c r="J1319" i="1"/>
  <c r="J1311" i="1"/>
  <c r="J1303" i="1"/>
  <c r="J1295" i="1"/>
  <c r="J1287" i="1"/>
  <c r="J1279" i="1"/>
  <c r="J1271" i="1"/>
  <c r="J1263" i="1"/>
  <c r="J1255" i="1"/>
  <c r="J1247" i="1"/>
  <c r="J1239" i="1"/>
  <c r="J1231" i="1"/>
  <c r="J1223" i="1"/>
  <c r="J1215" i="1"/>
  <c r="J1207" i="1"/>
  <c r="J1199" i="1"/>
  <c r="J1191" i="1"/>
  <c r="J1183" i="1"/>
  <c r="J1175" i="1"/>
  <c r="J1167" i="1"/>
  <c r="J1159" i="1"/>
  <c r="J1151" i="1"/>
  <c r="J1143" i="1"/>
  <c r="J1135" i="1"/>
  <c r="J1127" i="1"/>
  <c r="J1119" i="1"/>
  <c r="J1111" i="1"/>
  <c r="J1103" i="1"/>
  <c r="J1095" i="1"/>
  <c r="J1087" i="1"/>
  <c r="J1079" i="1"/>
  <c r="J1071" i="1"/>
  <c r="J1063" i="1"/>
  <c r="J1055" i="1"/>
  <c r="J1047" i="1"/>
  <c r="J1039" i="1"/>
  <c r="J1031" i="1"/>
  <c r="J1023" i="1"/>
  <c r="J1015" i="1"/>
  <c r="J1007" i="1"/>
  <c r="J999" i="1"/>
  <c r="J991" i="1"/>
  <c r="J983" i="1"/>
  <c r="J975" i="1"/>
  <c r="J967" i="1"/>
  <c r="J959" i="1"/>
  <c r="J951" i="1"/>
  <c r="J943" i="1"/>
  <c r="J935" i="1"/>
  <c r="J927" i="1"/>
  <c r="J919" i="1"/>
  <c r="J911" i="1"/>
  <c r="J903" i="1"/>
  <c r="J895" i="1"/>
  <c r="J887" i="1"/>
  <c r="J879" i="1"/>
  <c r="J871" i="1"/>
  <c r="J863" i="1"/>
  <c r="J855" i="1"/>
  <c r="J847" i="1"/>
  <c r="J839" i="1"/>
  <c r="J831" i="1"/>
  <c r="J823" i="1"/>
  <c r="J815" i="1"/>
  <c r="J807" i="1"/>
  <c r="J799" i="1"/>
  <c r="J791" i="1"/>
  <c r="J783" i="1"/>
  <c r="J775" i="1"/>
  <c r="J767" i="1"/>
  <c r="J759" i="1"/>
  <c r="J751" i="1"/>
  <c r="J743" i="1"/>
  <c r="J735" i="1"/>
  <c r="J727" i="1"/>
  <c r="J719" i="1"/>
  <c r="J711" i="1"/>
  <c r="J703" i="1"/>
  <c r="J695" i="1"/>
  <c r="J687" i="1"/>
  <c r="J679" i="1"/>
  <c r="J671" i="1"/>
  <c r="J663" i="1"/>
  <c r="J655" i="1"/>
  <c r="J647" i="1"/>
  <c r="J639" i="1"/>
  <c r="J631" i="1"/>
  <c r="J623" i="1"/>
  <c r="J615" i="1"/>
  <c r="J607" i="1"/>
  <c r="J599" i="1"/>
  <c r="J591" i="1"/>
  <c r="J583" i="1"/>
  <c r="J575" i="1"/>
  <c r="J567" i="1"/>
  <c r="J559" i="1"/>
  <c r="J551" i="1"/>
  <c r="J543" i="1"/>
  <c r="J535" i="1"/>
  <c r="J527" i="1"/>
  <c r="J519" i="1"/>
  <c r="J511" i="1"/>
  <c r="J503" i="1"/>
  <c r="J495" i="1"/>
  <c r="J487" i="1"/>
  <c r="J479" i="1"/>
  <c r="J471" i="1"/>
  <c r="J463" i="1"/>
  <c r="J455" i="1"/>
  <c r="J447" i="1"/>
  <c r="J439" i="1"/>
  <c r="J431" i="1"/>
  <c r="J423" i="1"/>
  <c r="J415" i="1"/>
  <c r="J407" i="1"/>
  <c r="J399" i="1"/>
  <c r="J391" i="1"/>
  <c r="J383" i="1"/>
  <c r="J375" i="1"/>
  <c r="J367" i="1"/>
  <c r="J359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3" i="1"/>
  <c r="J15" i="1"/>
  <c r="J7" i="1"/>
  <c r="J836" i="1"/>
  <c r="X836" i="1" s="1"/>
  <c r="AL836" i="1" s="1"/>
  <c r="J780" i="1"/>
  <c r="X780" i="1" s="1"/>
  <c r="AL780" i="1" s="1"/>
  <c r="J716" i="1"/>
  <c r="X716" i="1" s="1"/>
  <c r="J652" i="1"/>
  <c r="X652" i="1" s="1"/>
  <c r="J596" i="1"/>
  <c r="X596" i="1" s="1"/>
  <c r="AL596" i="1" s="1"/>
  <c r="J540" i="1"/>
  <c r="X540" i="1" s="1"/>
  <c r="AL540" i="1" s="1"/>
  <c r="J492" i="1"/>
  <c r="X492" i="1" s="1"/>
  <c r="J420" i="1"/>
  <c r="X420" i="1" s="1"/>
  <c r="AL420" i="1" s="1"/>
  <c r="J356" i="1"/>
  <c r="X356" i="1" s="1"/>
  <c r="AL356" i="1" s="1"/>
  <c r="J308" i="1"/>
  <c r="X308" i="1" s="1"/>
  <c r="J252" i="1"/>
  <c r="X252" i="1" s="1"/>
  <c r="AL252" i="1" s="1"/>
  <c r="J204" i="1"/>
  <c r="X204" i="1" s="1"/>
  <c r="J164" i="1"/>
  <c r="X164" i="1" s="1"/>
  <c r="AL164" i="1" s="1"/>
  <c r="J116" i="1"/>
  <c r="X116" i="1" s="1"/>
  <c r="J68" i="1"/>
  <c r="X68" i="1" s="1"/>
  <c r="J28" i="1"/>
  <c r="X28" i="1" s="1"/>
  <c r="J846" i="1"/>
  <c r="J838" i="1"/>
  <c r="J830" i="1"/>
  <c r="J822" i="1"/>
  <c r="J814" i="1"/>
  <c r="J806" i="1"/>
  <c r="J798" i="1"/>
  <c r="J790" i="1"/>
  <c r="J782" i="1"/>
  <c r="J774" i="1"/>
  <c r="J766" i="1"/>
  <c r="J758" i="1"/>
  <c r="J750" i="1"/>
  <c r="J742" i="1"/>
  <c r="J734" i="1"/>
  <c r="J726" i="1"/>
  <c r="J718" i="1"/>
  <c r="J710" i="1"/>
  <c r="J702" i="1"/>
  <c r="J694" i="1"/>
  <c r="J686" i="1"/>
  <c r="J678" i="1"/>
  <c r="J670" i="1"/>
  <c r="J662" i="1"/>
  <c r="J654" i="1"/>
  <c r="J646" i="1"/>
  <c r="J638" i="1"/>
  <c r="J630" i="1"/>
  <c r="J622" i="1"/>
  <c r="J614" i="1"/>
  <c r="J606" i="1"/>
  <c r="J598" i="1"/>
  <c r="J590" i="1"/>
  <c r="J582" i="1"/>
  <c r="J574" i="1"/>
  <c r="J566" i="1"/>
  <c r="J558" i="1"/>
  <c r="J550" i="1"/>
  <c r="J542" i="1"/>
  <c r="J534" i="1"/>
  <c r="J526" i="1"/>
  <c r="J518" i="1"/>
  <c r="J510" i="1"/>
  <c r="J502" i="1"/>
  <c r="J494" i="1"/>
  <c r="J486" i="1"/>
  <c r="J478" i="1"/>
  <c r="J470" i="1"/>
  <c r="J462" i="1"/>
  <c r="J454" i="1"/>
  <c r="J446" i="1"/>
  <c r="J438" i="1"/>
  <c r="J422" i="1"/>
  <c r="J414" i="1"/>
  <c r="J406" i="1"/>
  <c r="J390" i="1"/>
  <c r="J382" i="1"/>
  <c r="J374" i="1"/>
  <c r="J358" i="1"/>
  <c r="J350" i="1"/>
  <c r="J342" i="1"/>
  <c r="J326" i="1"/>
  <c r="J318" i="1"/>
  <c r="J310" i="1"/>
  <c r="J294" i="1"/>
  <c r="J286" i="1"/>
  <c r="J278" i="1"/>
  <c r="J262" i="1"/>
  <c r="J254" i="1"/>
  <c r="J246" i="1"/>
  <c r="J230" i="1"/>
  <c r="J222" i="1"/>
  <c r="J214" i="1"/>
  <c r="J198" i="1"/>
  <c r="J190" i="1"/>
  <c r="J182" i="1"/>
  <c r="J166" i="1"/>
  <c r="J158" i="1"/>
  <c r="J150" i="1"/>
  <c r="J134" i="1"/>
  <c r="J126" i="1"/>
  <c r="J118" i="1"/>
  <c r="J102" i="1"/>
  <c r="J94" i="1"/>
  <c r="J86" i="1"/>
  <c r="J70" i="1"/>
  <c r="J62" i="1"/>
  <c r="J46" i="1"/>
  <c r="J38" i="1"/>
  <c r="J30" i="1"/>
  <c r="J22" i="1"/>
  <c r="J14" i="1"/>
  <c r="J6" i="1"/>
  <c r="J860" i="1"/>
  <c r="X860" i="1" s="1"/>
  <c r="AL860" i="1" s="1"/>
  <c r="J804" i="1"/>
  <c r="X804" i="1" s="1"/>
  <c r="J740" i="1"/>
  <c r="X740" i="1" s="1"/>
  <c r="AL740" i="1" s="1"/>
  <c r="J684" i="1"/>
  <c r="X684" i="1" s="1"/>
  <c r="J620" i="1"/>
  <c r="X620" i="1" s="1"/>
  <c r="J556" i="1"/>
  <c r="X556" i="1" s="1"/>
  <c r="J500" i="1"/>
  <c r="X500" i="1" s="1"/>
  <c r="J444" i="1"/>
  <c r="X444" i="1" s="1"/>
  <c r="AL444" i="1" s="1"/>
  <c r="J388" i="1"/>
  <c r="X388" i="1" s="1"/>
  <c r="AL388" i="1" s="1"/>
  <c r="J324" i="1"/>
  <c r="X324" i="1" s="1"/>
  <c r="J268" i="1"/>
  <c r="X268" i="1" s="1"/>
  <c r="AL268" i="1" s="1"/>
  <c r="J220" i="1"/>
  <c r="X220" i="1" s="1"/>
  <c r="AL220" i="1" s="1"/>
  <c r="J148" i="1"/>
  <c r="X148" i="1" s="1"/>
  <c r="J84" i="1"/>
  <c r="X84" i="1" s="1"/>
  <c r="J12" i="1"/>
  <c r="X12" i="1" s="1"/>
  <c r="J517" i="1"/>
  <c r="J509" i="1"/>
  <c r="J501" i="1"/>
  <c r="X501" i="1" s="1"/>
  <c r="AL501" i="1" s="1"/>
  <c r="J493" i="1"/>
  <c r="J485" i="1"/>
  <c r="J477" i="1"/>
  <c r="J469" i="1"/>
  <c r="X469" i="1" s="1"/>
  <c r="J461" i="1"/>
  <c r="J453" i="1"/>
  <c r="J445" i="1"/>
  <c r="J437" i="1"/>
  <c r="X437" i="1" s="1"/>
  <c r="J429" i="1"/>
  <c r="J421" i="1"/>
  <c r="J413" i="1"/>
  <c r="J405" i="1"/>
  <c r="X405" i="1" s="1"/>
  <c r="J397" i="1"/>
  <c r="J389" i="1"/>
  <c r="X389" i="1" s="1"/>
  <c r="J381" i="1"/>
  <c r="J373" i="1"/>
  <c r="X373" i="1" s="1"/>
  <c r="AL373" i="1" s="1"/>
  <c r="J365" i="1"/>
  <c r="J357" i="1"/>
  <c r="X357" i="1" s="1"/>
  <c r="J349" i="1"/>
  <c r="J341" i="1"/>
  <c r="X341" i="1" s="1"/>
  <c r="J333" i="1"/>
  <c r="J325" i="1"/>
  <c r="X325" i="1" s="1"/>
  <c r="AL325" i="1" s="1"/>
  <c r="J317" i="1"/>
  <c r="J309" i="1"/>
  <c r="X309" i="1" s="1"/>
  <c r="J301" i="1"/>
  <c r="J293" i="1"/>
  <c r="X293" i="1" s="1"/>
  <c r="J285" i="1"/>
  <c r="J277" i="1"/>
  <c r="X277" i="1" s="1"/>
  <c r="J269" i="1"/>
  <c r="J261" i="1"/>
  <c r="X261" i="1" s="1"/>
  <c r="J253" i="1"/>
  <c r="J245" i="1"/>
  <c r="J237" i="1"/>
  <c r="X237" i="1" s="1"/>
  <c r="J229" i="1"/>
  <c r="X229" i="1" s="1"/>
  <c r="J221" i="1"/>
  <c r="J213" i="1"/>
  <c r="X213" i="1" s="1"/>
  <c r="J205" i="1"/>
  <c r="X205" i="1" s="1"/>
  <c r="AL205" i="1" s="1"/>
  <c r="J197" i="1"/>
  <c r="X197" i="1" s="1"/>
  <c r="J189" i="1"/>
  <c r="J181" i="1"/>
  <c r="X181" i="1" s="1"/>
  <c r="J173" i="1"/>
  <c r="J165" i="1"/>
  <c r="X165" i="1" s="1"/>
  <c r="J157" i="1"/>
  <c r="J149" i="1"/>
  <c r="X149" i="1" s="1"/>
  <c r="J141" i="1"/>
  <c r="X141" i="1" s="1"/>
  <c r="J133" i="1"/>
  <c r="X133" i="1" s="1"/>
  <c r="J125" i="1"/>
  <c r="J117" i="1"/>
  <c r="X117" i="1" s="1"/>
  <c r="AL117" i="1" s="1"/>
  <c r="J109" i="1"/>
  <c r="J101" i="1"/>
  <c r="X101" i="1" s="1"/>
  <c r="AL101" i="1" s="1"/>
  <c r="J93" i="1"/>
  <c r="J85" i="1"/>
  <c r="X85" i="1" s="1"/>
  <c r="AL85" i="1" s="1"/>
  <c r="J77" i="1"/>
  <c r="X77" i="1" s="1"/>
  <c r="AL77" i="1" s="1"/>
  <c r="J69" i="1"/>
  <c r="X69" i="1" s="1"/>
  <c r="AL69" i="1" s="1"/>
  <c r="J61" i="1"/>
  <c r="J53" i="1"/>
  <c r="X53" i="1" s="1"/>
  <c r="AL53" i="1" s="1"/>
  <c r="J45" i="1"/>
  <c r="X45" i="1" s="1"/>
  <c r="J37" i="1"/>
  <c r="X37" i="1" s="1"/>
  <c r="J21" i="1"/>
  <c r="X21" i="1" s="1"/>
  <c r="J13" i="1"/>
  <c r="J5" i="1"/>
  <c r="X5" i="1" s="1"/>
  <c r="V1330" i="1"/>
  <c r="V1322" i="1"/>
  <c r="V1290" i="1"/>
  <c r="V1266" i="1"/>
  <c r="V1258" i="1"/>
  <c r="V1226" i="1"/>
  <c r="V1202" i="1"/>
  <c r="V1194" i="1"/>
  <c r="V1162" i="1"/>
  <c r="V1138" i="1"/>
  <c r="V1130" i="1"/>
  <c r="V1098" i="1"/>
  <c r="V1074" i="1"/>
  <c r="V1066" i="1"/>
  <c r="V1034" i="1"/>
  <c r="V1010" i="1"/>
  <c r="V1002" i="1"/>
  <c r="V970" i="1"/>
  <c r="V946" i="1"/>
  <c r="V938" i="1"/>
  <c r="V906" i="1"/>
  <c r="V882" i="1"/>
  <c r="V874" i="1"/>
  <c r="V850" i="1"/>
  <c r="V842" i="1"/>
  <c r="V818" i="1"/>
  <c r="V810" i="1"/>
  <c r="V786" i="1"/>
  <c r="V778" i="1"/>
  <c r="V754" i="1"/>
  <c r="V746" i="1"/>
  <c r="V722" i="1"/>
  <c r="V714" i="1"/>
  <c r="V690" i="1"/>
  <c r="V682" i="1"/>
  <c r="V178" i="1"/>
  <c r="V170" i="1"/>
  <c r="V162" i="1"/>
  <c r="V146" i="1"/>
  <c r="V138" i="1"/>
  <c r="V130" i="1"/>
  <c r="V114" i="1"/>
  <c r="V106" i="1"/>
  <c r="V98" i="1"/>
  <c r="V82" i="1"/>
  <c r="V74" i="1"/>
  <c r="V66" i="1"/>
  <c r="V50" i="1"/>
  <c r="V42" i="1"/>
  <c r="V34" i="1"/>
  <c r="V18" i="1"/>
  <c r="V10" i="1"/>
  <c r="V1210" i="1"/>
  <c r="V954" i="1"/>
  <c r="V698" i="1"/>
  <c r="V794" i="1"/>
  <c r="V1146" i="1"/>
  <c r="V890" i="1"/>
  <c r="V1306" i="1"/>
  <c r="V1050" i="1"/>
  <c r="V1242" i="1"/>
  <c r="V986" i="1"/>
  <c r="V490" i="1"/>
  <c r="V466" i="1"/>
  <c r="V450" i="1"/>
  <c r="V426" i="1"/>
  <c r="V410" i="1"/>
  <c r="V362" i="1"/>
  <c r="V314" i="1"/>
  <c r="V1082" i="1"/>
  <c r="V826" i="1"/>
  <c r="V498" i="1"/>
  <c r="V482" i="1"/>
  <c r="V458" i="1"/>
  <c r="V418" i="1"/>
  <c r="V402" i="1"/>
  <c r="V386" i="1"/>
  <c r="V370" i="1"/>
  <c r="V338" i="1"/>
  <c r="V322" i="1"/>
  <c r="V434" i="1"/>
  <c r="V394" i="1"/>
  <c r="V354" i="1"/>
  <c r="V330" i="1"/>
  <c r="V1274" i="1"/>
  <c r="V1018" i="1"/>
  <c r="V762" i="1"/>
  <c r="V666" i="1"/>
  <c r="V658" i="1"/>
  <c r="V650" i="1"/>
  <c r="V642" i="1"/>
  <c r="V634" i="1"/>
  <c r="V626" i="1"/>
  <c r="V618" i="1"/>
  <c r="V610" i="1"/>
  <c r="V602" i="1"/>
  <c r="V594" i="1"/>
  <c r="V586" i="1"/>
  <c r="V578" i="1"/>
  <c r="V570" i="1"/>
  <c r="V562" i="1"/>
  <c r="V554" i="1"/>
  <c r="V546" i="1"/>
  <c r="V538" i="1"/>
  <c r="V530" i="1"/>
  <c r="V522" i="1"/>
  <c r="V514" i="1"/>
  <c r="V506" i="1"/>
  <c r="O17" i="1"/>
  <c r="O19" i="1"/>
  <c r="O11" i="1"/>
  <c r="O25" i="1"/>
  <c r="O29" i="1"/>
  <c r="O31" i="1"/>
  <c r="O23" i="1"/>
  <c r="O21" i="1"/>
  <c r="O13" i="1"/>
  <c r="O15" i="1"/>
  <c r="O5" i="1"/>
  <c r="O7" i="1"/>
  <c r="O9" i="1"/>
  <c r="Z45" i="1" l="1"/>
  <c r="Z237" i="1"/>
  <c r="Z268" i="1"/>
  <c r="Z740" i="1"/>
  <c r="Z28" i="1"/>
  <c r="Z420" i="1"/>
  <c r="Z108" i="1"/>
  <c r="Z532" i="1"/>
  <c r="Z244" i="1"/>
  <c r="Z612" i="1"/>
  <c r="Z33" i="1"/>
  <c r="Z129" i="1"/>
  <c r="Z209" i="1"/>
  <c r="Z297" i="1"/>
  <c r="Z385" i="1"/>
  <c r="Z465" i="1"/>
  <c r="Z529" i="1"/>
  <c r="Z785" i="1"/>
  <c r="Z849" i="1"/>
  <c r="AL849" i="1" s="1"/>
  <c r="Z913" i="1"/>
  <c r="Z977" i="1"/>
  <c r="Z1041" i="1"/>
  <c r="Z1105" i="1"/>
  <c r="Z1169" i="1"/>
  <c r="Z700" i="1"/>
  <c r="Z42" i="1"/>
  <c r="Z106" i="1"/>
  <c r="Z170" i="1"/>
  <c r="Z234" i="1"/>
  <c r="Z298" i="1"/>
  <c r="Z362" i="1"/>
  <c r="Z426" i="1"/>
  <c r="Z468" i="1"/>
  <c r="Z27" i="1"/>
  <c r="Z91" i="1"/>
  <c r="Z179" i="1"/>
  <c r="Z267" i="1"/>
  <c r="Z347" i="1"/>
  <c r="Z435" i="1"/>
  <c r="Z499" i="1"/>
  <c r="Z340" i="1"/>
  <c r="Z676" i="1"/>
  <c r="Z41" i="1"/>
  <c r="Z281" i="1"/>
  <c r="Z466" i="1"/>
  <c r="Z530" i="1"/>
  <c r="Z594" i="1"/>
  <c r="Z658" i="1"/>
  <c r="Z722" i="1"/>
  <c r="Z786" i="1"/>
  <c r="Z850" i="1"/>
  <c r="Z195" i="1"/>
  <c r="Z515" i="1"/>
  <c r="Z643" i="1"/>
  <c r="Z707" i="1"/>
  <c r="Z771" i="1"/>
  <c r="Z835" i="1"/>
  <c r="Z899" i="1"/>
  <c r="Z1027" i="1"/>
  <c r="Z884" i="1"/>
  <c r="Z948" i="1"/>
  <c r="Z1140" i="1"/>
  <c r="Z1204" i="1"/>
  <c r="Z1268" i="1"/>
  <c r="Z1332" i="1"/>
  <c r="Z581" i="1"/>
  <c r="Z645" i="1"/>
  <c r="Z709" i="1"/>
  <c r="Z773" i="1"/>
  <c r="Z837" i="1"/>
  <c r="Z78" i="1"/>
  <c r="Z334" i="1"/>
  <c r="Z886" i="1"/>
  <c r="Z950" i="1"/>
  <c r="Z1014" i="1"/>
  <c r="Z1078" i="1"/>
  <c r="Z1142" i="1"/>
  <c r="Z1206" i="1"/>
  <c r="Z1270" i="1"/>
  <c r="Z1334" i="1"/>
  <c r="Z197" i="1"/>
  <c r="Z389" i="1"/>
  <c r="Z596" i="1"/>
  <c r="Z732" i="1"/>
  <c r="Z241" i="1"/>
  <c r="Z489" i="1"/>
  <c r="Z681" i="1"/>
  <c r="Z809" i="1"/>
  <c r="Z1001" i="1"/>
  <c r="Z868" i="1"/>
  <c r="Z258" i="1"/>
  <c r="Z44" i="1"/>
  <c r="Z123" i="1"/>
  <c r="Z379" i="1"/>
  <c r="Z460" i="1"/>
  <c r="Z121" i="1"/>
  <c r="Z377" i="1"/>
  <c r="Z618" i="1"/>
  <c r="Z874" i="1"/>
  <c r="Z603" i="1"/>
  <c r="Z731" i="1"/>
  <c r="Z987" i="1"/>
  <c r="Z149" i="1"/>
  <c r="Z341" i="1"/>
  <c r="Z84" i="1"/>
  <c r="Z364" i="1"/>
  <c r="Z97" i="1"/>
  <c r="Z353" i="1"/>
  <c r="Z569" i="1"/>
  <c r="Z761" i="1"/>
  <c r="Z953" i="1"/>
  <c r="Z1145" i="1"/>
  <c r="Z20" i="1"/>
  <c r="Z82" i="1"/>
  <c r="Z274" i="1"/>
  <c r="Z3" i="1"/>
  <c r="Z235" i="1"/>
  <c r="Z475" i="1"/>
  <c r="Z698" i="1"/>
  <c r="Z890" i="1"/>
  <c r="Z355" i="1"/>
  <c r="Z683" i="1"/>
  <c r="Z875" i="1"/>
  <c r="Z1003" i="1"/>
  <c r="Z557" i="1"/>
  <c r="Z621" i="1"/>
  <c r="Z685" i="1"/>
  <c r="Z813" i="1"/>
  <c r="Z238" i="1"/>
  <c r="Z862" i="1"/>
  <c r="Z926" i="1"/>
  <c r="Z990" i="1"/>
  <c r="Z1054" i="1"/>
  <c r="Z1118" i="1"/>
  <c r="Z1310" i="1"/>
  <c r="Z53" i="1"/>
  <c r="Z117" i="1"/>
  <c r="Z181" i="1"/>
  <c r="Z309" i="1"/>
  <c r="Z373" i="1"/>
  <c r="Z437" i="1"/>
  <c r="Z501" i="1"/>
  <c r="Z324" i="1"/>
  <c r="Z804" i="1"/>
  <c r="Z68" i="1"/>
  <c r="Z492" i="1"/>
  <c r="Z156" i="1"/>
  <c r="Z604" i="1"/>
  <c r="Z300" i="1"/>
  <c r="Z644" i="1"/>
  <c r="Z49" i="1"/>
  <c r="Z137" i="1"/>
  <c r="Z225" i="1"/>
  <c r="Z305" i="1"/>
  <c r="Z393" i="1"/>
  <c r="Z473" i="1"/>
  <c r="Z537" i="1"/>
  <c r="Z601" i="1"/>
  <c r="Z665" i="1"/>
  <c r="Z729" i="1"/>
  <c r="Z793" i="1"/>
  <c r="Z857" i="1"/>
  <c r="Z921" i="1"/>
  <c r="Z985" i="1"/>
  <c r="Z1049" i="1"/>
  <c r="Z1113" i="1"/>
  <c r="Z1177" i="1"/>
  <c r="Z1241" i="1"/>
  <c r="Z1305" i="1"/>
  <c r="Z764" i="1"/>
  <c r="Z114" i="1"/>
  <c r="Z178" i="1"/>
  <c r="Z242" i="1"/>
  <c r="Z306" i="1"/>
  <c r="Z370" i="1"/>
  <c r="Z434" i="1"/>
  <c r="Z564" i="1"/>
  <c r="Z35" i="1"/>
  <c r="Z107" i="1"/>
  <c r="Z187" i="1"/>
  <c r="Z275" i="1"/>
  <c r="Z363" i="1"/>
  <c r="Z443" i="1"/>
  <c r="Z507" i="1"/>
  <c r="Z380" i="1"/>
  <c r="Z708" i="1"/>
  <c r="Z65" i="1"/>
  <c r="Z313" i="1"/>
  <c r="Z227" i="1"/>
  <c r="Z523" i="1"/>
  <c r="Z587" i="1"/>
  <c r="Z651" i="1"/>
  <c r="Z715" i="1"/>
  <c r="Z779" i="1"/>
  <c r="Z971" i="1"/>
  <c r="Z1035" i="1"/>
  <c r="Z892" i="1"/>
  <c r="Z956" i="1"/>
  <c r="Z525" i="1"/>
  <c r="Z589" i="1"/>
  <c r="Z653" i="1"/>
  <c r="Z717" i="1"/>
  <c r="Z781" i="1"/>
  <c r="Z845" i="1"/>
  <c r="Z110" i="1"/>
  <c r="Z366" i="1"/>
  <c r="Z894" i="1"/>
  <c r="Z958" i="1"/>
  <c r="Z1022" i="1"/>
  <c r="Z1086" i="1"/>
  <c r="Z1150" i="1"/>
  <c r="Z1278" i="1"/>
  <c r="M2" i="1"/>
  <c r="Z2" i="1"/>
  <c r="Y2" i="1"/>
  <c r="Z388" i="1"/>
  <c r="Z860" i="1"/>
  <c r="Z116" i="1"/>
  <c r="Z540" i="1"/>
  <c r="Z196" i="1"/>
  <c r="Z668" i="1"/>
  <c r="Z348" i="1"/>
  <c r="Z692" i="1"/>
  <c r="Z57" i="1"/>
  <c r="Z145" i="1"/>
  <c r="Z233" i="1"/>
  <c r="Z321" i="1"/>
  <c r="Z401" i="1"/>
  <c r="Z481" i="1"/>
  <c r="Z545" i="1"/>
  <c r="Z609" i="1"/>
  <c r="Z673" i="1"/>
  <c r="Z737" i="1"/>
  <c r="Z801" i="1"/>
  <c r="Z865" i="1"/>
  <c r="Z929" i="1"/>
  <c r="Z993" i="1"/>
  <c r="Z1057" i="1"/>
  <c r="Z1121" i="1"/>
  <c r="Z332" i="1"/>
  <c r="Z812" i="1"/>
  <c r="Z58" i="1"/>
  <c r="Z122" i="1"/>
  <c r="Z186" i="1"/>
  <c r="Z250" i="1"/>
  <c r="Z314" i="1"/>
  <c r="Z378" i="1"/>
  <c r="Z442" i="1"/>
  <c r="Z660" i="1"/>
  <c r="Z43" i="1"/>
  <c r="Z115" i="1"/>
  <c r="Z203" i="1"/>
  <c r="Z371" i="1"/>
  <c r="Z451" i="1"/>
  <c r="Z36" i="1"/>
  <c r="Z412" i="1"/>
  <c r="Z748" i="1"/>
  <c r="Z482" i="1"/>
  <c r="Z546" i="1"/>
  <c r="Z610" i="1"/>
  <c r="Z674" i="1"/>
  <c r="Z738" i="1"/>
  <c r="Z802" i="1"/>
  <c r="Z866" i="1"/>
  <c r="Z259" i="1"/>
  <c r="Z531" i="1"/>
  <c r="Z595" i="1"/>
  <c r="Z659" i="1"/>
  <c r="Z723" i="1"/>
  <c r="Z787" i="1"/>
  <c r="Z851" i="1"/>
  <c r="Z915" i="1"/>
  <c r="Z979" i="1"/>
  <c r="Z1043" i="1"/>
  <c r="Z900" i="1"/>
  <c r="Z964" i="1"/>
  <c r="Z533" i="1"/>
  <c r="Z597" i="1"/>
  <c r="Z661" i="1"/>
  <c r="Z725" i="1"/>
  <c r="Z789" i="1"/>
  <c r="Z853" i="1"/>
  <c r="Z142" i="1"/>
  <c r="Z398" i="1"/>
  <c r="Z902" i="1"/>
  <c r="Z966" i="1"/>
  <c r="Z1030" i="1"/>
  <c r="Z1094" i="1"/>
  <c r="Z1158" i="1"/>
  <c r="Z1222" i="1"/>
  <c r="Z1286" i="1"/>
  <c r="Z69" i="1"/>
  <c r="Z261" i="1"/>
  <c r="Z444" i="1"/>
  <c r="Z404" i="1"/>
  <c r="Z161" i="1"/>
  <c r="Z417" i="1"/>
  <c r="Z617" i="1"/>
  <c r="Z873" i="1"/>
  <c r="Z1065" i="1"/>
  <c r="Z396" i="1"/>
  <c r="Z194" i="1"/>
  <c r="Z386" i="1"/>
  <c r="Z51" i="1"/>
  <c r="Z299" i="1"/>
  <c r="Z459" i="1"/>
  <c r="Z796" i="1"/>
  <c r="Z490" i="1"/>
  <c r="Z682" i="1"/>
  <c r="Z810" i="1"/>
  <c r="Z539" i="1"/>
  <c r="Z667" i="1"/>
  <c r="Z795" i="1"/>
  <c r="Z859" i="1"/>
  <c r="Z923" i="1"/>
  <c r="Z908" i="1"/>
  <c r="Z541" i="1"/>
  <c r="Z605" i="1"/>
  <c r="Z669" i="1"/>
  <c r="Z733" i="1"/>
  <c r="Z797" i="1"/>
  <c r="Z861" i="1"/>
  <c r="Z174" i="1"/>
  <c r="Z430" i="1"/>
  <c r="Z910" i="1"/>
  <c r="Z974" i="1"/>
  <c r="Z1038" i="1"/>
  <c r="Z1102" i="1"/>
  <c r="Z1166" i="1"/>
  <c r="Z1230" i="1"/>
  <c r="Z1294" i="1"/>
  <c r="Z5" i="1"/>
  <c r="Z77" i="1"/>
  <c r="Z141" i="1"/>
  <c r="Z205" i="1"/>
  <c r="Z12" i="1"/>
  <c r="Z500" i="1"/>
  <c r="Z204" i="1"/>
  <c r="Z652" i="1"/>
  <c r="Z788" i="1"/>
  <c r="Z52" i="1"/>
  <c r="Z436" i="1"/>
  <c r="Z772" i="1"/>
  <c r="Z81" i="1"/>
  <c r="Z169" i="1"/>
  <c r="Z257" i="1"/>
  <c r="Z337" i="1"/>
  <c r="Z425" i="1"/>
  <c r="Z497" i="1"/>
  <c r="Z561" i="1"/>
  <c r="Z625" i="1"/>
  <c r="Z689" i="1"/>
  <c r="Z753" i="1"/>
  <c r="Z881" i="1"/>
  <c r="Z945" i="1"/>
  <c r="Z1009" i="1"/>
  <c r="Z1073" i="1"/>
  <c r="Z1137" i="1"/>
  <c r="Z452" i="1"/>
  <c r="Z10" i="1"/>
  <c r="Z138" i="1"/>
  <c r="Z202" i="1"/>
  <c r="Z266" i="1"/>
  <c r="Z330" i="1"/>
  <c r="Z394" i="1"/>
  <c r="Z844" i="1"/>
  <c r="Z59" i="1"/>
  <c r="Z139" i="1"/>
  <c r="Z219" i="1"/>
  <c r="Z307" i="1"/>
  <c r="Z395" i="1"/>
  <c r="Z132" i="1"/>
  <c r="Z153" i="1"/>
  <c r="Z409" i="1"/>
  <c r="Z498" i="1"/>
  <c r="Z562" i="1"/>
  <c r="Z626" i="1"/>
  <c r="Z754" i="1"/>
  <c r="Z818" i="1"/>
  <c r="Z882" i="1"/>
  <c r="Z323" i="1"/>
  <c r="Z547" i="1"/>
  <c r="Z611" i="1"/>
  <c r="Z675" i="1"/>
  <c r="Z739" i="1"/>
  <c r="Z803" i="1"/>
  <c r="Z867" i="1"/>
  <c r="Z931" i="1"/>
  <c r="Z995" i="1"/>
  <c r="Z916" i="1"/>
  <c r="Z549" i="1"/>
  <c r="Z613" i="1"/>
  <c r="Z677" i="1"/>
  <c r="Z741" i="1"/>
  <c r="Z805" i="1"/>
  <c r="Z869" i="1"/>
  <c r="Z206" i="1"/>
  <c r="Z854" i="1"/>
  <c r="Z918" i="1"/>
  <c r="Z982" i="1"/>
  <c r="Z1046" i="1"/>
  <c r="Z1110" i="1"/>
  <c r="Z1174" i="1"/>
  <c r="Z1238" i="1"/>
  <c r="Z1302" i="1"/>
  <c r="Z133" i="1"/>
  <c r="Z325" i="1"/>
  <c r="Z164" i="1"/>
  <c r="Z724" i="1"/>
  <c r="Z73" i="1"/>
  <c r="Z329" i="1"/>
  <c r="Z553" i="1"/>
  <c r="Z745" i="1"/>
  <c r="Z937" i="1"/>
  <c r="Z1129" i="1"/>
  <c r="Z130" i="1"/>
  <c r="Z322" i="1"/>
  <c r="Z756" i="1"/>
  <c r="Z211" i="1"/>
  <c r="Z76" i="1"/>
  <c r="Z554" i="1"/>
  <c r="Z213" i="1"/>
  <c r="Z405" i="1"/>
  <c r="Z556" i="1"/>
  <c r="Z716" i="1"/>
  <c r="Z852" i="1"/>
  <c r="Z92" i="1"/>
  <c r="Z820" i="1"/>
  <c r="Z265" i="1"/>
  <c r="Z505" i="1"/>
  <c r="Z697" i="1"/>
  <c r="Z889" i="1"/>
  <c r="Z1081" i="1"/>
  <c r="Z516" i="1"/>
  <c r="Z146" i="1"/>
  <c r="Z338" i="1"/>
  <c r="Z67" i="1"/>
  <c r="Z315" i="1"/>
  <c r="Z180" i="1"/>
  <c r="Z185" i="1"/>
  <c r="Z570" i="1"/>
  <c r="Z762" i="1"/>
  <c r="Z99" i="1"/>
  <c r="Z555" i="1"/>
  <c r="Z747" i="1"/>
  <c r="Z939" i="1"/>
  <c r="Z924" i="1"/>
  <c r="Z1182" i="1"/>
  <c r="Z21" i="1"/>
  <c r="Z148" i="1"/>
  <c r="Z620" i="1"/>
  <c r="Z308" i="1"/>
  <c r="Z780" i="1"/>
  <c r="Z4" i="1"/>
  <c r="Z428" i="1"/>
  <c r="Z140" i="1"/>
  <c r="Z524" i="1"/>
  <c r="Z9" i="1"/>
  <c r="Z105" i="1"/>
  <c r="Z193" i="1"/>
  <c r="Z273" i="1"/>
  <c r="Z361" i="1"/>
  <c r="Z449" i="1"/>
  <c r="Z513" i="1"/>
  <c r="Z577" i="1"/>
  <c r="Z641" i="1"/>
  <c r="Z705" i="1"/>
  <c r="Z833" i="1"/>
  <c r="Z897" i="1"/>
  <c r="Z961" i="1"/>
  <c r="Z1025" i="1"/>
  <c r="Z1089" i="1"/>
  <c r="Z1153" i="1"/>
  <c r="Z100" i="1"/>
  <c r="Z26" i="1"/>
  <c r="Z154" i="1"/>
  <c r="Z218" i="1"/>
  <c r="Z282" i="1"/>
  <c r="Z346" i="1"/>
  <c r="Z410" i="1"/>
  <c r="Z292" i="1"/>
  <c r="Z11" i="1"/>
  <c r="Z75" i="1"/>
  <c r="Z155" i="1"/>
  <c r="Z243" i="1"/>
  <c r="Z331" i="1"/>
  <c r="Z411" i="1"/>
  <c r="Z483" i="1"/>
  <c r="Z236" i="1"/>
  <c r="Z588" i="1"/>
  <c r="Z29" i="1"/>
  <c r="Z217" i="1"/>
  <c r="Z450" i="1"/>
  <c r="Z514" i="1"/>
  <c r="Z578" i="1"/>
  <c r="Z642" i="1"/>
  <c r="Z706" i="1"/>
  <c r="Z770" i="1"/>
  <c r="Z834" i="1"/>
  <c r="Z898" i="1"/>
  <c r="Z131" i="1"/>
  <c r="Z387" i="1"/>
  <c r="Z563" i="1"/>
  <c r="Z627" i="1"/>
  <c r="Z691" i="1"/>
  <c r="Z755" i="1"/>
  <c r="Z819" i="1"/>
  <c r="Z883" i="1"/>
  <c r="Z947" i="1"/>
  <c r="Z1011" i="1"/>
  <c r="Z932" i="1"/>
  <c r="Z270" i="1"/>
  <c r="Z870" i="1"/>
  <c r="Z998" i="1"/>
  <c r="Z1062" i="1"/>
  <c r="Z1126" i="1"/>
  <c r="Z1190" i="1"/>
  <c r="Z1254" i="1"/>
  <c r="Z1318" i="1"/>
  <c r="Z85" i="1"/>
  <c r="Z277" i="1"/>
  <c r="Z469" i="1"/>
  <c r="Z252" i="1"/>
  <c r="Z476" i="1"/>
  <c r="Z177" i="1"/>
  <c r="Z433" i="1"/>
  <c r="Z633" i="1"/>
  <c r="Z825" i="1"/>
  <c r="Z1017" i="1"/>
  <c r="Z18" i="1"/>
  <c r="Z210" i="1"/>
  <c r="Z402" i="1"/>
  <c r="Z147" i="1"/>
  <c r="Z403" i="1"/>
  <c r="Z548" i="1"/>
  <c r="Z634" i="1"/>
  <c r="Z619" i="1"/>
  <c r="Z811" i="1"/>
  <c r="Z1246" i="1"/>
  <c r="Z37" i="1"/>
  <c r="Z101" i="1"/>
  <c r="Z165" i="1"/>
  <c r="Z229" i="1"/>
  <c r="Z293" i="1"/>
  <c r="Z357" i="1"/>
  <c r="Z220" i="1"/>
  <c r="Z684" i="1"/>
  <c r="Z356" i="1"/>
  <c r="Z836" i="1"/>
  <c r="Z60" i="1"/>
  <c r="Z484" i="1"/>
  <c r="Z188" i="1"/>
  <c r="Z572" i="1"/>
  <c r="Z25" i="1"/>
  <c r="Z113" i="1"/>
  <c r="Z201" i="1"/>
  <c r="Z289" i="1"/>
  <c r="Z369" i="1"/>
  <c r="Z457" i="1"/>
  <c r="Z521" i="1"/>
  <c r="Z585" i="1"/>
  <c r="Z649" i="1"/>
  <c r="Z713" i="1"/>
  <c r="Z777" i="1"/>
  <c r="Z841" i="1"/>
  <c r="Z905" i="1"/>
  <c r="Z969" i="1"/>
  <c r="Z1033" i="1"/>
  <c r="Z1097" i="1"/>
  <c r="Z1161" i="1"/>
  <c r="Z172" i="1"/>
  <c r="Z636" i="1"/>
  <c r="Z34" i="1"/>
  <c r="Z98" i="1"/>
  <c r="Z162" i="1"/>
  <c r="Z226" i="1"/>
  <c r="Z290" i="1"/>
  <c r="Z354" i="1"/>
  <c r="Z418" i="1"/>
  <c r="Z372" i="1"/>
  <c r="Z19" i="1"/>
  <c r="Z83" i="1"/>
  <c r="Z171" i="1"/>
  <c r="Z251" i="1"/>
  <c r="Z339" i="1"/>
  <c r="Z427" i="1"/>
  <c r="Z491" i="1"/>
  <c r="Z284" i="1"/>
  <c r="Z628" i="1"/>
  <c r="Z17" i="1"/>
  <c r="Z458" i="1"/>
  <c r="Z522" i="1"/>
  <c r="Z586" i="1"/>
  <c r="Z650" i="1"/>
  <c r="Z714" i="1"/>
  <c r="Z778" i="1"/>
  <c r="Z842" i="1"/>
  <c r="Z163" i="1"/>
  <c r="Z419" i="1"/>
  <c r="Z571" i="1"/>
  <c r="Z699" i="1"/>
  <c r="Z763" i="1"/>
  <c r="Z827" i="1"/>
  <c r="Z891" i="1"/>
  <c r="Z955" i="1"/>
  <c r="Z1019" i="1"/>
  <c r="Z876" i="1"/>
  <c r="Z940" i="1"/>
  <c r="Z573" i="1"/>
  <c r="Z637" i="1"/>
  <c r="Z701" i="1"/>
  <c r="Z765" i="1"/>
  <c r="Z829" i="1"/>
  <c r="Z893" i="1"/>
  <c r="Z302" i="1"/>
  <c r="L1086" i="1"/>
  <c r="L1150" i="1"/>
  <c r="L525" i="1"/>
  <c r="L1278" i="1"/>
  <c r="L717" i="1"/>
  <c r="L2" i="1"/>
  <c r="L894" i="1"/>
  <c r="L971" i="1"/>
  <c r="L958" i="1"/>
  <c r="L1022" i="1"/>
  <c r="L581" i="1"/>
  <c r="L1206" i="1"/>
  <c r="L1270" i="1"/>
  <c r="L1014" i="1"/>
  <c r="L773" i="1"/>
  <c r="L1334" i="1"/>
  <c r="L835" i="1"/>
  <c r="L78" i="1"/>
  <c r="L1142" i="1"/>
  <c r="L334" i="1"/>
  <c r="L722" i="1"/>
  <c r="L886" i="1"/>
  <c r="L845" i="1"/>
  <c r="L926" i="1"/>
  <c r="L1038" i="1"/>
  <c r="L1062" i="1"/>
  <c r="L1254" i="1"/>
  <c r="L1126" i="1"/>
  <c r="L998" i="1"/>
  <c r="L1318" i="1"/>
  <c r="L932" i="1"/>
  <c r="L1019" i="1"/>
  <c r="L637" i="1"/>
  <c r="L701" i="1"/>
  <c r="L302" i="1"/>
  <c r="L131" i="1"/>
  <c r="L829" i="1"/>
  <c r="L908" i="1"/>
  <c r="L174" i="1"/>
  <c r="L430" i="1"/>
  <c r="L861" i="1"/>
  <c r="L619" i="1"/>
  <c r="L714" i="1"/>
  <c r="L876" i="1"/>
  <c r="L779" i="1"/>
  <c r="L651" i="1"/>
  <c r="L940" i="1"/>
  <c r="L891" i="1"/>
  <c r="L1035" i="1"/>
  <c r="L827" i="1"/>
  <c r="L605" i="1"/>
  <c r="L974" i="1"/>
  <c r="L1102" i="1"/>
  <c r="L987" i="1"/>
  <c r="L715" i="1"/>
  <c r="L923" i="1"/>
  <c r="L1294" i="1"/>
  <c r="L121" i="1"/>
  <c r="L587" i="1"/>
  <c r="L549" i="1"/>
  <c r="L677" i="1"/>
  <c r="L555" i="1"/>
  <c r="L557" i="1"/>
  <c r="L685" i="1"/>
  <c r="L1310" i="1"/>
  <c r="L611" i="1"/>
  <c r="L747" i="1"/>
  <c r="L675" i="1"/>
  <c r="L547" i="1"/>
  <c r="L613" i="1"/>
  <c r="L621" i="1"/>
  <c r="L805" i="1"/>
  <c r="L854" i="1"/>
  <c r="L739" i="1"/>
  <c r="L570" i="1"/>
  <c r="L813" i="1"/>
  <c r="L597" i="1"/>
  <c r="L966" i="1"/>
  <c r="L1158" i="1"/>
  <c r="L1043" i="1"/>
  <c r="X1010" i="1"/>
  <c r="L458" i="1"/>
  <c r="L725" i="1"/>
  <c r="L853" i="1"/>
  <c r="L1094" i="1"/>
  <c r="X249" i="1"/>
  <c r="AL249" i="1" s="1"/>
  <c r="L533" i="1"/>
  <c r="L142" i="1"/>
  <c r="L902" i="1"/>
  <c r="L1222" i="1"/>
  <c r="L915" i="1"/>
  <c r="L661" i="1"/>
  <c r="L789" i="1"/>
  <c r="L810" i="1"/>
  <c r="L659" i="1"/>
  <c r="L1030" i="1"/>
  <c r="L531" i="1"/>
  <c r="L979" i="1"/>
  <c r="L270" i="1"/>
  <c r="L706" i="1"/>
  <c r="L1302" i="1"/>
  <c r="L195" i="1"/>
  <c r="L859" i="1"/>
  <c r="X843" i="1"/>
  <c r="X963" i="1"/>
  <c r="AL963" i="1" s="1"/>
  <c r="X1260" i="1"/>
  <c r="AL1260" i="1" s="1"/>
  <c r="L603" i="1"/>
  <c r="L754" i="1"/>
  <c r="L1246" i="1"/>
  <c r="L900" i="1"/>
  <c r="L707" i="1"/>
  <c r="L99" i="1"/>
  <c r="L870" i="1"/>
  <c r="L530" i="1"/>
  <c r="L818" i="1"/>
  <c r="L562" i="1"/>
  <c r="L834" i="1"/>
  <c r="L573" i="1"/>
  <c r="L990" i="1"/>
  <c r="L1182" i="1"/>
  <c r="L1027" i="1"/>
  <c r="L837" i="1"/>
  <c r="L1046" i="1"/>
  <c r="L377" i="1"/>
  <c r="L554" i="1"/>
  <c r="X965" i="1"/>
  <c r="X1285" i="1"/>
  <c r="L916" i="1"/>
  <c r="L653" i="1"/>
  <c r="L419" i="1"/>
  <c r="L781" i="1"/>
  <c r="L918" i="1"/>
  <c r="L595" i="1"/>
  <c r="L875" i="1"/>
  <c r="L594" i="1"/>
  <c r="L882" i="1"/>
  <c r="L893" i="1"/>
  <c r="L931" i="1"/>
  <c r="L355" i="1"/>
  <c r="X1018" i="1"/>
  <c r="AL1018" i="1" s="1"/>
  <c r="X1212" i="1"/>
  <c r="AL1212" i="1" s="1"/>
  <c r="L1110" i="1"/>
  <c r="L163" i="1"/>
  <c r="L571" i="1"/>
  <c r="L765" i="1"/>
  <c r="L110" i="1"/>
  <c r="L762" i="1"/>
  <c r="L787" i="1"/>
  <c r="X1274" i="1"/>
  <c r="X291" i="1"/>
  <c r="L950" i="1"/>
  <c r="L939" i="1"/>
  <c r="L618" i="1"/>
  <c r="L634" i="1"/>
  <c r="L892" i="1"/>
  <c r="L1118" i="1"/>
  <c r="L643" i="1"/>
  <c r="L323" i="1"/>
  <c r="L522" i="1"/>
  <c r="L698" i="1"/>
  <c r="X1130" i="1"/>
  <c r="X1091" i="1"/>
  <c r="X1164" i="1"/>
  <c r="X1093" i="1"/>
  <c r="X1213" i="1"/>
  <c r="L709" i="1"/>
  <c r="L699" i="1"/>
  <c r="X1219" i="1"/>
  <c r="AL1219" i="1" s="1"/>
  <c r="L1054" i="1"/>
  <c r="X746" i="1"/>
  <c r="X1258" i="1"/>
  <c r="X1228" i="1"/>
  <c r="L645" i="1"/>
  <c r="L366" i="1"/>
  <c r="L1230" i="1"/>
  <c r="X1146" i="1"/>
  <c r="X579" i="1"/>
  <c r="AL579" i="1" s="1"/>
  <c r="X1227" i="1"/>
  <c r="X1004" i="1"/>
  <c r="L217" i="1"/>
  <c r="L578" i="1"/>
  <c r="L795" i="1"/>
  <c r="L910" i="1"/>
  <c r="L490" i="1"/>
  <c r="L850" i="1"/>
  <c r="X901" i="1"/>
  <c r="AL901" i="1" s="1"/>
  <c r="X1293" i="1"/>
  <c r="L731" i="1"/>
  <c r="L1286" i="1"/>
  <c r="L523" i="1"/>
  <c r="L514" i="1"/>
  <c r="L874" i="1"/>
  <c r="X1138" i="1"/>
  <c r="AL1138" i="1" s="1"/>
  <c r="X957" i="1"/>
  <c r="AL957" i="1" s="1"/>
  <c r="X1157" i="1"/>
  <c r="AL1157" i="1" s="1"/>
  <c r="X1253" i="1"/>
  <c r="L862" i="1"/>
  <c r="L626" i="1"/>
  <c r="L955" i="1"/>
  <c r="L238" i="1"/>
  <c r="L890" i="1"/>
  <c r="X1165" i="1"/>
  <c r="AL1165" i="1" s="1"/>
  <c r="L733" i="1"/>
  <c r="L1238" i="1"/>
  <c r="L803" i="1"/>
  <c r="L650" i="1"/>
  <c r="L778" i="1"/>
  <c r="L898" i="1"/>
  <c r="X1002" i="1"/>
  <c r="X1266" i="1"/>
  <c r="X1099" i="1"/>
  <c r="AL1099" i="1" s="1"/>
  <c r="X1211" i="1"/>
  <c r="X1292" i="1"/>
  <c r="X1021" i="1"/>
  <c r="X1125" i="1"/>
  <c r="X1221" i="1"/>
  <c r="L29" i="1"/>
  <c r="L589" i="1"/>
  <c r="L515" i="1"/>
  <c r="L1174" i="1"/>
  <c r="L1003" i="1"/>
  <c r="X1163" i="1"/>
  <c r="X933" i="1"/>
  <c r="X973" i="1"/>
  <c r="X1085" i="1"/>
  <c r="R353" i="1"/>
  <c r="M353" i="1"/>
  <c r="R45" i="1"/>
  <c r="M45" i="1"/>
  <c r="R28" i="1"/>
  <c r="M28" i="1"/>
  <c r="R297" i="1"/>
  <c r="M297" i="1"/>
  <c r="R700" i="1"/>
  <c r="M700" i="1"/>
  <c r="R42" i="1"/>
  <c r="M42" i="1"/>
  <c r="R91" i="1"/>
  <c r="M91" i="1"/>
  <c r="R347" i="1"/>
  <c r="M347" i="1"/>
  <c r="R682" i="1"/>
  <c r="M682" i="1"/>
  <c r="R899" i="1"/>
  <c r="M899" i="1"/>
  <c r="R908" i="1"/>
  <c r="M908" i="1"/>
  <c r="R964" i="1"/>
  <c r="M964" i="1"/>
  <c r="R1204" i="1"/>
  <c r="M1204" i="1"/>
  <c r="R238" i="1"/>
  <c r="M238" i="1"/>
  <c r="R966" i="1"/>
  <c r="M966" i="1"/>
  <c r="R1286" i="1"/>
  <c r="M1286" i="1"/>
  <c r="R156" i="1"/>
  <c r="M156" i="1"/>
  <c r="R604" i="1"/>
  <c r="M604" i="1"/>
  <c r="R537" i="1"/>
  <c r="M537" i="1"/>
  <c r="R601" i="1"/>
  <c r="M601" i="1"/>
  <c r="R729" i="1"/>
  <c r="M729" i="1"/>
  <c r="R1177" i="1"/>
  <c r="M1177" i="1"/>
  <c r="R1241" i="1"/>
  <c r="M1241" i="1"/>
  <c r="R1305" i="1"/>
  <c r="M1305" i="1"/>
  <c r="R764" i="1"/>
  <c r="M764" i="1"/>
  <c r="R380" i="1"/>
  <c r="M380" i="1"/>
  <c r="R17" i="1"/>
  <c r="M17" i="1"/>
  <c r="R490" i="1"/>
  <c r="M490" i="1"/>
  <c r="R523" i="1"/>
  <c r="M523" i="1"/>
  <c r="R549" i="1"/>
  <c r="M549" i="1"/>
  <c r="R741" i="1"/>
  <c r="M741" i="1"/>
  <c r="R893" i="1"/>
  <c r="M893" i="1"/>
  <c r="R870" i="1"/>
  <c r="M870" i="1"/>
  <c r="R237" i="1"/>
  <c r="M237" i="1"/>
  <c r="R698" i="1"/>
  <c r="M698" i="1"/>
  <c r="R643" i="1"/>
  <c r="M643" i="1"/>
  <c r="R1086" i="1"/>
  <c r="M1086" i="1"/>
  <c r="R1190" i="1"/>
  <c r="M1190" i="1"/>
  <c r="R540" i="1"/>
  <c r="M540" i="1"/>
  <c r="R401" i="1"/>
  <c r="M401" i="1"/>
  <c r="R43" i="1"/>
  <c r="M43" i="1"/>
  <c r="R498" i="1"/>
  <c r="M498" i="1"/>
  <c r="R444" i="1"/>
  <c r="M444" i="1"/>
  <c r="R732" i="1"/>
  <c r="M732" i="1"/>
  <c r="R241" i="1"/>
  <c r="M241" i="1"/>
  <c r="R796" i="1"/>
  <c r="M796" i="1"/>
  <c r="R810" i="1"/>
  <c r="M810" i="1"/>
  <c r="R651" i="1"/>
  <c r="M651" i="1"/>
  <c r="R1268" i="1"/>
  <c r="M1268" i="1"/>
  <c r="R805" i="1"/>
  <c r="M805" i="1"/>
  <c r="R334" i="1"/>
  <c r="M334" i="1"/>
  <c r="R220" i="1"/>
  <c r="M220" i="1"/>
  <c r="R860" i="1"/>
  <c r="M860" i="1"/>
  <c r="R668" i="1"/>
  <c r="M668" i="1"/>
  <c r="R145" i="1"/>
  <c r="M145" i="1"/>
  <c r="R58" i="1"/>
  <c r="M58" i="1"/>
  <c r="R203" i="1"/>
  <c r="M203" i="1"/>
  <c r="R412" i="1"/>
  <c r="M412" i="1"/>
  <c r="R1019" i="1"/>
  <c r="M1019" i="1"/>
  <c r="R653" i="1"/>
  <c r="M653" i="1"/>
  <c r="R818" i="1"/>
  <c r="M818" i="1"/>
  <c r="R763" i="1"/>
  <c r="M763" i="1"/>
  <c r="R613" i="1"/>
  <c r="M613" i="1"/>
  <c r="R1150" i="1"/>
  <c r="M1150" i="1"/>
  <c r="R1318" i="1"/>
  <c r="M1318" i="1"/>
  <c r="R92" i="1"/>
  <c r="M92" i="1"/>
  <c r="R476" i="1"/>
  <c r="M476" i="1"/>
  <c r="R505" i="1"/>
  <c r="M505" i="1"/>
  <c r="R825" i="1"/>
  <c r="M825" i="1"/>
  <c r="R18" i="1"/>
  <c r="M18" i="1"/>
  <c r="R147" i="1"/>
  <c r="M147" i="1"/>
  <c r="R403" i="1"/>
  <c r="M403" i="1"/>
  <c r="R195" i="1"/>
  <c r="M195" i="1"/>
  <c r="R771" i="1"/>
  <c r="M771" i="1"/>
  <c r="R1035" i="1"/>
  <c r="M1035" i="1"/>
  <c r="R892" i="1"/>
  <c r="M892" i="1"/>
  <c r="R525" i="1"/>
  <c r="M525" i="1"/>
  <c r="R149" i="1"/>
  <c r="M149" i="1"/>
  <c r="R11" i="1"/>
  <c r="M11" i="1"/>
  <c r="R779" i="1"/>
  <c r="M779" i="1"/>
  <c r="R677" i="1"/>
  <c r="M677" i="1"/>
  <c r="R869" i="1"/>
  <c r="M869" i="1"/>
  <c r="R1222" i="1"/>
  <c r="M1222" i="1"/>
  <c r="R252" i="1"/>
  <c r="M252" i="1"/>
  <c r="R97" i="1"/>
  <c r="M97" i="1"/>
  <c r="R21" i="1"/>
  <c r="M21" i="1"/>
  <c r="R60" i="1"/>
  <c r="M60" i="1"/>
  <c r="R188" i="1"/>
  <c r="M188" i="1"/>
  <c r="R572" i="1"/>
  <c r="M572" i="1"/>
  <c r="R201" i="1"/>
  <c r="M201" i="1"/>
  <c r="R457" i="1"/>
  <c r="M457" i="1"/>
  <c r="R521" i="1"/>
  <c r="M521" i="1"/>
  <c r="R585" i="1"/>
  <c r="M585" i="1"/>
  <c r="R649" i="1"/>
  <c r="M649" i="1"/>
  <c r="R713" i="1"/>
  <c r="M713" i="1"/>
  <c r="R777" i="1"/>
  <c r="M777" i="1"/>
  <c r="R841" i="1"/>
  <c r="M841" i="1"/>
  <c r="R969" i="1"/>
  <c r="M969" i="1"/>
  <c r="R1097" i="1"/>
  <c r="M1097" i="1"/>
  <c r="R1161" i="1"/>
  <c r="M1161" i="1"/>
  <c r="R83" i="1"/>
  <c r="M83" i="1"/>
  <c r="R284" i="1"/>
  <c r="M284" i="1"/>
  <c r="R185" i="1"/>
  <c r="M185" i="1"/>
  <c r="R571" i="1"/>
  <c r="M571" i="1"/>
  <c r="R891" i="1"/>
  <c r="M891" i="1"/>
  <c r="R956" i="1"/>
  <c r="M956" i="1"/>
  <c r="R781" i="1"/>
  <c r="M781" i="1"/>
  <c r="R206" i="1"/>
  <c r="M206" i="1"/>
  <c r="R1062" i="1"/>
  <c r="M1062" i="1"/>
  <c r="R148" i="1"/>
  <c r="M148" i="1"/>
  <c r="R620" i="1"/>
  <c r="M620" i="1"/>
  <c r="R308" i="1"/>
  <c r="M308" i="1"/>
  <c r="R780" i="1"/>
  <c r="M780" i="1"/>
  <c r="R4" i="1"/>
  <c r="M4" i="1"/>
  <c r="R428" i="1"/>
  <c r="M428" i="1"/>
  <c r="R140" i="1"/>
  <c r="M140" i="1"/>
  <c r="R524" i="1"/>
  <c r="M524" i="1"/>
  <c r="R9" i="1"/>
  <c r="M9" i="1"/>
  <c r="R105" i="1"/>
  <c r="M105" i="1"/>
  <c r="R193" i="1"/>
  <c r="M193" i="1"/>
  <c r="R273" i="1"/>
  <c r="M273" i="1"/>
  <c r="R361" i="1"/>
  <c r="M361" i="1"/>
  <c r="R449" i="1"/>
  <c r="M449" i="1"/>
  <c r="R513" i="1"/>
  <c r="M513" i="1"/>
  <c r="R577" i="1"/>
  <c r="M577" i="1"/>
  <c r="R641" i="1"/>
  <c r="M641" i="1"/>
  <c r="R705" i="1"/>
  <c r="M705" i="1"/>
  <c r="R833" i="1"/>
  <c r="M833" i="1"/>
  <c r="R897" i="1"/>
  <c r="M897" i="1"/>
  <c r="R961" i="1"/>
  <c r="M961" i="1"/>
  <c r="R1025" i="1"/>
  <c r="M1025" i="1"/>
  <c r="R1089" i="1"/>
  <c r="M1089" i="1"/>
  <c r="R1153" i="1"/>
  <c r="M1153" i="1"/>
  <c r="R100" i="1"/>
  <c r="M100" i="1"/>
  <c r="R26" i="1"/>
  <c r="M26" i="1"/>
  <c r="R154" i="1"/>
  <c r="M154" i="1"/>
  <c r="R218" i="1"/>
  <c r="M218" i="1"/>
  <c r="R282" i="1"/>
  <c r="M282" i="1"/>
  <c r="R346" i="1"/>
  <c r="M346" i="1"/>
  <c r="R410" i="1"/>
  <c r="M410" i="1"/>
  <c r="R292" i="1"/>
  <c r="M292" i="1"/>
  <c r="R155" i="1"/>
  <c r="M155" i="1"/>
  <c r="R243" i="1"/>
  <c r="M243" i="1"/>
  <c r="R331" i="1"/>
  <c r="M331" i="1"/>
  <c r="R411" i="1"/>
  <c r="M411" i="1"/>
  <c r="R483" i="1"/>
  <c r="M483" i="1"/>
  <c r="R236" i="1"/>
  <c r="M236" i="1"/>
  <c r="R588" i="1"/>
  <c r="M588" i="1"/>
  <c r="L964" i="1"/>
  <c r="L1166" i="1"/>
  <c r="L723" i="1"/>
  <c r="R19" i="1"/>
  <c r="M19" i="1"/>
  <c r="R153" i="1"/>
  <c r="M153" i="1"/>
  <c r="R281" i="1"/>
  <c r="M281" i="1"/>
  <c r="R409" i="1"/>
  <c r="M409" i="1"/>
  <c r="R905" i="1"/>
  <c r="M905" i="1"/>
  <c r="R450" i="1"/>
  <c r="M450" i="1"/>
  <c r="R554" i="1"/>
  <c r="M554" i="1"/>
  <c r="R586" i="1"/>
  <c r="M586" i="1"/>
  <c r="R634" i="1"/>
  <c r="M634" i="1"/>
  <c r="R770" i="1"/>
  <c r="M770" i="1"/>
  <c r="R874" i="1"/>
  <c r="M874" i="1"/>
  <c r="R355" i="1"/>
  <c r="M355" i="1"/>
  <c r="R627" i="1"/>
  <c r="M627" i="1"/>
  <c r="R667" i="1"/>
  <c r="M667" i="1"/>
  <c r="R715" i="1"/>
  <c r="M715" i="1"/>
  <c r="R811" i="1"/>
  <c r="M811" i="1"/>
  <c r="R851" i="1"/>
  <c r="M851" i="1"/>
  <c r="R955" i="1"/>
  <c r="M955" i="1"/>
  <c r="R995" i="1"/>
  <c r="M995" i="1"/>
  <c r="R1140" i="1"/>
  <c r="M1140" i="1"/>
  <c r="R533" i="1"/>
  <c r="M533" i="1"/>
  <c r="R581" i="1"/>
  <c r="M581" i="1"/>
  <c r="R661" i="1"/>
  <c r="M661" i="1"/>
  <c r="R709" i="1"/>
  <c r="M709" i="1"/>
  <c r="R789" i="1"/>
  <c r="M789" i="1"/>
  <c r="R837" i="1"/>
  <c r="M837" i="1"/>
  <c r="R174" i="1"/>
  <c r="M174" i="1"/>
  <c r="R926" i="1"/>
  <c r="M926" i="1"/>
  <c r="R1022" i="1"/>
  <c r="M1022" i="1"/>
  <c r="R1110" i="1"/>
  <c r="M1110" i="1"/>
  <c r="R1158" i="1"/>
  <c r="M1158" i="1"/>
  <c r="R1206" i="1"/>
  <c r="M1206" i="1"/>
  <c r="R1254" i="1"/>
  <c r="M1254" i="1"/>
  <c r="R1294" i="1"/>
  <c r="M1294" i="1"/>
  <c r="R37" i="1"/>
  <c r="M37" i="1"/>
  <c r="R101" i="1"/>
  <c r="M101" i="1"/>
  <c r="R165" i="1"/>
  <c r="M165" i="1"/>
  <c r="R229" i="1"/>
  <c r="M229" i="1"/>
  <c r="R293" i="1"/>
  <c r="M293" i="1"/>
  <c r="R357" i="1"/>
  <c r="M357" i="1"/>
  <c r="R684" i="1"/>
  <c r="M684" i="1"/>
  <c r="R356" i="1"/>
  <c r="M356" i="1"/>
  <c r="R836" i="1"/>
  <c r="M836" i="1"/>
  <c r="R484" i="1"/>
  <c r="M484" i="1"/>
  <c r="R25" i="1"/>
  <c r="M25" i="1"/>
  <c r="R113" i="1"/>
  <c r="M113" i="1"/>
  <c r="R289" i="1"/>
  <c r="M289" i="1"/>
  <c r="R369" i="1"/>
  <c r="M369" i="1"/>
  <c r="R172" i="1"/>
  <c r="M172" i="1"/>
  <c r="R34" i="1"/>
  <c r="M34" i="1"/>
  <c r="R98" i="1"/>
  <c r="M98" i="1"/>
  <c r="R162" i="1"/>
  <c r="M162" i="1"/>
  <c r="R226" i="1"/>
  <c r="M226" i="1"/>
  <c r="R290" i="1"/>
  <c r="M290" i="1"/>
  <c r="R354" i="1"/>
  <c r="M354" i="1"/>
  <c r="R418" i="1"/>
  <c r="M418" i="1"/>
  <c r="R372" i="1"/>
  <c r="M372" i="1"/>
  <c r="R171" i="1"/>
  <c r="M171" i="1"/>
  <c r="R251" i="1"/>
  <c r="M251" i="1"/>
  <c r="R339" i="1"/>
  <c r="M339" i="1"/>
  <c r="R427" i="1"/>
  <c r="M427" i="1"/>
  <c r="R491" i="1"/>
  <c r="M491" i="1"/>
  <c r="R628" i="1"/>
  <c r="M628" i="1"/>
  <c r="L206" i="1"/>
  <c r="L982" i="1"/>
  <c r="L851" i="1"/>
  <c r="L771" i="1"/>
  <c r="L185" i="1"/>
  <c r="L539" i="1"/>
  <c r="L450" i="1"/>
  <c r="L786" i="1"/>
  <c r="L899" i="1"/>
  <c r="R41" i="1"/>
  <c r="M41" i="1"/>
  <c r="X441" i="1"/>
  <c r="AL441" i="1" s="1"/>
  <c r="R458" i="1"/>
  <c r="M458" i="1"/>
  <c r="X506" i="1"/>
  <c r="AL506" i="1" s="1"/>
  <c r="R594" i="1"/>
  <c r="M594" i="1"/>
  <c r="X690" i="1"/>
  <c r="R738" i="1"/>
  <c r="M738" i="1"/>
  <c r="R778" i="1"/>
  <c r="M778" i="1"/>
  <c r="X826" i="1"/>
  <c r="X1066" i="1"/>
  <c r="X1202" i="1"/>
  <c r="R531" i="1"/>
  <c r="M531" i="1"/>
  <c r="X635" i="1"/>
  <c r="R675" i="1"/>
  <c r="M675" i="1"/>
  <c r="R819" i="1"/>
  <c r="M819" i="1"/>
  <c r="R859" i="1"/>
  <c r="M859" i="1"/>
  <c r="X907" i="1"/>
  <c r="AL907" i="1" s="1"/>
  <c r="R1003" i="1"/>
  <c r="M1003" i="1"/>
  <c r="R1043" i="1"/>
  <c r="M1043" i="1"/>
  <c r="X1147" i="1"/>
  <c r="X1283" i="1"/>
  <c r="R876" i="1"/>
  <c r="M876" i="1"/>
  <c r="R916" i="1"/>
  <c r="M916" i="1"/>
  <c r="X1100" i="1"/>
  <c r="AL1100" i="1" s="1"/>
  <c r="X1148" i="1"/>
  <c r="X1196" i="1"/>
  <c r="X1276" i="1"/>
  <c r="X1324" i="1"/>
  <c r="R621" i="1"/>
  <c r="M621" i="1"/>
  <c r="X917" i="1"/>
  <c r="AL917" i="1" s="1"/>
  <c r="X997" i="1"/>
  <c r="AL997" i="1" s="1"/>
  <c r="X1037" i="1"/>
  <c r="X1333" i="1"/>
  <c r="AL1333" i="1" s="1"/>
  <c r="R366" i="1"/>
  <c r="M366" i="1"/>
  <c r="R886" i="1"/>
  <c r="M886" i="1"/>
  <c r="X934" i="1"/>
  <c r="AL934" i="1" s="1"/>
  <c r="R974" i="1"/>
  <c r="M974" i="1"/>
  <c r="R1118" i="1"/>
  <c r="M1118" i="1"/>
  <c r="X1214" i="1"/>
  <c r="AL1214" i="1" s="1"/>
  <c r="R1302" i="1"/>
  <c r="M1302" i="1"/>
  <c r="R532" i="1"/>
  <c r="M532" i="1"/>
  <c r="R612" i="1"/>
  <c r="M612" i="1"/>
  <c r="R465" i="1"/>
  <c r="M465" i="1"/>
  <c r="R1169" i="1"/>
  <c r="M1169" i="1"/>
  <c r="R27" i="1"/>
  <c r="M27" i="1"/>
  <c r="R340" i="1"/>
  <c r="M340" i="1"/>
  <c r="R313" i="1"/>
  <c r="M313" i="1"/>
  <c r="R53" i="1"/>
  <c r="M53" i="1"/>
  <c r="R117" i="1"/>
  <c r="M117" i="1"/>
  <c r="R181" i="1"/>
  <c r="M181" i="1"/>
  <c r="R309" i="1"/>
  <c r="M309" i="1"/>
  <c r="R373" i="1"/>
  <c r="M373" i="1"/>
  <c r="R437" i="1"/>
  <c r="M437" i="1"/>
  <c r="R501" i="1"/>
  <c r="M501" i="1"/>
  <c r="R324" i="1"/>
  <c r="M324" i="1"/>
  <c r="R804" i="1"/>
  <c r="M804" i="1"/>
  <c r="R68" i="1"/>
  <c r="M68" i="1"/>
  <c r="R492" i="1"/>
  <c r="M492" i="1"/>
  <c r="R300" i="1"/>
  <c r="M300" i="1"/>
  <c r="R644" i="1"/>
  <c r="M644" i="1"/>
  <c r="R49" i="1"/>
  <c r="M49" i="1"/>
  <c r="R137" i="1"/>
  <c r="M137" i="1"/>
  <c r="R225" i="1"/>
  <c r="M225" i="1"/>
  <c r="R305" i="1"/>
  <c r="M305" i="1"/>
  <c r="R393" i="1"/>
  <c r="M393" i="1"/>
  <c r="R473" i="1"/>
  <c r="M473" i="1"/>
  <c r="R793" i="1"/>
  <c r="M793" i="1"/>
  <c r="R857" i="1"/>
  <c r="M857" i="1"/>
  <c r="R921" i="1"/>
  <c r="M921" i="1"/>
  <c r="R985" i="1"/>
  <c r="M985" i="1"/>
  <c r="R1049" i="1"/>
  <c r="M1049" i="1"/>
  <c r="R1113" i="1"/>
  <c r="M1113" i="1"/>
  <c r="R114" i="1"/>
  <c r="M114" i="1"/>
  <c r="R178" i="1"/>
  <c r="M178" i="1"/>
  <c r="R242" i="1"/>
  <c r="M242" i="1"/>
  <c r="R306" i="1"/>
  <c r="M306" i="1"/>
  <c r="R370" i="1"/>
  <c r="M370" i="1"/>
  <c r="R434" i="1"/>
  <c r="M434" i="1"/>
  <c r="R564" i="1"/>
  <c r="M564" i="1"/>
  <c r="R35" i="1"/>
  <c r="M35" i="1"/>
  <c r="R107" i="1"/>
  <c r="M107" i="1"/>
  <c r="R187" i="1"/>
  <c r="M187" i="1"/>
  <c r="R275" i="1"/>
  <c r="M275" i="1"/>
  <c r="R363" i="1"/>
  <c r="M363" i="1"/>
  <c r="R443" i="1"/>
  <c r="M443" i="1"/>
  <c r="R507" i="1"/>
  <c r="M507" i="1"/>
  <c r="R708" i="1"/>
  <c r="M708" i="1"/>
  <c r="L387" i="1"/>
  <c r="L466" i="1"/>
  <c r="L642" i="1"/>
  <c r="X89" i="1"/>
  <c r="AL89" i="1" s="1"/>
  <c r="X345" i="1"/>
  <c r="AL345" i="1" s="1"/>
  <c r="R514" i="1"/>
  <c r="M514" i="1"/>
  <c r="R610" i="1"/>
  <c r="M610" i="1"/>
  <c r="R650" i="1"/>
  <c r="M650" i="1"/>
  <c r="R834" i="1"/>
  <c r="M834" i="1"/>
  <c r="X938" i="1"/>
  <c r="X1074" i="1"/>
  <c r="X1210" i="1"/>
  <c r="R259" i="1"/>
  <c r="M259" i="1"/>
  <c r="R547" i="1"/>
  <c r="M547" i="1"/>
  <c r="R691" i="1"/>
  <c r="M691" i="1"/>
  <c r="R731" i="1"/>
  <c r="M731" i="1"/>
  <c r="R875" i="1"/>
  <c r="M875" i="1"/>
  <c r="R915" i="1"/>
  <c r="M915" i="1"/>
  <c r="X1155" i="1"/>
  <c r="X1291" i="1"/>
  <c r="R932" i="1"/>
  <c r="M932" i="1"/>
  <c r="X972" i="1"/>
  <c r="X1020" i="1"/>
  <c r="X1068" i="1"/>
  <c r="R1332" i="1"/>
  <c r="M1332" i="1"/>
  <c r="R637" i="1"/>
  <c r="M637" i="1"/>
  <c r="R765" i="1"/>
  <c r="M765" i="1"/>
  <c r="X1045" i="1"/>
  <c r="R430" i="1"/>
  <c r="M430" i="1"/>
  <c r="R990" i="1"/>
  <c r="M990" i="1"/>
  <c r="R1174" i="1"/>
  <c r="M1174" i="1"/>
  <c r="R1270" i="1"/>
  <c r="M1270" i="1"/>
  <c r="R129" i="1"/>
  <c r="M129" i="1"/>
  <c r="R1105" i="1"/>
  <c r="M1105" i="1"/>
  <c r="R234" i="1"/>
  <c r="M234" i="1"/>
  <c r="R468" i="1"/>
  <c r="M468" i="1"/>
  <c r="R65" i="1"/>
  <c r="M65" i="1"/>
  <c r="R1033" i="1"/>
  <c r="M1033" i="1"/>
  <c r="R99" i="1"/>
  <c r="M99" i="1"/>
  <c r="R539" i="1"/>
  <c r="M539" i="1"/>
  <c r="R683" i="1"/>
  <c r="M683" i="1"/>
  <c r="R1011" i="1"/>
  <c r="M1011" i="1"/>
  <c r="R636" i="1"/>
  <c r="M636" i="1"/>
  <c r="R884" i="1"/>
  <c r="M884" i="1"/>
  <c r="R669" i="1"/>
  <c r="M669" i="1"/>
  <c r="R797" i="1"/>
  <c r="M797" i="1"/>
  <c r="M1293" i="1"/>
  <c r="R398" i="1"/>
  <c r="M398" i="1"/>
  <c r="R982" i="1"/>
  <c r="M982" i="1"/>
  <c r="R1078" i="1"/>
  <c r="M1078" i="1"/>
  <c r="R1126" i="1"/>
  <c r="M1126" i="1"/>
  <c r="R1166" i="1"/>
  <c r="M1166" i="1"/>
  <c r="R1310" i="1"/>
  <c r="M1310" i="1"/>
  <c r="R388" i="1"/>
  <c r="M388" i="1"/>
  <c r="R116" i="1"/>
  <c r="M116" i="1"/>
  <c r="R196" i="1"/>
  <c r="M196" i="1"/>
  <c r="R692" i="1"/>
  <c r="M692" i="1"/>
  <c r="R57" i="1"/>
  <c r="M57" i="1"/>
  <c r="R233" i="1"/>
  <c r="M233" i="1"/>
  <c r="R321" i="1"/>
  <c r="M321" i="1"/>
  <c r="R481" i="1"/>
  <c r="M481" i="1"/>
  <c r="R545" i="1"/>
  <c r="M545" i="1"/>
  <c r="R609" i="1"/>
  <c r="M609" i="1"/>
  <c r="R673" i="1"/>
  <c r="M673" i="1"/>
  <c r="R737" i="1"/>
  <c r="M737" i="1"/>
  <c r="R801" i="1"/>
  <c r="M801" i="1"/>
  <c r="R865" i="1"/>
  <c r="M865" i="1"/>
  <c r="R929" i="1"/>
  <c r="M929" i="1"/>
  <c r="R993" i="1"/>
  <c r="M993" i="1"/>
  <c r="R1057" i="1"/>
  <c r="M1057" i="1"/>
  <c r="R1121" i="1"/>
  <c r="M1121" i="1"/>
  <c r="R332" i="1"/>
  <c r="M332" i="1"/>
  <c r="R812" i="1"/>
  <c r="M812" i="1"/>
  <c r="R122" i="1"/>
  <c r="M122" i="1"/>
  <c r="R186" i="1"/>
  <c r="M186" i="1"/>
  <c r="R250" i="1"/>
  <c r="M250" i="1"/>
  <c r="R314" i="1"/>
  <c r="M314" i="1"/>
  <c r="R378" i="1"/>
  <c r="M378" i="1"/>
  <c r="R442" i="1"/>
  <c r="M442" i="1"/>
  <c r="R660" i="1"/>
  <c r="M660" i="1"/>
  <c r="R115" i="1"/>
  <c r="M115" i="1"/>
  <c r="R371" i="1"/>
  <c r="M371" i="1"/>
  <c r="R451" i="1"/>
  <c r="M451" i="1"/>
  <c r="R36" i="1"/>
  <c r="M36" i="1"/>
  <c r="R748" i="1"/>
  <c r="M748" i="1"/>
  <c r="L924" i="1"/>
  <c r="L811" i="1"/>
  <c r="L281" i="1"/>
  <c r="L763" i="1"/>
  <c r="R217" i="1"/>
  <c r="M217" i="1"/>
  <c r="R482" i="1"/>
  <c r="M482" i="1"/>
  <c r="R522" i="1"/>
  <c r="M522" i="1"/>
  <c r="R570" i="1"/>
  <c r="M570" i="1"/>
  <c r="R618" i="1"/>
  <c r="M618" i="1"/>
  <c r="R658" i="1"/>
  <c r="M658" i="1"/>
  <c r="R754" i="1"/>
  <c r="M754" i="1"/>
  <c r="R802" i="1"/>
  <c r="M802" i="1"/>
  <c r="R842" i="1"/>
  <c r="M842" i="1"/>
  <c r="R890" i="1"/>
  <c r="M890" i="1"/>
  <c r="R131" i="1"/>
  <c r="M131" i="1"/>
  <c r="R419" i="1"/>
  <c r="M419" i="1"/>
  <c r="R555" i="1"/>
  <c r="M555" i="1"/>
  <c r="R595" i="1"/>
  <c r="M595" i="1"/>
  <c r="R699" i="1"/>
  <c r="M699" i="1"/>
  <c r="R739" i="1"/>
  <c r="M739" i="1"/>
  <c r="R835" i="1"/>
  <c r="M835" i="1"/>
  <c r="R883" i="1"/>
  <c r="M883" i="1"/>
  <c r="R923" i="1"/>
  <c r="M923" i="1"/>
  <c r="R971" i="1"/>
  <c r="M971" i="1"/>
  <c r="R940" i="1"/>
  <c r="M940" i="1"/>
  <c r="R597" i="1"/>
  <c r="M597" i="1"/>
  <c r="R645" i="1"/>
  <c r="M645" i="1"/>
  <c r="R725" i="1"/>
  <c r="M725" i="1"/>
  <c r="R773" i="1"/>
  <c r="M773" i="1"/>
  <c r="R853" i="1"/>
  <c r="M853" i="1"/>
  <c r="R78" i="1"/>
  <c r="M78" i="1"/>
  <c r="R854" i="1"/>
  <c r="M854" i="1"/>
  <c r="R902" i="1"/>
  <c r="M902" i="1"/>
  <c r="R950" i="1"/>
  <c r="M950" i="1"/>
  <c r="R998" i="1"/>
  <c r="M998" i="1"/>
  <c r="R1038" i="1"/>
  <c r="M1038" i="1"/>
  <c r="R1182" i="1"/>
  <c r="M1182" i="1"/>
  <c r="R1278" i="1"/>
  <c r="M1278" i="1"/>
  <c r="R740" i="1"/>
  <c r="M740" i="1"/>
  <c r="R108" i="1"/>
  <c r="M108" i="1"/>
  <c r="R209" i="1"/>
  <c r="M209" i="1"/>
  <c r="R913" i="1"/>
  <c r="M913" i="1"/>
  <c r="R298" i="1"/>
  <c r="M298" i="1"/>
  <c r="R267" i="1"/>
  <c r="M267" i="1"/>
  <c r="R676" i="1"/>
  <c r="M676" i="1"/>
  <c r="R75" i="1"/>
  <c r="M75" i="1"/>
  <c r="R466" i="1"/>
  <c r="M466" i="1"/>
  <c r="R642" i="1"/>
  <c r="M642" i="1"/>
  <c r="R227" i="1"/>
  <c r="M227" i="1"/>
  <c r="R827" i="1"/>
  <c r="M827" i="1"/>
  <c r="R1030" i="1"/>
  <c r="M1030" i="1"/>
  <c r="R69" i="1"/>
  <c r="M69" i="1"/>
  <c r="R133" i="1"/>
  <c r="M133" i="1"/>
  <c r="R197" i="1"/>
  <c r="M197" i="1"/>
  <c r="R261" i="1"/>
  <c r="M261" i="1"/>
  <c r="R325" i="1"/>
  <c r="M325" i="1"/>
  <c r="R389" i="1"/>
  <c r="M389" i="1"/>
  <c r="R164" i="1"/>
  <c r="M164" i="1"/>
  <c r="R596" i="1"/>
  <c r="M596" i="1"/>
  <c r="R724" i="1"/>
  <c r="M724" i="1"/>
  <c r="R404" i="1"/>
  <c r="M404" i="1"/>
  <c r="R73" i="1"/>
  <c r="M73" i="1"/>
  <c r="R161" i="1"/>
  <c r="M161" i="1"/>
  <c r="R329" i="1"/>
  <c r="M329" i="1"/>
  <c r="R417" i="1"/>
  <c r="M417" i="1"/>
  <c r="R489" i="1"/>
  <c r="M489" i="1"/>
  <c r="R553" i="1"/>
  <c r="M553" i="1"/>
  <c r="R617" i="1"/>
  <c r="M617" i="1"/>
  <c r="R681" i="1"/>
  <c r="M681" i="1"/>
  <c r="R745" i="1"/>
  <c r="M745" i="1"/>
  <c r="R809" i="1"/>
  <c r="M809" i="1"/>
  <c r="R873" i="1"/>
  <c r="M873" i="1"/>
  <c r="R937" i="1"/>
  <c r="M937" i="1"/>
  <c r="R1001" i="1"/>
  <c r="M1001" i="1"/>
  <c r="R1065" i="1"/>
  <c r="M1065" i="1"/>
  <c r="R1129" i="1"/>
  <c r="M1129" i="1"/>
  <c r="R396" i="1"/>
  <c r="M396" i="1"/>
  <c r="R868" i="1"/>
  <c r="M868" i="1"/>
  <c r="R130" i="1"/>
  <c r="M130" i="1"/>
  <c r="R194" i="1"/>
  <c r="M194" i="1"/>
  <c r="R258" i="1"/>
  <c r="M258" i="1"/>
  <c r="R322" i="1"/>
  <c r="M322" i="1"/>
  <c r="R386" i="1"/>
  <c r="M386" i="1"/>
  <c r="R44" i="1"/>
  <c r="M44" i="1"/>
  <c r="R756" i="1"/>
  <c r="M756" i="1"/>
  <c r="R51" i="1"/>
  <c r="M51" i="1"/>
  <c r="R123" i="1"/>
  <c r="M123" i="1"/>
  <c r="R211" i="1"/>
  <c r="M211" i="1"/>
  <c r="R299" i="1"/>
  <c r="M299" i="1"/>
  <c r="R379" i="1"/>
  <c r="M379" i="1"/>
  <c r="R459" i="1"/>
  <c r="M459" i="1"/>
  <c r="R76" i="1"/>
  <c r="M76" i="1"/>
  <c r="R460" i="1"/>
  <c r="M460" i="1"/>
  <c r="L797" i="1"/>
  <c r="L1078" i="1"/>
  <c r="L867" i="1"/>
  <c r="L498" i="1"/>
  <c r="L658" i="1"/>
  <c r="R29" i="1"/>
  <c r="M29" i="1"/>
  <c r="R530" i="1"/>
  <c r="M530" i="1"/>
  <c r="R706" i="1"/>
  <c r="M706" i="1"/>
  <c r="R850" i="1"/>
  <c r="M850" i="1"/>
  <c r="X946" i="1"/>
  <c r="AL946" i="1" s="1"/>
  <c r="X1082" i="1"/>
  <c r="AL1082" i="1" s="1"/>
  <c r="X1322" i="1"/>
  <c r="AL1322" i="1" s="1"/>
  <c r="R515" i="1"/>
  <c r="M515" i="1"/>
  <c r="R563" i="1"/>
  <c r="M563" i="1"/>
  <c r="R603" i="1"/>
  <c r="M603" i="1"/>
  <c r="R747" i="1"/>
  <c r="M747" i="1"/>
  <c r="R787" i="1"/>
  <c r="M787" i="1"/>
  <c r="R931" i="1"/>
  <c r="M931" i="1"/>
  <c r="R1027" i="1"/>
  <c r="M1027" i="1"/>
  <c r="R900" i="1"/>
  <c r="M900" i="1"/>
  <c r="R557" i="1"/>
  <c r="M557" i="1"/>
  <c r="R685" i="1"/>
  <c r="M685" i="1"/>
  <c r="R813" i="1"/>
  <c r="M813" i="1"/>
  <c r="R270" i="1"/>
  <c r="M270" i="1"/>
  <c r="R862" i="1"/>
  <c r="M862" i="1"/>
  <c r="R958" i="1"/>
  <c r="M958" i="1"/>
  <c r="R1046" i="1"/>
  <c r="M1046" i="1"/>
  <c r="R1094" i="1"/>
  <c r="M1094" i="1"/>
  <c r="R1142" i="1"/>
  <c r="M1142" i="1"/>
  <c r="R1230" i="1"/>
  <c r="M1230" i="1"/>
  <c r="R268" i="1"/>
  <c r="M268" i="1"/>
  <c r="R244" i="1"/>
  <c r="M244" i="1"/>
  <c r="R385" i="1"/>
  <c r="M385" i="1"/>
  <c r="R785" i="1"/>
  <c r="M785" i="1"/>
  <c r="R977" i="1"/>
  <c r="M977" i="1"/>
  <c r="R106" i="1"/>
  <c r="M106" i="1"/>
  <c r="R362" i="1"/>
  <c r="M362" i="1"/>
  <c r="R179" i="1"/>
  <c r="M179" i="1"/>
  <c r="R435" i="1"/>
  <c r="M435" i="1"/>
  <c r="R665" i="1"/>
  <c r="M665" i="1"/>
  <c r="R562" i="1"/>
  <c r="M562" i="1"/>
  <c r="R786" i="1"/>
  <c r="M786" i="1"/>
  <c r="R882" i="1"/>
  <c r="M882" i="1"/>
  <c r="R387" i="1"/>
  <c r="M387" i="1"/>
  <c r="R587" i="1"/>
  <c r="M587" i="1"/>
  <c r="R723" i="1"/>
  <c r="M723" i="1"/>
  <c r="R867" i="1"/>
  <c r="M867" i="1"/>
  <c r="R348" i="1"/>
  <c r="M348" i="1"/>
  <c r="R924" i="1"/>
  <c r="M924" i="1"/>
  <c r="R541" i="1"/>
  <c r="M541" i="1"/>
  <c r="R589" i="1"/>
  <c r="M589" i="1"/>
  <c r="R717" i="1"/>
  <c r="M717" i="1"/>
  <c r="R845" i="1"/>
  <c r="M845" i="1"/>
  <c r="R894" i="1"/>
  <c r="M894" i="1"/>
  <c r="R5" i="1"/>
  <c r="M5" i="1"/>
  <c r="R77" i="1"/>
  <c r="M77" i="1"/>
  <c r="R141" i="1"/>
  <c r="M141" i="1"/>
  <c r="R205" i="1"/>
  <c r="M205" i="1"/>
  <c r="R12" i="1"/>
  <c r="M12" i="1"/>
  <c r="R500" i="1"/>
  <c r="M500" i="1"/>
  <c r="R204" i="1"/>
  <c r="M204" i="1"/>
  <c r="R652" i="1"/>
  <c r="M652" i="1"/>
  <c r="R788" i="1"/>
  <c r="M788" i="1"/>
  <c r="R52" i="1"/>
  <c r="M52" i="1"/>
  <c r="R436" i="1"/>
  <c r="M436" i="1"/>
  <c r="R772" i="1"/>
  <c r="M772" i="1"/>
  <c r="R81" i="1"/>
  <c r="M81" i="1"/>
  <c r="R169" i="1"/>
  <c r="M169" i="1"/>
  <c r="R257" i="1"/>
  <c r="M257" i="1"/>
  <c r="R337" i="1"/>
  <c r="M337" i="1"/>
  <c r="R425" i="1"/>
  <c r="M425" i="1"/>
  <c r="R497" i="1"/>
  <c r="M497" i="1"/>
  <c r="R561" i="1"/>
  <c r="M561" i="1"/>
  <c r="R625" i="1"/>
  <c r="M625" i="1"/>
  <c r="R689" i="1"/>
  <c r="M689" i="1"/>
  <c r="R753" i="1"/>
  <c r="M753" i="1"/>
  <c r="R881" i="1"/>
  <c r="M881" i="1"/>
  <c r="R945" i="1"/>
  <c r="M945" i="1"/>
  <c r="R1009" i="1"/>
  <c r="M1009" i="1"/>
  <c r="R1073" i="1"/>
  <c r="M1073" i="1"/>
  <c r="R1137" i="1"/>
  <c r="M1137" i="1"/>
  <c r="R452" i="1"/>
  <c r="M452" i="1"/>
  <c r="R10" i="1"/>
  <c r="M10" i="1"/>
  <c r="R138" i="1"/>
  <c r="M138" i="1"/>
  <c r="R202" i="1"/>
  <c r="M202" i="1"/>
  <c r="R266" i="1"/>
  <c r="M266" i="1"/>
  <c r="R330" i="1"/>
  <c r="M330" i="1"/>
  <c r="R394" i="1"/>
  <c r="M394" i="1"/>
  <c r="R844" i="1"/>
  <c r="M844" i="1"/>
  <c r="R59" i="1"/>
  <c r="M59" i="1"/>
  <c r="R139" i="1"/>
  <c r="M139" i="1"/>
  <c r="R219" i="1"/>
  <c r="M219" i="1"/>
  <c r="R307" i="1"/>
  <c r="M307" i="1"/>
  <c r="R395" i="1"/>
  <c r="M395" i="1"/>
  <c r="R132" i="1"/>
  <c r="M132" i="1"/>
  <c r="L669" i="1"/>
  <c r="L741" i="1"/>
  <c r="L869" i="1"/>
  <c r="L227" i="1"/>
  <c r="L683" i="1"/>
  <c r="L17" i="1"/>
  <c r="L586" i="1"/>
  <c r="L682" i="1"/>
  <c r="L842" i="1"/>
  <c r="R121" i="1"/>
  <c r="M121" i="1"/>
  <c r="R377" i="1"/>
  <c r="M377" i="1"/>
  <c r="R578" i="1"/>
  <c r="M578" i="1"/>
  <c r="R626" i="1"/>
  <c r="M626" i="1"/>
  <c r="R674" i="1"/>
  <c r="M674" i="1"/>
  <c r="R714" i="1"/>
  <c r="M714" i="1"/>
  <c r="R762" i="1"/>
  <c r="M762" i="1"/>
  <c r="R898" i="1"/>
  <c r="M898" i="1"/>
  <c r="R163" i="1"/>
  <c r="M163" i="1"/>
  <c r="R323" i="1"/>
  <c r="M323" i="1"/>
  <c r="R611" i="1"/>
  <c r="M611" i="1"/>
  <c r="R707" i="1"/>
  <c r="M707" i="1"/>
  <c r="R755" i="1"/>
  <c r="M755" i="1"/>
  <c r="R795" i="1"/>
  <c r="M795" i="1"/>
  <c r="R939" i="1"/>
  <c r="M939" i="1"/>
  <c r="R979" i="1"/>
  <c r="M979" i="1"/>
  <c r="X1083" i="1"/>
  <c r="AL1083" i="1" s="1"/>
  <c r="R948" i="1"/>
  <c r="M948" i="1"/>
  <c r="X1036" i="1"/>
  <c r="AL1036" i="1" s="1"/>
  <c r="X1084" i="1"/>
  <c r="AL1084" i="1" s="1"/>
  <c r="X1132" i="1"/>
  <c r="R605" i="1"/>
  <c r="M605" i="1"/>
  <c r="R733" i="1"/>
  <c r="M733" i="1"/>
  <c r="R861" i="1"/>
  <c r="M861" i="1"/>
  <c r="X981" i="1"/>
  <c r="AL981" i="1" s="1"/>
  <c r="X1061" i="1"/>
  <c r="X1101" i="1"/>
  <c r="X1149" i="1"/>
  <c r="X1189" i="1"/>
  <c r="AL1189" i="1" s="1"/>
  <c r="X1229" i="1"/>
  <c r="X1277" i="1"/>
  <c r="X1317" i="1"/>
  <c r="AL1317" i="1" s="1"/>
  <c r="R110" i="1"/>
  <c r="M110" i="1"/>
  <c r="R302" i="1"/>
  <c r="M302" i="1"/>
  <c r="R910" i="1"/>
  <c r="M910" i="1"/>
  <c r="R1054" i="1"/>
  <c r="M1054" i="1"/>
  <c r="R1238" i="1"/>
  <c r="M1238" i="1"/>
  <c r="R1334" i="1"/>
  <c r="M1334" i="1"/>
  <c r="R420" i="1"/>
  <c r="M420" i="1"/>
  <c r="R33" i="1"/>
  <c r="M33" i="1"/>
  <c r="R529" i="1"/>
  <c r="M529" i="1"/>
  <c r="R849" i="1"/>
  <c r="M849" i="1"/>
  <c r="R1041" i="1"/>
  <c r="M1041" i="1"/>
  <c r="R170" i="1"/>
  <c r="M170" i="1"/>
  <c r="R426" i="1"/>
  <c r="M426" i="1"/>
  <c r="R499" i="1"/>
  <c r="M499" i="1"/>
  <c r="R85" i="1"/>
  <c r="M85" i="1"/>
  <c r="R213" i="1"/>
  <c r="M213" i="1"/>
  <c r="R277" i="1"/>
  <c r="M277" i="1"/>
  <c r="R341" i="1"/>
  <c r="M341" i="1"/>
  <c r="R405" i="1"/>
  <c r="M405" i="1"/>
  <c r="R469" i="1"/>
  <c r="M469" i="1"/>
  <c r="R84" i="1"/>
  <c r="M84" i="1"/>
  <c r="R556" i="1"/>
  <c r="M556" i="1"/>
  <c r="R716" i="1"/>
  <c r="M716" i="1"/>
  <c r="R364" i="1"/>
  <c r="M364" i="1"/>
  <c r="R852" i="1"/>
  <c r="M852" i="1"/>
  <c r="R820" i="1"/>
  <c r="M820" i="1"/>
  <c r="R177" i="1"/>
  <c r="M177" i="1"/>
  <c r="R265" i="1"/>
  <c r="M265" i="1"/>
  <c r="R433" i="1"/>
  <c r="M433" i="1"/>
  <c r="R569" i="1"/>
  <c r="M569" i="1"/>
  <c r="R633" i="1"/>
  <c r="M633" i="1"/>
  <c r="R697" i="1"/>
  <c r="M697" i="1"/>
  <c r="R761" i="1"/>
  <c r="M761" i="1"/>
  <c r="R889" i="1"/>
  <c r="M889" i="1"/>
  <c r="R953" i="1"/>
  <c r="M953" i="1"/>
  <c r="R1017" i="1"/>
  <c r="M1017" i="1"/>
  <c r="R1081" i="1"/>
  <c r="M1081" i="1"/>
  <c r="R1145" i="1"/>
  <c r="M1145" i="1"/>
  <c r="R20" i="1"/>
  <c r="M20" i="1"/>
  <c r="R516" i="1"/>
  <c r="M516" i="1"/>
  <c r="R82" i="1"/>
  <c r="M82" i="1"/>
  <c r="R146" i="1"/>
  <c r="M146" i="1"/>
  <c r="R210" i="1"/>
  <c r="M210" i="1"/>
  <c r="R274" i="1"/>
  <c r="M274" i="1"/>
  <c r="R338" i="1"/>
  <c r="M338" i="1"/>
  <c r="R402" i="1"/>
  <c r="M402" i="1"/>
  <c r="R3" i="1"/>
  <c r="M3" i="1"/>
  <c r="R67" i="1"/>
  <c r="M67" i="1"/>
  <c r="R235" i="1"/>
  <c r="M235" i="1"/>
  <c r="R315" i="1"/>
  <c r="M315" i="1"/>
  <c r="R475" i="1"/>
  <c r="M475" i="1"/>
  <c r="R180" i="1"/>
  <c r="M180" i="1"/>
  <c r="R548" i="1"/>
  <c r="M548" i="1"/>
  <c r="L956" i="1"/>
  <c r="L541" i="1"/>
  <c r="L398" i="1"/>
  <c r="L667" i="1"/>
  <c r="L995" i="1"/>
  <c r="L770" i="1"/>
  <c r="R546" i="1"/>
  <c r="M546" i="1"/>
  <c r="R722" i="1"/>
  <c r="M722" i="1"/>
  <c r="R866" i="1"/>
  <c r="M866" i="1"/>
  <c r="X954" i="1"/>
  <c r="X1194" i="1"/>
  <c r="X1330" i="1"/>
  <c r="R619" i="1"/>
  <c r="M619" i="1"/>
  <c r="R659" i="1"/>
  <c r="M659" i="1"/>
  <c r="R803" i="1"/>
  <c r="M803" i="1"/>
  <c r="R947" i="1"/>
  <c r="M947" i="1"/>
  <c r="R987" i="1"/>
  <c r="M987" i="1"/>
  <c r="X1275" i="1"/>
  <c r="R573" i="1"/>
  <c r="M573" i="1"/>
  <c r="R701" i="1"/>
  <c r="M701" i="1"/>
  <c r="R829" i="1"/>
  <c r="M829" i="1"/>
  <c r="X909" i="1"/>
  <c r="X1029" i="1"/>
  <c r="R142" i="1"/>
  <c r="M142" i="1"/>
  <c r="R918" i="1"/>
  <c r="M918" i="1"/>
  <c r="R1014" i="1"/>
  <c r="M1014" i="1"/>
  <c r="R1102" i="1"/>
  <c r="M1102" i="1"/>
  <c r="R1246" i="1"/>
  <c r="M1246" i="1"/>
  <c r="R2" i="1"/>
  <c r="X350" i="1"/>
  <c r="X167" i="1"/>
  <c r="AL167" i="1" s="1"/>
  <c r="X807" i="1"/>
  <c r="X1255" i="1"/>
  <c r="X376" i="1"/>
  <c r="X888" i="1"/>
  <c r="X316" i="1"/>
  <c r="AL316" i="1" s="1"/>
  <c r="L1076" i="1"/>
  <c r="X22" i="1"/>
  <c r="AL22" i="1" s="1"/>
  <c r="X102" i="1"/>
  <c r="X190" i="1"/>
  <c r="X278" i="1"/>
  <c r="X358" i="1"/>
  <c r="X446" i="1"/>
  <c r="X510" i="1"/>
  <c r="AL510" i="1" s="1"/>
  <c r="X574" i="1"/>
  <c r="X638" i="1"/>
  <c r="AL638" i="1" s="1"/>
  <c r="X702" i="1"/>
  <c r="AL702" i="1" s="1"/>
  <c r="X766" i="1"/>
  <c r="X830" i="1"/>
  <c r="X47" i="1"/>
  <c r="X111" i="1"/>
  <c r="AL111" i="1" s="1"/>
  <c r="X175" i="1"/>
  <c r="AL175" i="1" s="1"/>
  <c r="X239" i="1"/>
  <c r="X303" i="1"/>
  <c r="AL303" i="1" s="1"/>
  <c r="X367" i="1"/>
  <c r="AL367" i="1" s="1"/>
  <c r="X431" i="1"/>
  <c r="AL431" i="1" s="1"/>
  <c r="X495" i="1"/>
  <c r="AL495" i="1" s="1"/>
  <c r="X559" i="1"/>
  <c r="AL559" i="1" s="1"/>
  <c r="X623" i="1"/>
  <c r="AL623" i="1" s="1"/>
  <c r="X687" i="1"/>
  <c r="X751" i="1"/>
  <c r="AL751" i="1" s="1"/>
  <c r="X815" i="1"/>
  <c r="X879" i="1"/>
  <c r="AL879" i="1" s="1"/>
  <c r="X943" i="1"/>
  <c r="AL943" i="1" s="1"/>
  <c r="X1007" i="1"/>
  <c r="AL1007" i="1" s="1"/>
  <c r="X1071" i="1"/>
  <c r="X1135" i="1"/>
  <c r="AL1135" i="1" s="1"/>
  <c r="X1199" i="1"/>
  <c r="X1263" i="1"/>
  <c r="X1327" i="1"/>
  <c r="X64" i="1"/>
  <c r="X128" i="1"/>
  <c r="X192" i="1"/>
  <c r="X256" i="1"/>
  <c r="AL256" i="1" s="1"/>
  <c r="X320" i="1"/>
  <c r="AL320" i="1" s="1"/>
  <c r="X384" i="1"/>
  <c r="X448" i="1"/>
  <c r="AL448" i="1" s="1"/>
  <c r="X512" i="1"/>
  <c r="X576" i="1"/>
  <c r="X640" i="1"/>
  <c r="X704" i="1"/>
  <c r="X768" i="1"/>
  <c r="X832" i="1"/>
  <c r="X896" i="1"/>
  <c r="AL896" i="1" s="1"/>
  <c r="X960" i="1"/>
  <c r="AL960" i="1" s="1"/>
  <c r="X1024" i="1"/>
  <c r="X1088" i="1"/>
  <c r="AL1088" i="1" s="1"/>
  <c r="X1152" i="1"/>
  <c r="AL1152" i="1" s="1"/>
  <c r="X1216" i="1"/>
  <c r="X1280" i="1"/>
  <c r="AL1280" i="1" s="1"/>
  <c r="X50" i="1"/>
  <c r="AL50" i="1" s="1"/>
  <c r="X1185" i="1"/>
  <c r="X1249" i="1"/>
  <c r="X1313" i="1"/>
  <c r="AL1313" i="1" s="1"/>
  <c r="X90" i="1"/>
  <c r="X914" i="1"/>
  <c r="X978" i="1"/>
  <c r="AL978" i="1" s="1"/>
  <c r="X1042" i="1"/>
  <c r="X1106" i="1"/>
  <c r="X1170" i="1"/>
  <c r="X1234" i="1"/>
  <c r="X1298" i="1"/>
  <c r="AL1298" i="1" s="1"/>
  <c r="X467" i="1"/>
  <c r="X1059" i="1"/>
  <c r="X1123" i="1"/>
  <c r="X1187" i="1"/>
  <c r="AL1187" i="1" s="1"/>
  <c r="X1251" i="1"/>
  <c r="AL1251" i="1" s="1"/>
  <c r="X1315" i="1"/>
  <c r="AL1315" i="1" s="1"/>
  <c r="X228" i="1"/>
  <c r="X260" i="1"/>
  <c r="X580" i="1"/>
  <c r="AL580" i="1" s="1"/>
  <c r="L996" i="1"/>
  <c r="X996" i="1"/>
  <c r="L1052" i="1"/>
  <c r="X1052" i="1"/>
  <c r="X245" i="1"/>
  <c r="X333" i="1"/>
  <c r="X429" i="1"/>
  <c r="AL429" i="1" s="1"/>
  <c r="X565" i="1"/>
  <c r="AL565" i="1" s="1"/>
  <c r="X94" i="1"/>
  <c r="AL94" i="1" s="1"/>
  <c r="X630" i="1"/>
  <c r="AL630" i="1" s="1"/>
  <c r="X295" i="1"/>
  <c r="X551" i="1"/>
  <c r="AL551" i="1" s="1"/>
  <c r="X1191" i="1"/>
  <c r="AL1191" i="1" s="1"/>
  <c r="X312" i="1"/>
  <c r="AL312" i="1" s="1"/>
  <c r="X760" i="1"/>
  <c r="X93" i="1"/>
  <c r="X157" i="1"/>
  <c r="AL157" i="1" s="1"/>
  <c r="X221" i="1"/>
  <c r="X285" i="1"/>
  <c r="AL285" i="1" s="1"/>
  <c r="X349" i="1"/>
  <c r="AL349" i="1" s="1"/>
  <c r="X413" i="1"/>
  <c r="AL413" i="1" s="1"/>
  <c r="X477" i="1"/>
  <c r="AL477" i="1" s="1"/>
  <c r="X30" i="1"/>
  <c r="AL30" i="1" s="1"/>
  <c r="X118" i="1"/>
  <c r="X198" i="1"/>
  <c r="X286" i="1"/>
  <c r="X374" i="1"/>
  <c r="AL374" i="1" s="1"/>
  <c r="X454" i="1"/>
  <c r="X518" i="1"/>
  <c r="AL518" i="1" s="1"/>
  <c r="X582" i="1"/>
  <c r="X646" i="1"/>
  <c r="X710" i="1"/>
  <c r="X774" i="1"/>
  <c r="X838" i="1"/>
  <c r="AL838" i="1" s="1"/>
  <c r="X55" i="1"/>
  <c r="AL55" i="1" s="1"/>
  <c r="X119" i="1"/>
  <c r="X183" i="1"/>
  <c r="X247" i="1"/>
  <c r="X311" i="1"/>
  <c r="X375" i="1"/>
  <c r="X439" i="1"/>
  <c r="X503" i="1"/>
  <c r="X567" i="1"/>
  <c r="X631" i="1"/>
  <c r="X695" i="1"/>
  <c r="AL695" i="1" s="1"/>
  <c r="X759" i="1"/>
  <c r="AL759" i="1" s="1"/>
  <c r="X823" i="1"/>
  <c r="X887" i="1"/>
  <c r="X951" i="1"/>
  <c r="X1015" i="1"/>
  <c r="X1079" i="1"/>
  <c r="X1143" i="1"/>
  <c r="X1207" i="1"/>
  <c r="X1271" i="1"/>
  <c r="X8" i="1"/>
  <c r="X72" i="1"/>
  <c r="X136" i="1"/>
  <c r="X200" i="1"/>
  <c r="X264" i="1"/>
  <c r="X328" i="1"/>
  <c r="X392" i="1"/>
  <c r="AL392" i="1" s="1"/>
  <c r="X456" i="1"/>
  <c r="X520" i="1"/>
  <c r="X584" i="1"/>
  <c r="X648" i="1"/>
  <c r="X712" i="1"/>
  <c r="X776" i="1"/>
  <c r="X840" i="1"/>
  <c r="AL840" i="1" s="1"/>
  <c r="X904" i="1"/>
  <c r="AL904" i="1" s="1"/>
  <c r="X968" i="1"/>
  <c r="AL968" i="1" s="1"/>
  <c r="X1032" i="1"/>
  <c r="AL1032" i="1" s="1"/>
  <c r="X1096" i="1"/>
  <c r="X1160" i="1"/>
  <c r="X1224" i="1"/>
  <c r="X1288" i="1"/>
  <c r="AL1288" i="1" s="1"/>
  <c r="L884" i="1"/>
  <c r="L948" i="1"/>
  <c r="L41" i="1"/>
  <c r="X769" i="1"/>
  <c r="AL769" i="1" s="1"/>
  <c r="X1193" i="1"/>
  <c r="X1257" i="1"/>
  <c r="X1321" i="1"/>
  <c r="L1108" i="1"/>
  <c r="X1108" i="1"/>
  <c r="L1140" i="1"/>
  <c r="L1332" i="1"/>
  <c r="X173" i="1"/>
  <c r="AL173" i="1" s="1"/>
  <c r="X182" i="1"/>
  <c r="X438" i="1"/>
  <c r="AL438" i="1" s="1"/>
  <c r="X694" i="1"/>
  <c r="X231" i="1"/>
  <c r="X359" i="1"/>
  <c r="X487" i="1"/>
  <c r="X743" i="1"/>
  <c r="AL743" i="1" s="1"/>
  <c r="X935" i="1"/>
  <c r="X1063" i="1"/>
  <c r="X56" i="1"/>
  <c r="X248" i="1"/>
  <c r="AL248" i="1" s="1"/>
  <c r="X440" i="1"/>
  <c r="AL440" i="1" s="1"/>
  <c r="X568" i="1"/>
  <c r="AL568" i="1" s="1"/>
  <c r="X824" i="1"/>
  <c r="X1016" i="1"/>
  <c r="AL1016" i="1" s="1"/>
  <c r="X1144" i="1"/>
  <c r="AL1144" i="1" s="1"/>
  <c r="X508" i="1"/>
  <c r="L1044" i="1"/>
  <c r="X1044" i="1"/>
  <c r="AL1044" i="1" s="1"/>
  <c r="X693" i="1"/>
  <c r="X421" i="1"/>
  <c r="X485" i="1"/>
  <c r="X38" i="1"/>
  <c r="AL38" i="1" s="1"/>
  <c r="X126" i="1"/>
  <c r="X214" i="1"/>
  <c r="AL214" i="1" s="1"/>
  <c r="X294" i="1"/>
  <c r="AL294" i="1" s="1"/>
  <c r="X382" i="1"/>
  <c r="AL382" i="1" s="1"/>
  <c r="X462" i="1"/>
  <c r="X526" i="1"/>
  <c r="X590" i="1"/>
  <c r="X654" i="1"/>
  <c r="AL654" i="1" s="1"/>
  <c r="X718" i="1"/>
  <c r="X782" i="1"/>
  <c r="AL782" i="1" s="1"/>
  <c r="X846" i="1"/>
  <c r="AL846" i="1" s="1"/>
  <c r="X63" i="1"/>
  <c r="AL63" i="1" s="1"/>
  <c r="X127" i="1"/>
  <c r="AL127" i="1" s="1"/>
  <c r="X191" i="1"/>
  <c r="X255" i="1"/>
  <c r="X319" i="1"/>
  <c r="AL319" i="1" s="1"/>
  <c r="X383" i="1"/>
  <c r="AL383" i="1" s="1"/>
  <c r="X447" i="1"/>
  <c r="AL447" i="1" s="1"/>
  <c r="X511" i="1"/>
  <c r="AL511" i="1" s="1"/>
  <c r="X575" i="1"/>
  <c r="AL575" i="1" s="1"/>
  <c r="X639" i="1"/>
  <c r="AL639" i="1" s="1"/>
  <c r="X703" i="1"/>
  <c r="X767" i="1"/>
  <c r="AL767" i="1" s="1"/>
  <c r="X831" i="1"/>
  <c r="X895" i="1"/>
  <c r="AL895" i="1" s="1"/>
  <c r="X959" i="1"/>
  <c r="X1023" i="1"/>
  <c r="X1087" i="1"/>
  <c r="AL1087" i="1" s="1"/>
  <c r="X1151" i="1"/>
  <c r="X1215" i="1"/>
  <c r="X1279" i="1"/>
  <c r="X16" i="1"/>
  <c r="X80" i="1"/>
  <c r="AL80" i="1" s="1"/>
  <c r="X144" i="1"/>
  <c r="X208" i="1"/>
  <c r="X272" i="1"/>
  <c r="X336" i="1"/>
  <c r="X400" i="1"/>
  <c r="X464" i="1"/>
  <c r="AL464" i="1" s="1"/>
  <c r="X528" i="1"/>
  <c r="AL528" i="1" s="1"/>
  <c r="X592" i="1"/>
  <c r="X656" i="1"/>
  <c r="AL656" i="1" s="1"/>
  <c r="X720" i="1"/>
  <c r="X784" i="1"/>
  <c r="X848" i="1"/>
  <c r="X912" i="1"/>
  <c r="X976" i="1"/>
  <c r="X1040" i="1"/>
  <c r="X1104" i="1"/>
  <c r="X1168" i="1"/>
  <c r="AL1168" i="1" s="1"/>
  <c r="X1232" i="1"/>
  <c r="X1296" i="1"/>
  <c r="L755" i="1"/>
  <c r="L65" i="1"/>
  <c r="L313" i="1"/>
  <c r="X66" i="1"/>
  <c r="X61" i="1"/>
  <c r="X1201" i="1"/>
  <c r="X1265" i="1"/>
  <c r="AL1265" i="1" s="1"/>
  <c r="X1329" i="1"/>
  <c r="AL1329" i="1" s="1"/>
  <c r="X962" i="1"/>
  <c r="AL962" i="1" s="1"/>
  <c r="X1026" i="1"/>
  <c r="AL1026" i="1" s="1"/>
  <c r="X1090" i="1"/>
  <c r="X1154" i="1"/>
  <c r="AL1154" i="1" s="1"/>
  <c r="X1218" i="1"/>
  <c r="AL1218" i="1" s="1"/>
  <c r="X1282" i="1"/>
  <c r="X1107" i="1"/>
  <c r="X1171" i="1"/>
  <c r="X1235" i="1"/>
  <c r="AL1235" i="1" s="1"/>
  <c r="X1299" i="1"/>
  <c r="AL1299" i="1" s="1"/>
  <c r="X980" i="1"/>
  <c r="L1028" i="1"/>
  <c r="X1028" i="1"/>
  <c r="AL1028" i="1" s="1"/>
  <c r="L1060" i="1"/>
  <c r="X1060" i="1"/>
  <c r="L1116" i="1"/>
  <c r="X1116" i="1"/>
  <c r="L1204" i="1"/>
  <c r="L1268" i="1"/>
  <c r="L1300" i="1"/>
  <c r="X1300" i="1"/>
  <c r="X269" i="1"/>
  <c r="X461" i="1"/>
  <c r="X566" i="1"/>
  <c r="AL566" i="1" s="1"/>
  <c r="X103" i="1"/>
  <c r="AL103" i="1" s="1"/>
  <c r="X615" i="1"/>
  <c r="X1127" i="1"/>
  <c r="AL1127" i="1" s="1"/>
  <c r="X120" i="1"/>
  <c r="AL120" i="1" s="1"/>
  <c r="X696" i="1"/>
  <c r="X1208" i="1"/>
  <c r="X124" i="1"/>
  <c r="X828" i="1"/>
  <c r="X46" i="1"/>
  <c r="X134" i="1"/>
  <c r="X222" i="1"/>
  <c r="AL222" i="1" s="1"/>
  <c r="X310" i="1"/>
  <c r="AL310" i="1" s="1"/>
  <c r="X390" i="1"/>
  <c r="AL390" i="1" s="1"/>
  <c r="X470" i="1"/>
  <c r="X534" i="1"/>
  <c r="AL534" i="1" s="1"/>
  <c r="X598" i="1"/>
  <c r="X662" i="1"/>
  <c r="X726" i="1"/>
  <c r="X790" i="1"/>
  <c r="X7" i="1"/>
  <c r="X71" i="1"/>
  <c r="X135" i="1"/>
  <c r="AL135" i="1" s="1"/>
  <c r="X199" i="1"/>
  <c r="AL199" i="1" s="1"/>
  <c r="X263" i="1"/>
  <c r="AL263" i="1" s="1"/>
  <c r="X327" i="1"/>
  <c r="X391" i="1"/>
  <c r="X455" i="1"/>
  <c r="AL455" i="1" s="1"/>
  <c r="X519" i="1"/>
  <c r="AL519" i="1" s="1"/>
  <c r="X583" i="1"/>
  <c r="AL583" i="1" s="1"/>
  <c r="X647" i="1"/>
  <c r="X711" i="1"/>
  <c r="X775" i="1"/>
  <c r="AL775" i="1" s="1"/>
  <c r="X839" i="1"/>
  <c r="X903" i="1"/>
  <c r="X967" i="1"/>
  <c r="X1031" i="1"/>
  <c r="X1095" i="1"/>
  <c r="X1159" i="1"/>
  <c r="AL1159" i="1" s="1"/>
  <c r="X1223" i="1"/>
  <c r="X1287" i="1"/>
  <c r="X24" i="1"/>
  <c r="X88" i="1"/>
  <c r="X152" i="1"/>
  <c r="X216" i="1"/>
  <c r="X280" i="1"/>
  <c r="X344" i="1"/>
  <c r="X408" i="1"/>
  <c r="X472" i="1"/>
  <c r="X536" i="1"/>
  <c r="X600" i="1"/>
  <c r="X664" i="1"/>
  <c r="X728" i="1"/>
  <c r="AL728" i="1" s="1"/>
  <c r="X792" i="1"/>
  <c r="X856" i="1"/>
  <c r="AL856" i="1" s="1"/>
  <c r="X920" i="1"/>
  <c r="X984" i="1"/>
  <c r="X1048" i="1"/>
  <c r="AL1048" i="1" s="1"/>
  <c r="X1112" i="1"/>
  <c r="AL1112" i="1" s="1"/>
  <c r="X1176" i="1"/>
  <c r="X1240" i="1"/>
  <c r="AL1240" i="1" s="1"/>
  <c r="X1304" i="1"/>
  <c r="AL1304" i="1" s="1"/>
  <c r="L883" i="1"/>
  <c r="L691" i="1"/>
  <c r="L1011" i="1"/>
  <c r="X74" i="1"/>
  <c r="AL74" i="1" s="1"/>
  <c r="X1209" i="1"/>
  <c r="X1273" i="1"/>
  <c r="AL1273" i="1" s="1"/>
  <c r="X474" i="1"/>
  <c r="X538" i="1"/>
  <c r="AL538" i="1" s="1"/>
  <c r="X602" i="1"/>
  <c r="X666" i="1"/>
  <c r="AL666" i="1" s="1"/>
  <c r="X730" i="1"/>
  <c r="X794" i="1"/>
  <c r="AL794" i="1" s="1"/>
  <c r="X858" i="1"/>
  <c r="AL858" i="1" s="1"/>
  <c r="X922" i="1"/>
  <c r="X986" i="1"/>
  <c r="X1050" i="1"/>
  <c r="AL1050" i="1" s="1"/>
  <c r="X1114" i="1"/>
  <c r="AL1114" i="1" s="1"/>
  <c r="X1178" i="1"/>
  <c r="X1242" i="1"/>
  <c r="X1306" i="1"/>
  <c r="X1067" i="1"/>
  <c r="AL1067" i="1" s="1"/>
  <c r="X1131" i="1"/>
  <c r="X1195" i="1"/>
  <c r="AL1195" i="1" s="1"/>
  <c r="X1259" i="1"/>
  <c r="AL1259" i="1" s="1"/>
  <c r="X1323" i="1"/>
  <c r="AL1323" i="1" s="1"/>
  <c r="L1172" i="1"/>
  <c r="X1172" i="1"/>
  <c r="L1236" i="1"/>
  <c r="X1236" i="1"/>
  <c r="L1308" i="1"/>
  <c r="X1308" i="1"/>
  <c r="X109" i="1"/>
  <c r="X365" i="1"/>
  <c r="X822" i="1"/>
  <c r="X62" i="1"/>
  <c r="X230" i="1"/>
  <c r="X478" i="1"/>
  <c r="X606" i="1"/>
  <c r="X798" i="1"/>
  <c r="X143" i="1"/>
  <c r="X335" i="1"/>
  <c r="X463" i="1"/>
  <c r="X655" i="1"/>
  <c r="AL655" i="1" s="1"/>
  <c r="X783" i="1"/>
  <c r="X975" i="1"/>
  <c r="X1167" i="1"/>
  <c r="AL1167" i="1" s="1"/>
  <c r="X1295" i="1"/>
  <c r="X32" i="1"/>
  <c r="X160" i="1"/>
  <c r="X352" i="1"/>
  <c r="X544" i="1"/>
  <c r="X672" i="1"/>
  <c r="AL672" i="1" s="1"/>
  <c r="X864" i="1"/>
  <c r="AL864" i="1" s="1"/>
  <c r="X992" i="1"/>
  <c r="AL992" i="1" s="1"/>
  <c r="X1184" i="1"/>
  <c r="X1312" i="1"/>
  <c r="AL1312" i="1" s="1"/>
  <c r="L563" i="1"/>
  <c r="X1217" i="1"/>
  <c r="AL1217" i="1" s="1"/>
  <c r="X1281" i="1"/>
  <c r="X283" i="1"/>
  <c r="X212" i="1"/>
  <c r="AL212" i="1" s="1"/>
  <c r="X276" i="1"/>
  <c r="L1124" i="1"/>
  <c r="X1124" i="1"/>
  <c r="L1180" i="1"/>
  <c r="X1180" i="1"/>
  <c r="L1244" i="1"/>
  <c r="X1244" i="1"/>
  <c r="AL1244" i="1" s="1"/>
  <c r="X493" i="1"/>
  <c r="X885" i="1"/>
  <c r="AL885" i="1" s="1"/>
  <c r="L949" i="1"/>
  <c r="X949" i="1"/>
  <c r="X14" i="1"/>
  <c r="X262" i="1"/>
  <c r="X502" i="1"/>
  <c r="X758" i="1"/>
  <c r="AL758" i="1" s="1"/>
  <c r="X39" i="1"/>
  <c r="X423" i="1"/>
  <c r="X679" i="1"/>
  <c r="AL679" i="1" s="1"/>
  <c r="X871" i="1"/>
  <c r="AL871" i="1" s="1"/>
  <c r="X999" i="1"/>
  <c r="AL999" i="1" s="1"/>
  <c r="X1319" i="1"/>
  <c r="AL1319" i="1" s="1"/>
  <c r="X184" i="1"/>
  <c r="AL184" i="1" s="1"/>
  <c r="X504" i="1"/>
  <c r="X632" i="1"/>
  <c r="AL632" i="1" s="1"/>
  <c r="X952" i="1"/>
  <c r="X1080" i="1"/>
  <c r="AL1080" i="1" s="1"/>
  <c r="X1272" i="1"/>
  <c r="AL1272" i="1" s="1"/>
  <c r="X629" i="1"/>
  <c r="L1269" i="1"/>
  <c r="X1269" i="1"/>
  <c r="X150" i="1"/>
  <c r="AL150" i="1" s="1"/>
  <c r="X318" i="1"/>
  <c r="AL318" i="1" s="1"/>
  <c r="X406" i="1"/>
  <c r="AL406" i="1" s="1"/>
  <c r="X542" i="1"/>
  <c r="X670" i="1"/>
  <c r="AL670" i="1" s="1"/>
  <c r="X734" i="1"/>
  <c r="AL734" i="1" s="1"/>
  <c r="X15" i="1"/>
  <c r="AL15" i="1" s="1"/>
  <c r="X79" i="1"/>
  <c r="AL79" i="1" s="1"/>
  <c r="X207" i="1"/>
  <c r="AL207" i="1" s="1"/>
  <c r="X271" i="1"/>
  <c r="X399" i="1"/>
  <c r="AL399" i="1" s="1"/>
  <c r="X527" i="1"/>
  <c r="X591" i="1"/>
  <c r="AL591" i="1" s="1"/>
  <c r="X719" i="1"/>
  <c r="X847" i="1"/>
  <c r="X911" i="1"/>
  <c r="X1039" i="1"/>
  <c r="X1103" i="1"/>
  <c r="AL1103" i="1" s="1"/>
  <c r="X1231" i="1"/>
  <c r="X96" i="1"/>
  <c r="X224" i="1"/>
  <c r="AL224" i="1" s="1"/>
  <c r="X288" i="1"/>
  <c r="AL288" i="1" s="1"/>
  <c r="X416" i="1"/>
  <c r="X480" i="1"/>
  <c r="X608" i="1"/>
  <c r="X736" i="1"/>
  <c r="AL736" i="1" s="1"/>
  <c r="X800" i="1"/>
  <c r="X928" i="1"/>
  <c r="X1056" i="1"/>
  <c r="X1120" i="1"/>
  <c r="X1248" i="1"/>
  <c r="X125" i="1"/>
  <c r="AL125" i="1" s="1"/>
  <c r="X189" i="1"/>
  <c r="AL189" i="1" s="1"/>
  <c r="X253" i="1"/>
  <c r="X317" i="1"/>
  <c r="AL317" i="1" s="1"/>
  <c r="X381" i="1"/>
  <c r="X445" i="1"/>
  <c r="AL445" i="1" s="1"/>
  <c r="X509" i="1"/>
  <c r="X70" i="1"/>
  <c r="X158" i="1"/>
  <c r="X246" i="1"/>
  <c r="AL246" i="1" s="1"/>
  <c r="X326" i="1"/>
  <c r="X414" i="1"/>
  <c r="X486" i="1"/>
  <c r="AL486" i="1" s="1"/>
  <c r="X550" i="1"/>
  <c r="X614" i="1"/>
  <c r="X678" i="1"/>
  <c r="AL678" i="1" s="1"/>
  <c r="X742" i="1"/>
  <c r="X806" i="1"/>
  <c r="X23" i="1"/>
  <c r="AL23" i="1" s="1"/>
  <c r="X87" i="1"/>
  <c r="X151" i="1"/>
  <c r="AL151" i="1" s="1"/>
  <c r="X215" i="1"/>
  <c r="X279" i="1"/>
  <c r="AL279" i="1" s="1"/>
  <c r="X343" i="1"/>
  <c r="AL343" i="1" s="1"/>
  <c r="X407" i="1"/>
  <c r="AL407" i="1" s="1"/>
  <c r="X471" i="1"/>
  <c r="X535" i="1"/>
  <c r="X599" i="1"/>
  <c r="X663" i="1"/>
  <c r="X727" i="1"/>
  <c r="X791" i="1"/>
  <c r="X855" i="1"/>
  <c r="AL855" i="1" s="1"/>
  <c r="X919" i="1"/>
  <c r="X983" i="1"/>
  <c r="AL983" i="1" s="1"/>
  <c r="X1047" i="1"/>
  <c r="X1111" i="1"/>
  <c r="AL1111" i="1" s="1"/>
  <c r="X1175" i="1"/>
  <c r="X1239" i="1"/>
  <c r="X1303" i="1"/>
  <c r="X40" i="1"/>
  <c r="X104" i="1"/>
  <c r="X168" i="1"/>
  <c r="AL168" i="1" s="1"/>
  <c r="X232" i="1"/>
  <c r="X296" i="1"/>
  <c r="X360" i="1"/>
  <c r="AL360" i="1" s="1"/>
  <c r="X424" i="1"/>
  <c r="X488" i="1"/>
  <c r="AL488" i="1" s="1"/>
  <c r="X552" i="1"/>
  <c r="X616" i="1"/>
  <c r="X680" i="1"/>
  <c r="X744" i="1"/>
  <c r="AL744" i="1" s="1"/>
  <c r="X808" i="1"/>
  <c r="AL808" i="1" s="1"/>
  <c r="X872" i="1"/>
  <c r="X936" i="1"/>
  <c r="AL936" i="1" s="1"/>
  <c r="X1000" i="1"/>
  <c r="X1064" i="1"/>
  <c r="AL1064" i="1" s="1"/>
  <c r="X1128" i="1"/>
  <c r="AL1128" i="1" s="1"/>
  <c r="X1192" i="1"/>
  <c r="X1256" i="1"/>
  <c r="X1320" i="1"/>
  <c r="AL1320" i="1" s="1"/>
  <c r="L259" i="1"/>
  <c r="L153" i="1"/>
  <c r="L409" i="1"/>
  <c r="L819" i="1"/>
  <c r="X13" i="1"/>
  <c r="AL13" i="1" s="1"/>
  <c r="X593" i="1"/>
  <c r="AL593" i="1" s="1"/>
  <c r="X657" i="1"/>
  <c r="X721" i="1"/>
  <c r="AL721" i="1" s="1"/>
  <c r="X817" i="1"/>
  <c r="AL817" i="1" s="1"/>
  <c r="X1225" i="1"/>
  <c r="X1289" i="1"/>
  <c r="X906" i="1"/>
  <c r="AL906" i="1" s="1"/>
  <c r="X970" i="1"/>
  <c r="X1034" i="1"/>
  <c r="AL1034" i="1" s="1"/>
  <c r="X1098" i="1"/>
  <c r="AL1098" i="1" s="1"/>
  <c r="X1162" i="1"/>
  <c r="X1226" i="1"/>
  <c r="X1290" i="1"/>
  <c r="X1051" i="1"/>
  <c r="X1115" i="1"/>
  <c r="AL1115" i="1" s="1"/>
  <c r="X1179" i="1"/>
  <c r="AL1179" i="1" s="1"/>
  <c r="X1243" i="1"/>
  <c r="X1307" i="1"/>
  <c r="AL1307" i="1" s="1"/>
  <c r="X988" i="1"/>
  <c r="AL988" i="1" s="1"/>
  <c r="X1012" i="1"/>
  <c r="AL1012" i="1" s="1"/>
  <c r="X301" i="1"/>
  <c r="X821" i="1"/>
  <c r="L1013" i="1"/>
  <c r="X1013" i="1"/>
  <c r="L1141" i="1"/>
  <c r="X1141" i="1"/>
  <c r="X453" i="1"/>
  <c r="X517" i="1"/>
  <c r="X6" i="1"/>
  <c r="X86" i="1"/>
  <c r="AL86" i="1" s="1"/>
  <c r="X166" i="1"/>
  <c r="AL166" i="1" s="1"/>
  <c r="X254" i="1"/>
  <c r="X342" i="1"/>
  <c r="X422" i="1"/>
  <c r="X494" i="1"/>
  <c r="X558" i="1"/>
  <c r="AL558" i="1" s="1"/>
  <c r="X622" i="1"/>
  <c r="AL622" i="1" s="1"/>
  <c r="X686" i="1"/>
  <c r="X750" i="1"/>
  <c r="AL750" i="1" s="1"/>
  <c r="X814" i="1"/>
  <c r="AL814" i="1" s="1"/>
  <c r="X31" i="1"/>
  <c r="X95" i="1"/>
  <c r="X159" i="1"/>
  <c r="AL159" i="1" s="1"/>
  <c r="X223" i="1"/>
  <c r="X287" i="1"/>
  <c r="X351" i="1"/>
  <c r="AL351" i="1" s="1"/>
  <c r="X415" i="1"/>
  <c r="X479" i="1"/>
  <c r="AL479" i="1" s="1"/>
  <c r="X543" i="1"/>
  <c r="AL543" i="1" s="1"/>
  <c r="X607" i="1"/>
  <c r="AL607" i="1" s="1"/>
  <c r="X671" i="1"/>
  <c r="AL671" i="1" s="1"/>
  <c r="X735" i="1"/>
  <c r="X799" i="1"/>
  <c r="X863" i="1"/>
  <c r="X927" i="1"/>
  <c r="AL927" i="1" s="1"/>
  <c r="X991" i="1"/>
  <c r="AL991" i="1" s="1"/>
  <c r="X1055" i="1"/>
  <c r="X1119" i="1"/>
  <c r="X1183" i="1"/>
  <c r="AL1183" i="1" s="1"/>
  <c r="X1247" i="1"/>
  <c r="X1311" i="1"/>
  <c r="AL1311" i="1" s="1"/>
  <c r="X48" i="1"/>
  <c r="X112" i="1"/>
  <c r="AL112" i="1" s="1"/>
  <c r="X176" i="1"/>
  <c r="AL176" i="1" s="1"/>
  <c r="X240" i="1"/>
  <c r="X304" i="1"/>
  <c r="AL304" i="1" s="1"/>
  <c r="X368" i="1"/>
  <c r="AL368" i="1" s="1"/>
  <c r="X432" i="1"/>
  <c r="X496" i="1"/>
  <c r="X560" i="1"/>
  <c r="X624" i="1"/>
  <c r="X688" i="1"/>
  <c r="X752" i="1"/>
  <c r="X816" i="1"/>
  <c r="X880" i="1"/>
  <c r="AL880" i="1" s="1"/>
  <c r="X944" i="1"/>
  <c r="X1008" i="1"/>
  <c r="AL1008" i="1" s="1"/>
  <c r="X1072" i="1"/>
  <c r="AL1072" i="1" s="1"/>
  <c r="X1136" i="1"/>
  <c r="X1200" i="1"/>
  <c r="X1264" i="1"/>
  <c r="X1328" i="1"/>
  <c r="AL1328" i="1" s="1"/>
  <c r="L629" i="1"/>
  <c r="L693" i="1"/>
  <c r="L947" i="1"/>
  <c r="L627" i="1"/>
  <c r="L482" i="1"/>
  <c r="L546" i="1"/>
  <c r="L610" i="1"/>
  <c r="L674" i="1"/>
  <c r="L738" i="1"/>
  <c r="L802" i="1"/>
  <c r="L866" i="1"/>
  <c r="X1233" i="1"/>
  <c r="AL1233" i="1" s="1"/>
  <c r="X1297" i="1"/>
  <c r="X930" i="1"/>
  <c r="AL930" i="1" s="1"/>
  <c r="X994" i="1"/>
  <c r="AL994" i="1" s="1"/>
  <c r="X1058" i="1"/>
  <c r="X1122" i="1"/>
  <c r="AL1122" i="1" s="1"/>
  <c r="X1186" i="1"/>
  <c r="AL1186" i="1" s="1"/>
  <c r="X1250" i="1"/>
  <c r="AL1250" i="1" s="1"/>
  <c r="X1314" i="1"/>
  <c r="X1075" i="1"/>
  <c r="X1139" i="1"/>
  <c r="AL1139" i="1" s="1"/>
  <c r="X1203" i="1"/>
  <c r="X1267" i="1"/>
  <c r="AL1267" i="1" s="1"/>
  <c r="X1331" i="1"/>
  <c r="AL1331" i="1" s="1"/>
  <c r="X1076" i="1"/>
  <c r="AL1076" i="1" s="1"/>
  <c r="X397" i="1"/>
  <c r="AL397" i="1" s="1"/>
  <c r="X757" i="1"/>
  <c r="AL757" i="1" s="1"/>
  <c r="L1077" i="1"/>
  <c r="X1077" i="1"/>
  <c r="L1205" i="1"/>
  <c r="X1205" i="1"/>
  <c r="AL1205" i="1" s="1"/>
  <c r="X1188" i="1"/>
  <c r="X1252" i="1"/>
  <c r="X1316" i="1"/>
  <c r="AL1316" i="1" s="1"/>
  <c r="X749" i="1"/>
  <c r="AL749" i="1" s="1"/>
  <c r="X877" i="1"/>
  <c r="AL877" i="1" s="1"/>
  <c r="X941" i="1"/>
  <c r="X1005" i="1"/>
  <c r="AL1005" i="1" s="1"/>
  <c r="X1069" i="1"/>
  <c r="X1109" i="1"/>
  <c r="AL1109" i="1" s="1"/>
  <c r="X1133" i="1"/>
  <c r="AL1133" i="1" s="1"/>
  <c r="X1173" i="1"/>
  <c r="AL1173" i="1" s="1"/>
  <c r="X1197" i="1"/>
  <c r="X1237" i="1"/>
  <c r="X1261" i="1"/>
  <c r="AL1261" i="1" s="1"/>
  <c r="X1301" i="1"/>
  <c r="X1325" i="1"/>
  <c r="X878" i="1"/>
  <c r="X942" i="1"/>
  <c r="X1006" i="1"/>
  <c r="X1070" i="1"/>
  <c r="AL1070" i="1" s="1"/>
  <c r="X1134" i="1"/>
  <c r="X1198" i="1"/>
  <c r="X1262" i="1"/>
  <c r="AL1262" i="1" s="1"/>
  <c r="X1326" i="1"/>
  <c r="AL1326" i="1" s="1"/>
  <c r="X1092" i="1"/>
  <c r="X1156" i="1"/>
  <c r="X1220" i="1"/>
  <c r="X1284" i="1"/>
  <c r="AL1284" i="1" s="1"/>
  <c r="X925" i="1"/>
  <c r="X989" i="1"/>
  <c r="X1053" i="1"/>
  <c r="X1117" i="1"/>
  <c r="X1181" i="1"/>
  <c r="AL1181" i="1" s="1"/>
  <c r="X1245" i="1"/>
  <c r="X1309" i="1"/>
  <c r="AL1309" i="1" s="1"/>
  <c r="X54" i="1"/>
  <c r="L61" i="1"/>
  <c r="L317" i="1"/>
  <c r="L509" i="1"/>
  <c r="L70" i="1"/>
  <c r="L158" i="1"/>
  <c r="L414" i="1"/>
  <c r="L486" i="1"/>
  <c r="L678" i="1"/>
  <c r="L116" i="1"/>
  <c r="L87" i="1"/>
  <c r="L215" i="1"/>
  <c r="L407" i="1"/>
  <c r="L599" i="1"/>
  <c r="L663" i="1"/>
  <c r="L855" i="1"/>
  <c r="L1047" i="1"/>
  <c r="L1239" i="1"/>
  <c r="L668" i="1"/>
  <c r="L168" i="1"/>
  <c r="L360" i="1"/>
  <c r="L488" i="1"/>
  <c r="L616" i="1"/>
  <c r="L808" i="1"/>
  <c r="L936" i="1"/>
  <c r="L1064" i="1"/>
  <c r="L1192" i="1"/>
  <c r="L1320" i="1"/>
  <c r="L57" i="1"/>
  <c r="L321" i="1"/>
  <c r="L545" i="1"/>
  <c r="L737" i="1"/>
  <c r="L929" i="1"/>
  <c r="L1121" i="1"/>
  <c r="L332" i="1"/>
  <c r="L314" i="1"/>
  <c r="L115" i="1"/>
  <c r="L451" i="1"/>
  <c r="L69" i="1"/>
  <c r="L133" i="1"/>
  <c r="L197" i="1"/>
  <c r="L261" i="1"/>
  <c r="L325" i="1"/>
  <c r="L389" i="1"/>
  <c r="L453" i="1"/>
  <c r="L517" i="1"/>
  <c r="L444" i="1"/>
  <c r="L6" i="1"/>
  <c r="L86" i="1"/>
  <c r="L166" i="1"/>
  <c r="L254" i="1"/>
  <c r="L342" i="1"/>
  <c r="L422" i="1"/>
  <c r="L494" i="1"/>
  <c r="L558" i="1"/>
  <c r="L622" i="1"/>
  <c r="L686" i="1"/>
  <c r="L750" i="1"/>
  <c r="L814" i="1"/>
  <c r="L164" i="1"/>
  <c r="L596" i="1"/>
  <c r="L31" i="1"/>
  <c r="L95" i="1"/>
  <c r="L159" i="1"/>
  <c r="L223" i="1"/>
  <c r="L287" i="1"/>
  <c r="L351" i="1"/>
  <c r="L415" i="1"/>
  <c r="L479" i="1"/>
  <c r="L543" i="1"/>
  <c r="L607" i="1"/>
  <c r="L671" i="1"/>
  <c r="L735" i="1"/>
  <c r="L799" i="1"/>
  <c r="L863" i="1"/>
  <c r="L927" i="1"/>
  <c r="L991" i="1"/>
  <c r="L1055" i="1"/>
  <c r="L1119" i="1"/>
  <c r="L1183" i="1"/>
  <c r="L1247" i="1"/>
  <c r="L1311" i="1"/>
  <c r="L260" i="1"/>
  <c r="L724" i="1"/>
  <c r="L48" i="1"/>
  <c r="L112" i="1"/>
  <c r="L176" i="1"/>
  <c r="L240" i="1"/>
  <c r="L304" i="1"/>
  <c r="L368" i="1"/>
  <c r="L432" i="1"/>
  <c r="L496" i="1"/>
  <c r="L560" i="1"/>
  <c r="L624" i="1"/>
  <c r="L688" i="1"/>
  <c r="L752" i="1"/>
  <c r="L816" i="1"/>
  <c r="L880" i="1"/>
  <c r="L944" i="1"/>
  <c r="L1008" i="1"/>
  <c r="L1072" i="1"/>
  <c r="L1136" i="1"/>
  <c r="L1200" i="1"/>
  <c r="L1264" i="1"/>
  <c r="L1328" i="1"/>
  <c r="L404" i="1"/>
  <c r="L732" i="1"/>
  <c r="L73" i="1"/>
  <c r="L161" i="1"/>
  <c r="L241" i="1"/>
  <c r="L329" i="1"/>
  <c r="L417" i="1"/>
  <c r="L489" i="1"/>
  <c r="L553" i="1"/>
  <c r="L617" i="1"/>
  <c r="L681" i="1"/>
  <c r="L745" i="1"/>
  <c r="L809" i="1"/>
  <c r="L873" i="1"/>
  <c r="L937" i="1"/>
  <c r="L1001" i="1"/>
  <c r="L1065" i="1"/>
  <c r="L1129" i="1"/>
  <c r="L1193" i="1"/>
  <c r="L1257" i="1"/>
  <c r="L1321" i="1"/>
  <c r="L396" i="1"/>
  <c r="L868" i="1"/>
  <c r="L66" i="1"/>
  <c r="L130" i="1"/>
  <c r="L194" i="1"/>
  <c r="L258" i="1"/>
  <c r="L322" i="1"/>
  <c r="L386" i="1"/>
  <c r="L44" i="1"/>
  <c r="L756" i="1"/>
  <c r="L51" i="1"/>
  <c r="L123" i="1"/>
  <c r="L211" i="1"/>
  <c r="L299" i="1"/>
  <c r="L379" i="1"/>
  <c r="L459" i="1"/>
  <c r="L76" i="1"/>
  <c r="L460" i="1"/>
  <c r="L796" i="1"/>
  <c r="L442" i="1"/>
  <c r="L5" i="1"/>
  <c r="L77" i="1"/>
  <c r="L141" i="1"/>
  <c r="L205" i="1"/>
  <c r="L269" i="1"/>
  <c r="L333" i="1"/>
  <c r="L397" i="1"/>
  <c r="L461" i="1"/>
  <c r="L12" i="1"/>
  <c r="L500" i="1"/>
  <c r="L14" i="1"/>
  <c r="L94" i="1"/>
  <c r="L182" i="1"/>
  <c r="L262" i="1"/>
  <c r="L350" i="1"/>
  <c r="L438" i="1"/>
  <c r="L502" i="1"/>
  <c r="L566" i="1"/>
  <c r="L630" i="1"/>
  <c r="L694" i="1"/>
  <c r="L758" i="1"/>
  <c r="L822" i="1"/>
  <c r="L204" i="1"/>
  <c r="L652" i="1"/>
  <c r="L39" i="1"/>
  <c r="L103" i="1"/>
  <c r="L167" i="1"/>
  <c r="L231" i="1"/>
  <c r="L295" i="1"/>
  <c r="L359" i="1"/>
  <c r="L423" i="1"/>
  <c r="L487" i="1"/>
  <c r="L551" i="1"/>
  <c r="L615" i="1"/>
  <c r="L679" i="1"/>
  <c r="L743" i="1"/>
  <c r="L807" i="1"/>
  <c r="L871" i="1"/>
  <c r="L935" i="1"/>
  <c r="L999" i="1"/>
  <c r="L1063" i="1"/>
  <c r="L1127" i="1"/>
  <c r="L1191" i="1"/>
  <c r="L1255" i="1"/>
  <c r="L1319" i="1"/>
  <c r="L316" i="1"/>
  <c r="L788" i="1"/>
  <c r="L56" i="1"/>
  <c r="L120" i="1"/>
  <c r="L184" i="1"/>
  <c r="L248" i="1"/>
  <c r="L312" i="1"/>
  <c r="L376" i="1"/>
  <c r="L440" i="1"/>
  <c r="L504" i="1"/>
  <c r="L568" i="1"/>
  <c r="L632" i="1"/>
  <c r="L696" i="1"/>
  <c r="L760" i="1"/>
  <c r="L824" i="1"/>
  <c r="L888" i="1"/>
  <c r="L952" i="1"/>
  <c r="L1016" i="1"/>
  <c r="L1080" i="1"/>
  <c r="L1144" i="1"/>
  <c r="L1208" i="1"/>
  <c r="L1272" i="1"/>
  <c r="L52" i="1"/>
  <c r="L436" i="1"/>
  <c r="L772" i="1"/>
  <c r="L81" i="1"/>
  <c r="L169" i="1"/>
  <c r="L257" i="1"/>
  <c r="L337" i="1"/>
  <c r="L425" i="1"/>
  <c r="L497" i="1"/>
  <c r="L561" i="1"/>
  <c r="L625" i="1"/>
  <c r="L689" i="1"/>
  <c r="L753" i="1"/>
  <c r="L817" i="1"/>
  <c r="L881" i="1"/>
  <c r="L945" i="1"/>
  <c r="L1009" i="1"/>
  <c r="L1073" i="1"/>
  <c r="L1137" i="1"/>
  <c r="L1201" i="1"/>
  <c r="L1265" i="1"/>
  <c r="L1329" i="1"/>
  <c r="L452" i="1"/>
  <c r="L10" i="1"/>
  <c r="L74" i="1"/>
  <c r="L138" i="1"/>
  <c r="L202" i="1"/>
  <c r="L266" i="1"/>
  <c r="L330" i="1"/>
  <c r="L394" i="1"/>
  <c r="L124" i="1"/>
  <c r="L844" i="1"/>
  <c r="L59" i="1"/>
  <c r="L139" i="1"/>
  <c r="L219" i="1"/>
  <c r="L307" i="1"/>
  <c r="L395" i="1"/>
  <c r="L467" i="1"/>
  <c r="L132" i="1"/>
  <c r="L508" i="1"/>
  <c r="L828" i="1"/>
  <c r="L13" i="1"/>
  <c r="L85" i="1"/>
  <c r="L149" i="1"/>
  <c r="L213" i="1"/>
  <c r="L277" i="1"/>
  <c r="L341" i="1"/>
  <c r="L405" i="1"/>
  <c r="L469" i="1"/>
  <c r="L84" i="1"/>
  <c r="L556" i="1"/>
  <c r="L22" i="1"/>
  <c r="L102" i="1"/>
  <c r="L190" i="1"/>
  <c r="L278" i="1"/>
  <c r="L358" i="1"/>
  <c r="L446" i="1"/>
  <c r="L510" i="1"/>
  <c r="L574" i="1"/>
  <c r="L638" i="1"/>
  <c r="L702" i="1"/>
  <c r="L766" i="1"/>
  <c r="L830" i="1"/>
  <c r="L252" i="1"/>
  <c r="L716" i="1"/>
  <c r="L47" i="1"/>
  <c r="L111" i="1"/>
  <c r="L175" i="1"/>
  <c r="L239" i="1"/>
  <c r="L303" i="1"/>
  <c r="L367" i="1"/>
  <c r="L431" i="1"/>
  <c r="L495" i="1"/>
  <c r="L559" i="1"/>
  <c r="L623" i="1"/>
  <c r="L687" i="1"/>
  <c r="L751" i="1"/>
  <c r="L815" i="1"/>
  <c r="L879" i="1"/>
  <c r="L943" i="1"/>
  <c r="L1007" i="1"/>
  <c r="L1071" i="1"/>
  <c r="L1135" i="1"/>
  <c r="L1199" i="1"/>
  <c r="L1263" i="1"/>
  <c r="L1327" i="1"/>
  <c r="L364" i="1"/>
  <c r="L852" i="1"/>
  <c r="L64" i="1"/>
  <c r="L128" i="1"/>
  <c r="L192" i="1"/>
  <c r="L256" i="1"/>
  <c r="L320" i="1"/>
  <c r="L384" i="1"/>
  <c r="L448" i="1"/>
  <c r="L512" i="1"/>
  <c r="L576" i="1"/>
  <c r="L640" i="1"/>
  <c r="L704" i="1"/>
  <c r="L768" i="1"/>
  <c r="L832" i="1"/>
  <c r="L896" i="1"/>
  <c r="L960" i="1"/>
  <c r="L1024" i="1"/>
  <c r="L1088" i="1"/>
  <c r="L1152" i="1"/>
  <c r="L1216" i="1"/>
  <c r="L1280" i="1"/>
  <c r="L92" i="1"/>
  <c r="L476" i="1"/>
  <c r="L820" i="1"/>
  <c r="L97" i="1"/>
  <c r="L177" i="1"/>
  <c r="L265" i="1"/>
  <c r="L353" i="1"/>
  <c r="L433" i="1"/>
  <c r="L505" i="1"/>
  <c r="L569" i="1"/>
  <c r="L633" i="1"/>
  <c r="L697" i="1"/>
  <c r="L761" i="1"/>
  <c r="L825" i="1"/>
  <c r="L889" i="1"/>
  <c r="L953" i="1"/>
  <c r="L1017" i="1"/>
  <c r="L1081" i="1"/>
  <c r="L1145" i="1"/>
  <c r="L1209" i="1"/>
  <c r="L1273" i="1"/>
  <c r="L20" i="1"/>
  <c r="L516" i="1"/>
  <c r="L18" i="1"/>
  <c r="L82" i="1"/>
  <c r="L146" i="1"/>
  <c r="L210" i="1"/>
  <c r="L274" i="1"/>
  <c r="L338" i="1"/>
  <c r="L402" i="1"/>
  <c r="L212" i="1"/>
  <c r="L3" i="1"/>
  <c r="L67" i="1"/>
  <c r="L147" i="1"/>
  <c r="L235" i="1"/>
  <c r="L315" i="1"/>
  <c r="L403" i="1"/>
  <c r="L475" i="1"/>
  <c r="L180" i="1"/>
  <c r="L548" i="1"/>
  <c r="L21" i="1"/>
  <c r="L93" i="1"/>
  <c r="L157" i="1"/>
  <c r="L221" i="1"/>
  <c r="L285" i="1"/>
  <c r="L349" i="1"/>
  <c r="L413" i="1"/>
  <c r="L477" i="1"/>
  <c r="L148" i="1"/>
  <c r="L620" i="1"/>
  <c r="L30" i="1"/>
  <c r="L118" i="1"/>
  <c r="L198" i="1"/>
  <c r="L286" i="1"/>
  <c r="L374" i="1"/>
  <c r="L454" i="1"/>
  <c r="L518" i="1"/>
  <c r="L582" i="1"/>
  <c r="L646" i="1"/>
  <c r="L710" i="1"/>
  <c r="L774" i="1"/>
  <c r="L838" i="1"/>
  <c r="L308" i="1"/>
  <c r="L780" i="1"/>
  <c r="L55" i="1"/>
  <c r="L119" i="1"/>
  <c r="L183" i="1"/>
  <c r="L247" i="1"/>
  <c r="L311" i="1"/>
  <c r="L375" i="1"/>
  <c r="L439" i="1"/>
  <c r="L503" i="1"/>
  <c r="L567" i="1"/>
  <c r="L631" i="1"/>
  <c r="L695" i="1"/>
  <c r="L759" i="1"/>
  <c r="L823" i="1"/>
  <c r="L887" i="1"/>
  <c r="L951" i="1"/>
  <c r="L1015" i="1"/>
  <c r="L1079" i="1"/>
  <c r="L1143" i="1"/>
  <c r="L1207" i="1"/>
  <c r="L1271" i="1"/>
  <c r="L4" i="1"/>
  <c r="L428" i="1"/>
  <c r="L8" i="1"/>
  <c r="L72" i="1"/>
  <c r="L136" i="1"/>
  <c r="L200" i="1"/>
  <c r="L264" i="1"/>
  <c r="L328" i="1"/>
  <c r="L392" i="1"/>
  <c r="L456" i="1"/>
  <c r="L520" i="1"/>
  <c r="L584" i="1"/>
  <c r="L648" i="1"/>
  <c r="L712" i="1"/>
  <c r="L776" i="1"/>
  <c r="L840" i="1"/>
  <c r="L904" i="1"/>
  <c r="L968" i="1"/>
  <c r="L1032" i="1"/>
  <c r="L1096" i="1"/>
  <c r="L1160" i="1"/>
  <c r="L1224" i="1"/>
  <c r="L1288" i="1"/>
  <c r="L140" i="1"/>
  <c r="L524" i="1"/>
  <c r="L9" i="1"/>
  <c r="L105" i="1"/>
  <c r="L193" i="1"/>
  <c r="L273" i="1"/>
  <c r="L361" i="1"/>
  <c r="L449" i="1"/>
  <c r="L513" i="1"/>
  <c r="L577" i="1"/>
  <c r="L641" i="1"/>
  <c r="L705" i="1"/>
  <c r="L769" i="1"/>
  <c r="L833" i="1"/>
  <c r="L897" i="1"/>
  <c r="L961" i="1"/>
  <c r="L1025" i="1"/>
  <c r="L1089" i="1"/>
  <c r="L1153" i="1"/>
  <c r="L1217" i="1"/>
  <c r="L1281" i="1"/>
  <c r="L100" i="1"/>
  <c r="L580" i="1"/>
  <c r="L26" i="1"/>
  <c r="L90" i="1"/>
  <c r="L154" i="1"/>
  <c r="L218" i="1"/>
  <c r="L282" i="1"/>
  <c r="L346" i="1"/>
  <c r="L410" i="1"/>
  <c r="L292" i="1"/>
  <c r="L11" i="1"/>
  <c r="L75" i="1"/>
  <c r="L155" i="1"/>
  <c r="L243" i="1"/>
  <c r="L331" i="1"/>
  <c r="L411" i="1"/>
  <c r="L483" i="1"/>
  <c r="L236" i="1"/>
  <c r="L588" i="1"/>
  <c r="L37" i="1"/>
  <c r="L101" i="1"/>
  <c r="L165" i="1"/>
  <c r="L229" i="1"/>
  <c r="L293" i="1"/>
  <c r="L357" i="1"/>
  <c r="L421" i="1"/>
  <c r="L485" i="1"/>
  <c r="L220" i="1"/>
  <c r="L684" i="1"/>
  <c r="L38" i="1"/>
  <c r="L126" i="1"/>
  <c r="L214" i="1"/>
  <c r="L294" i="1"/>
  <c r="L382" i="1"/>
  <c r="L462" i="1"/>
  <c r="L526" i="1"/>
  <c r="L590" i="1"/>
  <c r="L654" i="1"/>
  <c r="L718" i="1"/>
  <c r="L782" i="1"/>
  <c r="L846" i="1"/>
  <c r="L356" i="1"/>
  <c r="L836" i="1"/>
  <c r="L63" i="1"/>
  <c r="L127" i="1"/>
  <c r="L191" i="1"/>
  <c r="L255" i="1"/>
  <c r="L319" i="1"/>
  <c r="L383" i="1"/>
  <c r="L447" i="1"/>
  <c r="L511" i="1"/>
  <c r="L575" i="1"/>
  <c r="L639" i="1"/>
  <c r="L703" i="1"/>
  <c r="L767" i="1"/>
  <c r="L831" i="1"/>
  <c r="L895" i="1"/>
  <c r="L959" i="1"/>
  <c r="L1023" i="1"/>
  <c r="L1087" i="1"/>
  <c r="L1151" i="1"/>
  <c r="L1215" i="1"/>
  <c r="L1279" i="1"/>
  <c r="L60" i="1"/>
  <c r="L484" i="1"/>
  <c r="L16" i="1"/>
  <c r="L80" i="1"/>
  <c r="L144" i="1"/>
  <c r="L208" i="1"/>
  <c r="L272" i="1"/>
  <c r="L336" i="1"/>
  <c r="L400" i="1"/>
  <c r="L464" i="1"/>
  <c r="L528" i="1"/>
  <c r="L592" i="1"/>
  <c r="L656" i="1"/>
  <c r="L720" i="1"/>
  <c r="L784" i="1"/>
  <c r="L848" i="1"/>
  <c r="L912" i="1"/>
  <c r="L976" i="1"/>
  <c r="L1040" i="1"/>
  <c r="L1104" i="1"/>
  <c r="L1168" i="1"/>
  <c r="L1232" i="1"/>
  <c r="L1296" i="1"/>
  <c r="L188" i="1"/>
  <c r="L572" i="1"/>
  <c r="L25" i="1"/>
  <c r="L113" i="1"/>
  <c r="L201" i="1"/>
  <c r="L289" i="1"/>
  <c r="L369" i="1"/>
  <c r="L457" i="1"/>
  <c r="L521" i="1"/>
  <c r="L585" i="1"/>
  <c r="L649" i="1"/>
  <c r="L713" i="1"/>
  <c r="L777" i="1"/>
  <c r="L841" i="1"/>
  <c r="L905" i="1"/>
  <c r="L969" i="1"/>
  <c r="L1033" i="1"/>
  <c r="L1097" i="1"/>
  <c r="L1161" i="1"/>
  <c r="L1225" i="1"/>
  <c r="L1289" i="1"/>
  <c r="L172" i="1"/>
  <c r="L636" i="1"/>
  <c r="L34" i="1"/>
  <c r="L98" i="1"/>
  <c r="L162" i="1"/>
  <c r="L226" i="1"/>
  <c r="L290" i="1"/>
  <c r="L354" i="1"/>
  <c r="L418" i="1"/>
  <c r="L372" i="1"/>
  <c r="L19" i="1"/>
  <c r="L83" i="1"/>
  <c r="L171" i="1"/>
  <c r="L251" i="1"/>
  <c r="L339" i="1"/>
  <c r="L427" i="1"/>
  <c r="L491" i="1"/>
  <c r="L284" i="1"/>
  <c r="L628" i="1"/>
  <c r="L125" i="1"/>
  <c r="L253" i="1"/>
  <c r="L381" i="1"/>
  <c r="L388" i="1"/>
  <c r="L246" i="1"/>
  <c r="L550" i="1"/>
  <c r="L742" i="1"/>
  <c r="L540" i="1"/>
  <c r="L151" i="1"/>
  <c r="L343" i="1"/>
  <c r="L535" i="1"/>
  <c r="L727" i="1"/>
  <c r="L919" i="1"/>
  <c r="L983" i="1"/>
  <c r="L1175" i="1"/>
  <c r="L196" i="1"/>
  <c r="L104" i="1"/>
  <c r="L424" i="1"/>
  <c r="L680" i="1"/>
  <c r="L1000" i="1"/>
  <c r="L1256" i="1"/>
  <c r="L692" i="1"/>
  <c r="L233" i="1"/>
  <c r="L401" i="1"/>
  <c r="L609" i="1"/>
  <c r="L993" i="1"/>
  <c r="L1185" i="1"/>
  <c r="L58" i="1"/>
  <c r="L186" i="1"/>
  <c r="L378" i="1"/>
  <c r="L43" i="1"/>
  <c r="L203" i="1"/>
  <c r="L283" i="1"/>
  <c r="L36" i="1"/>
  <c r="L412" i="1"/>
  <c r="L45" i="1"/>
  <c r="L109" i="1"/>
  <c r="L173" i="1"/>
  <c r="L237" i="1"/>
  <c r="L301" i="1"/>
  <c r="L365" i="1"/>
  <c r="L429" i="1"/>
  <c r="L493" i="1"/>
  <c r="L268" i="1"/>
  <c r="L740" i="1"/>
  <c r="L46" i="1"/>
  <c r="L134" i="1"/>
  <c r="L222" i="1"/>
  <c r="L310" i="1"/>
  <c r="L390" i="1"/>
  <c r="L470" i="1"/>
  <c r="L534" i="1"/>
  <c r="L598" i="1"/>
  <c r="L662" i="1"/>
  <c r="L726" i="1"/>
  <c r="L790" i="1"/>
  <c r="L28" i="1"/>
  <c r="L420" i="1"/>
  <c r="L7" i="1"/>
  <c r="L71" i="1"/>
  <c r="L135" i="1"/>
  <c r="L199" i="1"/>
  <c r="L263" i="1"/>
  <c r="L327" i="1"/>
  <c r="L391" i="1"/>
  <c r="L455" i="1"/>
  <c r="L519" i="1"/>
  <c r="L583" i="1"/>
  <c r="L647" i="1"/>
  <c r="L711" i="1"/>
  <c r="L775" i="1"/>
  <c r="L839" i="1"/>
  <c r="L903" i="1"/>
  <c r="L967" i="1"/>
  <c r="L1031" i="1"/>
  <c r="L1095" i="1"/>
  <c r="L1159" i="1"/>
  <c r="L1223" i="1"/>
  <c r="L1287" i="1"/>
  <c r="L108" i="1"/>
  <c r="L532" i="1"/>
  <c r="L24" i="1"/>
  <c r="L88" i="1"/>
  <c r="L152" i="1"/>
  <c r="L216" i="1"/>
  <c r="L280" i="1"/>
  <c r="L344" i="1"/>
  <c r="L408" i="1"/>
  <c r="L472" i="1"/>
  <c r="L536" i="1"/>
  <c r="L600" i="1"/>
  <c r="L664" i="1"/>
  <c r="L728" i="1"/>
  <c r="L792" i="1"/>
  <c r="L856" i="1"/>
  <c r="L920" i="1"/>
  <c r="L984" i="1"/>
  <c r="L1048" i="1"/>
  <c r="L1112" i="1"/>
  <c r="L1176" i="1"/>
  <c r="L1240" i="1"/>
  <c r="L1304" i="1"/>
  <c r="L244" i="1"/>
  <c r="L612" i="1"/>
  <c r="L33" i="1"/>
  <c r="L129" i="1"/>
  <c r="L209" i="1"/>
  <c r="L297" i="1"/>
  <c r="L385" i="1"/>
  <c r="L465" i="1"/>
  <c r="L529" i="1"/>
  <c r="L593" i="1"/>
  <c r="L657" i="1"/>
  <c r="L721" i="1"/>
  <c r="L785" i="1"/>
  <c r="L849" i="1"/>
  <c r="L913" i="1"/>
  <c r="L977" i="1"/>
  <c r="L1041" i="1"/>
  <c r="L1105" i="1"/>
  <c r="L1169" i="1"/>
  <c r="L1233" i="1"/>
  <c r="L1297" i="1"/>
  <c r="L228" i="1"/>
  <c r="L700" i="1"/>
  <c r="L42" i="1"/>
  <c r="L106" i="1"/>
  <c r="L170" i="1"/>
  <c r="L234" i="1"/>
  <c r="L298" i="1"/>
  <c r="L362" i="1"/>
  <c r="L426" i="1"/>
  <c r="L468" i="1"/>
  <c r="L27" i="1"/>
  <c r="L91" i="1"/>
  <c r="L179" i="1"/>
  <c r="L267" i="1"/>
  <c r="L347" i="1"/>
  <c r="L435" i="1"/>
  <c r="L499" i="1"/>
  <c r="L340" i="1"/>
  <c r="L676" i="1"/>
  <c r="L189" i="1"/>
  <c r="L445" i="1"/>
  <c r="L860" i="1"/>
  <c r="L326" i="1"/>
  <c r="L614" i="1"/>
  <c r="L806" i="1"/>
  <c r="L23" i="1"/>
  <c r="L279" i="1"/>
  <c r="L471" i="1"/>
  <c r="L791" i="1"/>
  <c r="L1111" i="1"/>
  <c r="L1303" i="1"/>
  <c r="L40" i="1"/>
  <c r="L232" i="1"/>
  <c r="L296" i="1"/>
  <c r="L552" i="1"/>
  <c r="L744" i="1"/>
  <c r="L872" i="1"/>
  <c r="L1128" i="1"/>
  <c r="L348" i="1"/>
  <c r="L145" i="1"/>
  <c r="L481" i="1"/>
  <c r="L673" i="1"/>
  <c r="L801" i="1"/>
  <c r="L865" i="1"/>
  <c r="L1057" i="1"/>
  <c r="L1249" i="1"/>
  <c r="L1313" i="1"/>
  <c r="L812" i="1"/>
  <c r="L122" i="1"/>
  <c r="L250" i="1"/>
  <c r="L660" i="1"/>
  <c r="L371" i="1"/>
  <c r="L748" i="1"/>
  <c r="L53" i="1"/>
  <c r="L117" i="1"/>
  <c r="L181" i="1"/>
  <c r="L245" i="1"/>
  <c r="L309" i="1"/>
  <c r="L373" i="1"/>
  <c r="L437" i="1"/>
  <c r="L501" i="1"/>
  <c r="L324" i="1"/>
  <c r="L804" i="1"/>
  <c r="L62" i="1"/>
  <c r="L150" i="1"/>
  <c r="L230" i="1"/>
  <c r="L318" i="1"/>
  <c r="L406" i="1"/>
  <c r="L478" i="1"/>
  <c r="L542" i="1"/>
  <c r="L606" i="1"/>
  <c r="L670" i="1"/>
  <c r="L734" i="1"/>
  <c r="L798" i="1"/>
  <c r="L68" i="1"/>
  <c r="L492" i="1"/>
  <c r="L15" i="1"/>
  <c r="L79" i="1"/>
  <c r="L143" i="1"/>
  <c r="L207" i="1"/>
  <c r="L271" i="1"/>
  <c r="L335" i="1"/>
  <c r="L399" i="1"/>
  <c r="L463" i="1"/>
  <c r="L527" i="1"/>
  <c r="L591" i="1"/>
  <c r="L655" i="1"/>
  <c r="L719" i="1"/>
  <c r="L783" i="1"/>
  <c r="L847" i="1"/>
  <c r="L911" i="1"/>
  <c r="L975" i="1"/>
  <c r="L1039" i="1"/>
  <c r="L1103" i="1"/>
  <c r="L1167" i="1"/>
  <c r="L1231" i="1"/>
  <c r="L1295" i="1"/>
  <c r="L156" i="1"/>
  <c r="L604" i="1"/>
  <c r="L32" i="1"/>
  <c r="L96" i="1"/>
  <c r="L160" i="1"/>
  <c r="L224" i="1"/>
  <c r="L288" i="1"/>
  <c r="L352" i="1"/>
  <c r="L416" i="1"/>
  <c r="L480" i="1"/>
  <c r="L544" i="1"/>
  <c r="L608" i="1"/>
  <c r="L672" i="1"/>
  <c r="L736" i="1"/>
  <c r="L800" i="1"/>
  <c r="L864" i="1"/>
  <c r="L928" i="1"/>
  <c r="L992" i="1"/>
  <c r="L1056" i="1"/>
  <c r="L1120" i="1"/>
  <c r="L1184" i="1"/>
  <c r="L1248" i="1"/>
  <c r="L1312" i="1"/>
  <c r="L300" i="1"/>
  <c r="L644" i="1"/>
  <c r="L49" i="1"/>
  <c r="L137" i="1"/>
  <c r="L225" i="1"/>
  <c r="L305" i="1"/>
  <c r="L393" i="1"/>
  <c r="L473" i="1"/>
  <c r="L537" i="1"/>
  <c r="L601" i="1"/>
  <c r="L665" i="1"/>
  <c r="L729" i="1"/>
  <c r="L793" i="1"/>
  <c r="L857" i="1"/>
  <c r="L921" i="1"/>
  <c r="L985" i="1"/>
  <c r="L1049" i="1"/>
  <c r="L1113" i="1"/>
  <c r="L1177" i="1"/>
  <c r="L1241" i="1"/>
  <c r="L1305" i="1"/>
  <c r="L276" i="1"/>
  <c r="L764" i="1"/>
  <c r="L50" i="1"/>
  <c r="L114" i="1"/>
  <c r="L178" i="1"/>
  <c r="L242" i="1"/>
  <c r="L306" i="1"/>
  <c r="L370" i="1"/>
  <c r="L434" i="1"/>
  <c r="L564" i="1"/>
  <c r="L35" i="1"/>
  <c r="L107" i="1"/>
  <c r="L187" i="1"/>
  <c r="L275" i="1"/>
  <c r="L363" i="1"/>
  <c r="L443" i="1"/>
  <c r="L507" i="1"/>
  <c r="L380" i="1"/>
  <c r="L708" i="1"/>
  <c r="AL426" i="1" l="1"/>
  <c r="AL738" i="1"/>
  <c r="AL34" i="1"/>
  <c r="AL11" i="1"/>
  <c r="AL265" i="1"/>
  <c r="AL1241" i="1"/>
  <c r="AL106" i="1"/>
  <c r="AL412" i="1"/>
  <c r="AL521" i="1"/>
  <c r="AL667" i="1"/>
  <c r="AL341" i="1"/>
  <c r="AL181" i="1"/>
  <c r="AL977" i="1"/>
  <c r="AL370" i="1"/>
  <c r="AL910" i="1"/>
  <c r="AL123" i="1"/>
  <c r="AL731" i="1"/>
  <c r="AL206" i="1"/>
  <c r="AL137" i="1"/>
  <c r="AL605" i="1"/>
  <c r="AL1129" i="1"/>
  <c r="AL121" i="1"/>
  <c r="AL547" i="1"/>
  <c r="AL837" i="1"/>
  <c r="AL532" i="1"/>
  <c r="AL604" i="1"/>
  <c r="AL868" i="1"/>
  <c r="AL389" i="1"/>
  <c r="AL609" i="1"/>
  <c r="AL395" i="1"/>
  <c r="AL899" i="1"/>
  <c r="AL28" i="1"/>
  <c r="AL637" i="1"/>
  <c r="AL681" i="1"/>
  <c r="AL1246" i="1"/>
  <c r="AL116" i="1"/>
  <c r="AL881" i="1"/>
  <c r="AL771" i="1"/>
  <c r="AL853" i="1"/>
  <c r="AL419" i="1"/>
  <c r="AL958" i="1"/>
  <c r="AL403" i="1"/>
  <c r="AL587" i="1"/>
  <c r="AL866" i="1"/>
  <c r="AL530" i="1"/>
  <c r="AL533" i="1"/>
  <c r="AL491" i="1"/>
  <c r="AL717" i="1"/>
  <c r="AL82" i="1"/>
  <c r="AL443" i="1"/>
  <c r="AL865" i="1"/>
  <c r="AL870" i="1"/>
  <c r="AL586" i="1"/>
  <c r="AL357" i="1"/>
  <c r="AL706" i="1"/>
  <c r="AL573" i="1"/>
  <c r="AL1017" i="1"/>
  <c r="AL236" i="1"/>
  <c r="AL524" i="1"/>
  <c r="AL21" i="1"/>
  <c r="AL716" i="1"/>
  <c r="AL724" i="1"/>
  <c r="AL500" i="1"/>
  <c r="AL299" i="1"/>
  <c r="AL789" i="1"/>
  <c r="AL812" i="1"/>
  <c r="AL793" i="1"/>
  <c r="AL355" i="1"/>
  <c r="AL84" i="1"/>
  <c r="AL1001" i="1"/>
  <c r="AL45" i="1"/>
  <c r="AL619" i="1"/>
  <c r="AL577" i="1"/>
  <c r="AL308" i="1"/>
  <c r="AL585" i="1"/>
  <c r="AL277" i="1"/>
  <c r="AL322" i="1"/>
  <c r="AL1046" i="1"/>
  <c r="AL219" i="1"/>
  <c r="AL797" i="1"/>
  <c r="AL1158" i="1"/>
  <c r="AL660" i="1"/>
  <c r="AL653" i="1"/>
  <c r="AL225" i="1"/>
  <c r="AL68" i="1"/>
  <c r="AL197" i="1"/>
  <c r="AL886" i="1"/>
  <c r="AL835" i="1"/>
  <c r="AL722" i="1"/>
  <c r="AL468" i="1"/>
  <c r="AL700" i="1"/>
  <c r="AL529" i="1"/>
  <c r="AL20" i="1"/>
  <c r="AL788" i="1"/>
  <c r="AL292" i="1"/>
  <c r="AL737" i="1"/>
  <c r="AL145" i="1"/>
  <c r="AL1305" i="1"/>
  <c r="AL748" i="1"/>
  <c r="AL765" i="1"/>
  <c r="AL891" i="1"/>
  <c r="AL372" i="1"/>
  <c r="AL636" i="1"/>
  <c r="AL37" i="1"/>
  <c r="AL402" i="1"/>
  <c r="AL1126" i="1"/>
  <c r="AL883" i="1"/>
  <c r="AL217" i="1"/>
  <c r="AL833" i="1"/>
  <c r="AL193" i="1"/>
  <c r="AL553" i="1"/>
  <c r="AL1238" i="1"/>
  <c r="AL882" i="1"/>
  <c r="AL132" i="1"/>
  <c r="AL1009" i="1"/>
  <c r="AL5" i="1"/>
  <c r="AL430" i="1"/>
  <c r="AL908" i="1"/>
  <c r="AL490" i="1"/>
  <c r="AL1065" i="1"/>
  <c r="AL964" i="1"/>
  <c r="AL659" i="1"/>
  <c r="AL610" i="1"/>
  <c r="AL203" i="1"/>
  <c r="AL929" i="1"/>
  <c r="AL401" i="1"/>
  <c r="AL196" i="1"/>
  <c r="AL1278" i="1"/>
  <c r="AL1035" i="1"/>
  <c r="AL187" i="1"/>
  <c r="AL178" i="1"/>
  <c r="AL1003" i="1"/>
  <c r="AL827" i="1"/>
  <c r="AL17" i="1"/>
  <c r="AL162" i="1"/>
  <c r="AL713" i="1"/>
  <c r="AL60" i="1"/>
  <c r="AL563" i="1"/>
  <c r="AL243" i="1"/>
  <c r="AL705" i="1"/>
  <c r="AL548" i="1"/>
  <c r="AL505" i="1"/>
  <c r="AL469" i="1"/>
  <c r="AL802" i="1"/>
  <c r="AL918" i="1"/>
  <c r="AL675" i="1"/>
  <c r="AL409" i="1"/>
  <c r="AL436" i="1"/>
  <c r="AL58" i="1"/>
  <c r="M1258" i="1"/>
  <c r="AL78" i="1"/>
  <c r="AL658" i="1"/>
  <c r="AL362" i="1"/>
  <c r="AL913" i="1"/>
  <c r="AL108" i="1"/>
  <c r="AL546" i="1"/>
  <c r="AL35" i="1"/>
  <c r="AL300" i="1"/>
  <c r="AL701" i="1"/>
  <c r="AL571" i="1"/>
  <c r="AL628" i="1"/>
  <c r="AL98" i="1"/>
  <c r="AL684" i="1"/>
  <c r="AL174" i="1"/>
  <c r="AL366" i="1"/>
  <c r="AL1062" i="1"/>
  <c r="AL834" i="1"/>
  <c r="AL75" i="1"/>
  <c r="AL641" i="1"/>
  <c r="AL140" i="1"/>
  <c r="AL669" i="1"/>
  <c r="AL756" i="1"/>
  <c r="AL683" i="1"/>
  <c r="AL475" i="1"/>
  <c r="AL516" i="1"/>
  <c r="AL353" i="1"/>
  <c r="AL405" i="1"/>
  <c r="AL539" i="1"/>
  <c r="AL57" i="1"/>
  <c r="AL65" i="1"/>
  <c r="AL764" i="1"/>
  <c r="AL324" i="1"/>
  <c r="AL854" i="1"/>
  <c r="AL611" i="1"/>
  <c r="AL945" i="1"/>
  <c r="AL52" i="1"/>
  <c r="AL1057" i="1"/>
  <c r="AL1334" i="1"/>
  <c r="AL773" i="1"/>
  <c r="AL707" i="1"/>
  <c r="AL466" i="1"/>
  <c r="AL42" i="1"/>
  <c r="AL237" i="1"/>
  <c r="AL43" i="1"/>
  <c r="AL242" i="1"/>
  <c r="AL492" i="1"/>
  <c r="AL163" i="1"/>
  <c r="AL427" i="1"/>
  <c r="AL457" i="1"/>
  <c r="AL293" i="1"/>
  <c r="AL923" i="1"/>
  <c r="AL732" i="1"/>
  <c r="AL589" i="1"/>
  <c r="AL270" i="1"/>
  <c r="AL450" i="1"/>
  <c r="AL513" i="1"/>
  <c r="AL620" i="1"/>
  <c r="AL810" i="1"/>
  <c r="AL937" i="1"/>
  <c r="AL1182" i="1"/>
  <c r="AL315" i="1"/>
  <c r="AL1145" i="1"/>
  <c r="AL852" i="1"/>
  <c r="AL211" i="1"/>
  <c r="AL451" i="1"/>
  <c r="AL363" i="1"/>
  <c r="AL1049" i="1"/>
  <c r="AL741" i="1"/>
  <c r="AL323" i="1"/>
  <c r="AL307" i="1"/>
  <c r="AL689" i="1"/>
  <c r="AL652" i="1"/>
  <c r="AL674" i="1"/>
  <c r="AL673" i="1"/>
  <c r="AL1270" i="1"/>
  <c r="AL709" i="1"/>
  <c r="AL643" i="1"/>
  <c r="AL435" i="1"/>
  <c r="AL465" i="1"/>
  <c r="AL900" i="1"/>
  <c r="AL114" i="1"/>
  <c r="AL804" i="1"/>
  <c r="AL876" i="1"/>
  <c r="AL650" i="1"/>
  <c r="AL19" i="1"/>
  <c r="AL1161" i="1"/>
  <c r="AL369" i="1"/>
  <c r="AL229" i="1"/>
  <c r="AL460" i="1"/>
  <c r="AL133" i="1"/>
  <c r="AL947" i="1"/>
  <c r="AL346" i="1"/>
  <c r="AL449" i="1"/>
  <c r="AL148" i="1"/>
  <c r="AL682" i="1"/>
  <c r="AL745" i="1"/>
  <c r="AL1054" i="1"/>
  <c r="AL99" i="1"/>
  <c r="AL235" i="1"/>
  <c r="AL364" i="1"/>
  <c r="AL213" i="1"/>
  <c r="AL110" i="1"/>
  <c r="AL601" i="1"/>
  <c r="AL1174" i="1"/>
  <c r="AL613" i="1"/>
  <c r="AL625" i="1"/>
  <c r="AL204" i="1"/>
  <c r="AL36" i="1"/>
  <c r="AL481" i="1"/>
  <c r="AL1142" i="1"/>
  <c r="AL1268" i="1"/>
  <c r="AL515" i="1"/>
  <c r="AL91" i="1"/>
  <c r="AL1169" i="1"/>
  <c r="AL209" i="1"/>
  <c r="AL1043" i="1"/>
  <c r="AL437" i="1"/>
  <c r="AL1019" i="1"/>
  <c r="AL1033" i="1"/>
  <c r="AL289" i="1"/>
  <c r="AL165" i="1"/>
  <c r="AL459" i="1"/>
  <c r="AL2" i="1"/>
  <c r="AL779" i="1"/>
  <c r="AL588" i="1"/>
  <c r="AL100" i="1"/>
  <c r="AL273" i="1"/>
  <c r="AL813" i="1"/>
  <c r="AL890" i="1"/>
  <c r="AL3" i="1"/>
  <c r="AL953" i="1"/>
  <c r="AL149" i="1"/>
  <c r="AL617" i="1"/>
  <c r="AL107" i="1"/>
  <c r="AL1110" i="1"/>
  <c r="AL549" i="1"/>
  <c r="AL754" i="1"/>
  <c r="AL266" i="1"/>
  <c r="AL561" i="1"/>
  <c r="AL115" i="1"/>
  <c r="AL1078" i="1"/>
  <c r="AL1140" i="1"/>
  <c r="AL195" i="1"/>
  <c r="AL27" i="1"/>
  <c r="AL1105" i="1"/>
  <c r="AL129" i="1"/>
  <c r="AL966" i="1"/>
  <c r="AL723" i="1"/>
  <c r="AL1177" i="1"/>
  <c r="AL309" i="1"/>
  <c r="AL955" i="1"/>
  <c r="AL522" i="1"/>
  <c r="AL418" i="1"/>
  <c r="AL969" i="1"/>
  <c r="AL113" i="1"/>
  <c r="AL1150" i="1"/>
  <c r="AL227" i="1"/>
  <c r="AL819" i="1"/>
  <c r="AL897" i="1"/>
  <c r="AL974" i="1"/>
  <c r="AL796" i="1"/>
  <c r="AL404" i="1"/>
  <c r="AL685" i="1"/>
  <c r="AL762" i="1"/>
  <c r="AL761" i="1"/>
  <c r="AL556" i="1"/>
  <c r="AL73" i="1"/>
  <c r="AL122" i="1"/>
  <c r="AL525" i="1"/>
  <c r="AL434" i="1"/>
  <c r="AL644" i="1"/>
  <c r="AL916" i="1"/>
  <c r="AL562" i="1"/>
  <c r="AL202" i="1"/>
  <c r="AL337" i="1"/>
  <c r="AL12" i="1"/>
  <c r="AL442" i="1"/>
  <c r="AL348" i="1"/>
  <c r="AL1014" i="1"/>
  <c r="AL884" i="1"/>
  <c r="AL786" i="1"/>
  <c r="AL1041" i="1"/>
  <c r="AL612" i="1"/>
  <c r="AL142" i="1"/>
  <c r="AL531" i="1"/>
  <c r="AL545" i="1"/>
  <c r="AL893" i="1"/>
  <c r="AL458" i="1"/>
  <c r="AL354" i="1"/>
  <c r="AL841" i="1"/>
  <c r="AL25" i="1"/>
  <c r="AL1038" i="1"/>
  <c r="AL1086" i="1"/>
  <c r="AL1190" i="1"/>
  <c r="AL627" i="1"/>
  <c r="AL483" i="1"/>
  <c r="AL105" i="1"/>
  <c r="AL379" i="1"/>
  <c r="AL621" i="1"/>
  <c r="AL185" i="1"/>
  <c r="AL274" i="1"/>
  <c r="AL633" i="1"/>
  <c r="AL987" i="1"/>
  <c r="AL261" i="1"/>
  <c r="AL993" i="1"/>
  <c r="AL956" i="1"/>
  <c r="AL306" i="1"/>
  <c r="AL156" i="1"/>
  <c r="AL982" i="1"/>
  <c r="AL867" i="1"/>
  <c r="AL498" i="1"/>
  <c r="AL10" i="1"/>
  <c r="AL772" i="1"/>
  <c r="AL141" i="1"/>
  <c r="AL250" i="1"/>
  <c r="Z989" i="1"/>
  <c r="Z1198" i="1"/>
  <c r="AL1198" i="1" s="1"/>
  <c r="Z1261" i="1"/>
  <c r="Z941" i="1"/>
  <c r="Z1077" i="1"/>
  <c r="Z1139" i="1"/>
  <c r="Z930" i="1"/>
  <c r="Z1200" i="1"/>
  <c r="Z688" i="1"/>
  <c r="Z176" i="1"/>
  <c r="Z991" i="1"/>
  <c r="Z479" i="1"/>
  <c r="Z814" i="1"/>
  <c r="Z254" i="1"/>
  <c r="Z1013" i="1"/>
  <c r="Z1179" i="1"/>
  <c r="Z970" i="1"/>
  <c r="Z13" i="1"/>
  <c r="Z1128" i="1"/>
  <c r="Z616" i="1"/>
  <c r="Z104" i="1"/>
  <c r="Z919" i="1"/>
  <c r="Z407" i="1"/>
  <c r="Z742" i="1"/>
  <c r="Z158" i="1"/>
  <c r="AL158" i="1" s="1"/>
  <c r="Z125" i="1"/>
  <c r="Z480" i="1"/>
  <c r="Z911" i="1"/>
  <c r="Z79" i="1"/>
  <c r="Z1269" i="1"/>
  <c r="Z184" i="1"/>
  <c r="Z502" i="1"/>
  <c r="Z1281" i="1"/>
  <c r="Z544" i="1"/>
  <c r="AL544" i="1" s="1"/>
  <c r="Z655" i="1"/>
  <c r="Z62" i="1"/>
  <c r="Z1172" i="1"/>
  <c r="Z1242" i="1"/>
  <c r="Z730" i="1"/>
  <c r="Z984" i="1"/>
  <c r="Z472" i="1"/>
  <c r="AL472" i="1" s="1"/>
  <c r="Z1287" i="1"/>
  <c r="AL1287" i="1" s="1"/>
  <c r="Z775" i="1"/>
  <c r="Z263" i="1"/>
  <c r="Z598" i="1"/>
  <c r="Z828" i="1"/>
  <c r="Z566" i="1"/>
  <c r="Z1171" i="1"/>
  <c r="Z1329" i="1"/>
  <c r="Z1296" i="1"/>
  <c r="Z784" i="1"/>
  <c r="Z272" i="1"/>
  <c r="Z1087" i="1"/>
  <c r="Z575" i="1"/>
  <c r="Z63" i="1"/>
  <c r="Z382" i="1"/>
  <c r="Z1044" i="1"/>
  <c r="Z248" i="1"/>
  <c r="Z694" i="1"/>
  <c r="Z1321" i="1"/>
  <c r="Z1224" i="1"/>
  <c r="Z712" i="1"/>
  <c r="Z200" i="1"/>
  <c r="Z1015" i="1"/>
  <c r="Z503" i="1"/>
  <c r="Z838" i="1"/>
  <c r="Z286" i="1"/>
  <c r="Z221" i="1"/>
  <c r="AL221" i="1" s="1"/>
  <c r="Z630" i="1"/>
  <c r="Z996" i="1"/>
  <c r="Z1123" i="1"/>
  <c r="Z978" i="1"/>
  <c r="Z1216" i="1"/>
  <c r="Z704" i="1"/>
  <c r="AL704" i="1" s="1"/>
  <c r="Z192" i="1"/>
  <c r="Z1007" i="1"/>
  <c r="Z495" i="1"/>
  <c r="Z830" i="1"/>
  <c r="Z278" i="1"/>
  <c r="Z1255" i="1"/>
  <c r="Z909" i="1"/>
  <c r="Z1101" i="1"/>
  <c r="Z1082" i="1"/>
  <c r="Z1210" i="1"/>
  <c r="Z1214" i="1"/>
  <c r="Z1324" i="1"/>
  <c r="Z690" i="1"/>
  <c r="R1211" i="1"/>
  <c r="Z1211" i="1"/>
  <c r="R1253" i="1"/>
  <c r="Z1253" i="1"/>
  <c r="R1228" i="1"/>
  <c r="Z1228" i="1"/>
  <c r="AL1228" i="1" s="1"/>
  <c r="R1093" i="1"/>
  <c r="Z1093" i="1"/>
  <c r="R1018" i="1"/>
  <c r="Z1018" i="1"/>
  <c r="Z878" i="1"/>
  <c r="Z1331" i="1"/>
  <c r="Z368" i="1"/>
  <c r="Z494" i="1"/>
  <c r="Z1320" i="1"/>
  <c r="Z1231" i="1"/>
  <c r="Z255" i="1"/>
  <c r="Z1237" i="1"/>
  <c r="Z927" i="1"/>
  <c r="Z166" i="1"/>
  <c r="Z906" i="1"/>
  <c r="Z40" i="1"/>
  <c r="Z70" i="1"/>
  <c r="Z15" i="1"/>
  <c r="Z262" i="1"/>
  <c r="Z463" i="1"/>
  <c r="Z666" i="1"/>
  <c r="Z408" i="1"/>
  <c r="Z534" i="1"/>
  <c r="Z1060" i="1"/>
  <c r="Z720" i="1"/>
  <c r="Z846" i="1"/>
  <c r="Z56" i="1"/>
  <c r="Z1160" i="1"/>
  <c r="Z439" i="1"/>
  <c r="Z128" i="1"/>
  <c r="Z1061" i="1"/>
  <c r="Z946" i="1"/>
  <c r="Z1074" i="1"/>
  <c r="Z1276" i="1"/>
  <c r="Z1283" i="1"/>
  <c r="Z1202" i="1"/>
  <c r="R1099" i="1"/>
  <c r="Z1099" i="1"/>
  <c r="R1157" i="1"/>
  <c r="Z1157" i="1"/>
  <c r="R1293" i="1"/>
  <c r="Z1293" i="1"/>
  <c r="AL1293" i="1" s="1"/>
  <c r="R1004" i="1"/>
  <c r="Z1004" i="1"/>
  <c r="R1258" i="1"/>
  <c r="Z1258" i="1"/>
  <c r="M1164" i="1"/>
  <c r="Z1164" i="1"/>
  <c r="Z1181" i="1"/>
  <c r="Z1188" i="1"/>
  <c r="Z880" i="1"/>
  <c r="Z453" i="1"/>
  <c r="Z1111" i="1"/>
  <c r="Z967" i="1"/>
  <c r="Z54" i="1"/>
  <c r="Z1284" i="1"/>
  <c r="Z1070" i="1"/>
  <c r="Z1197" i="1"/>
  <c r="Z749" i="1"/>
  <c r="Z757" i="1"/>
  <c r="Z1314" i="1"/>
  <c r="Z1233" i="1"/>
  <c r="Z1072" i="1"/>
  <c r="Z560" i="1"/>
  <c r="Z48" i="1"/>
  <c r="Z863" i="1"/>
  <c r="Z351" i="1"/>
  <c r="Z686" i="1"/>
  <c r="Z86" i="1"/>
  <c r="Z821" i="1"/>
  <c r="Z1051" i="1"/>
  <c r="Z1289" i="1"/>
  <c r="Z1000" i="1"/>
  <c r="Z488" i="1"/>
  <c r="Z1303" i="1"/>
  <c r="Z791" i="1"/>
  <c r="Z279" i="1"/>
  <c r="Z614" i="1"/>
  <c r="Z509" i="1"/>
  <c r="Z1120" i="1"/>
  <c r="Z288" i="1"/>
  <c r="Z719" i="1"/>
  <c r="Z734" i="1"/>
  <c r="Z629" i="1"/>
  <c r="Z999" i="1"/>
  <c r="Z14" i="1"/>
  <c r="Z160" i="1"/>
  <c r="Z335" i="1"/>
  <c r="Z365" i="1"/>
  <c r="Z1323" i="1"/>
  <c r="Z1114" i="1"/>
  <c r="Z602" i="1"/>
  <c r="Z856" i="1"/>
  <c r="Z344" i="1"/>
  <c r="Z1159" i="1"/>
  <c r="Z647" i="1"/>
  <c r="AL647" i="1" s="1"/>
  <c r="Z135" i="1"/>
  <c r="Z470" i="1"/>
  <c r="Z1208" i="1"/>
  <c r="Z269" i="1"/>
  <c r="Z1282" i="1"/>
  <c r="Z1201" i="1"/>
  <c r="Z1168" i="1"/>
  <c r="Z656" i="1"/>
  <c r="Z144" i="1"/>
  <c r="Z959" i="1"/>
  <c r="Z447" i="1"/>
  <c r="Z782" i="1"/>
  <c r="Z214" i="1"/>
  <c r="Z508" i="1"/>
  <c r="Z1063" i="1"/>
  <c r="Z182" i="1"/>
  <c r="Z1193" i="1"/>
  <c r="Z1096" i="1"/>
  <c r="Z584" i="1"/>
  <c r="Z72" i="1"/>
  <c r="Z887" i="1"/>
  <c r="Z375" i="1"/>
  <c r="Z710" i="1"/>
  <c r="Z118" i="1"/>
  <c r="AL118" i="1" s="1"/>
  <c r="Z93" i="1"/>
  <c r="Z565" i="1"/>
  <c r="Z580" i="1"/>
  <c r="Z467" i="1"/>
  <c r="Z90" i="1"/>
  <c r="Z1088" i="1"/>
  <c r="Z576" i="1"/>
  <c r="Z64" i="1"/>
  <c r="Z879" i="1"/>
  <c r="Z367" i="1"/>
  <c r="Z702" i="1"/>
  <c r="Z102" i="1"/>
  <c r="Z167" i="1"/>
  <c r="Z1330" i="1"/>
  <c r="Z981" i="1"/>
  <c r="Z1084" i="1"/>
  <c r="Z1291" i="1"/>
  <c r="Z938" i="1"/>
  <c r="Z1333" i="1"/>
  <c r="Z1196" i="1"/>
  <c r="Z1147" i="1"/>
  <c r="AL1147" i="1" s="1"/>
  <c r="Z1066" i="1"/>
  <c r="R1266" i="1"/>
  <c r="Z1266" i="1"/>
  <c r="R1165" i="1"/>
  <c r="Z1165" i="1"/>
  <c r="R957" i="1"/>
  <c r="Z957" i="1"/>
  <c r="R901" i="1"/>
  <c r="Z901" i="1"/>
  <c r="R1227" i="1"/>
  <c r="Z1227" i="1"/>
  <c r="R746" i="1"/>
  <c r="Z746" i="1"/>
  <c r="R1091" i="1"/>
  <c r="Z1091" i="1"/>
  <c r="R1260" i="1"/>
  <c r="Z1260" i="1"/>
  <c r="Z1092" i="1"/>
  <c r="Z671" i="1"/>
  <c r="Z721" i="1"/>
  <c r="Z296" i="1"/>
  <c r="Z414" i="1"/>
  <c r="Z423" i="1"/>
  <c r="Z590" i="1"/>
  <c r="Z1134" i="1"/>
  <c r="Z877" i="1"/>
  <c r="Z1075" i="1"/>
  <c r="Z1136" i="1"/>
  <c r="Z112" i="1"/>
  <c r="Z415" i="1"/>
  <c r="Z552" i="1"/>
  <c r="Z343" i="1"/>
  <c r="Z1248" i="1"/>
  <c r="Z847" i="1"/>
  <c r="Z1180" i="1"/>
  <c r="Z352" i="1"/>
  <c r="Z822" i="1"/>
  <c r="Z1178" i="1"/>
  <c r="Z1223" i="1"/>
  <c r="Z711" i="1"/>
  <c r="Z124" i="1"/>
  <c r="Z1107" i="1"/>
  <c r="Z1232" i="1"/>
  <c r="Z208" i="1"/>
  <c r="Z511" i="1"/>
  <c r="Z1257" i="1"/>
  <c r="Z648" i="1"/>
  <c r="Z951" i="1"/>
  <c r="Z198" i="1"/>
  <c r="Z157" i="1"/>
  <c r="Z1059" i="1"/>
  <c r="AL1059" i="1" s="1"/>
  <c r="Z1152" i="1"/>
  <c r="Z943" i="1"/>
  <c r="Z766" i="1"/>
  <c r="Z807" i="1"/>
  <c r="Z1220" i="1"/>
  <c r="Z1316" i="1"/>
  <c r="Z1250" i="1"/>
  <c r="Z496" i="1"/>
  <c r="Z799" i="1"/>
  <c r="Z622" i="1"/>
  <c r="Z301" i="1"/>
  <c r="Z1225" i="1"/>
  <c r="Z936" i="1"/>
  <c r="Z1239" i="1"/>
  <c r="Z215" i="1"/>
  <c r="Z1056" i="1"/>
  <c r="Z591" i="1"/>
  <c r="Z1272" i="1"/>
  <c r="Z949" i="1"/>
  <c r="Z1312" i="1"/>
  <c r="Z143" i="1"/>
  <c r="Z1259" i="1"/>
  <c r="Z538" i="1"/>
  <c r="Z1304" i="1"/>
  <c r="Z792" i="1"/>
  <c r="Z1095" i="1"/>
  <c r="Z583" i="1"/>
  <c r="Z71" i="1"/>
  <c r="Z390" i="1"/>
  <c r="Z696" i="1"/>
  <c r="Z1300" i="1"/>
  <c r="Z1028" i="1"/>
  <c r="Z1218" i="1"/>
  <c r="Z1104" i="1"/>
  <c r="Z80" i="1"/>
  <c r="Z895" i="1"/>
  <c r="Z718" i="1"/>
  <c r="Z1144" i="1"/>
  <c r="Z173" i="1"/>
  <c r="Z1032" i="1"/>
  <c r="Z8" i="1"/>
  <c r="Z311" i="1"/>
  <c r="Z646" i="1"/>
  <c r="Z760" i="1"/>
  <c r="Z429" i="1"/>
  <c r="Z1298" i="1"/>
  <c r="Z1024" i="1"/>
  <c r="Z1327" i="1"/>
  <c r="Z303" i="1"/>
  <c r="Z22" i="1"/>
  <c r="Z350" i="1"/>
  <c r="Z1155" i="1"/>
  <c r="Z345" i="1"/>
  <c r="Z1037" i="1"/>
  <c r="Z1148" i="1"/>
  <c r="Z826" i="1"/>
  <c r="Z506" i="1"/>
  <c r="R1085" i="1"/>
  <c r="Z1085" i="1"/>
  <c r="M1002" i="1"/>
  <c r="Z1002" i="1"/>
  <c r="M1138" i="1"/>
  <c r="Z1138" i="1"/>
  <c r="R579" i="1"/>
  <c r="Z579" i="1"/>
  <c r="M1130" i="1"/>
  <c r="Z1130" i="1"/>
  <c r="R963" i="1"/>
  <c r="Z963" i="1"/>
  <c r="M1010" i="1"/>
  <c r="Z1010" i="1"/>
  <c r="Z159" i="1"/>
  <c r="Z1279" i="1"/>
  <c r="Z925" i="1"/>
  <c r="Z1297" i="1"/>
  <c r="Z624" i="1"/>
  <c r="Z750" i="1"/>
  <c r="Z1115" i="1"/>
  <c r="Z1064" i="1"/>
  <c r="Z855" i="1"/>
  <c r="Z678" i="1"/>
  <c r="Z416" i="1"/>
  <c r="Z1319" i="1"/>
  <c r="Z1217" i="1"/>
  <c r="Z920" i="1"/>
  <c r="Z199" i="1"/>
  <c r="Z461" i="1"/>
  <c r="Z1265" i="1"/>
  <c r="Z1023" i="1"/>
  <c r="Z294" i="1"/>
  <c r="Z438" i="1"/>
  <c r="Z136" i="1"/>
  <c r="Z774" i="1"/>
  <c r="Z94" i="1"/>
  <c r="Z914" i="1"/>
  <c r="Z640" i="1"/>
  <c r="Z431" i="1"/>
  <c r="Z190" i="1"/>
  <c r="Z1132" i="1"/>
  <c r="Z1309" i="1"/>
  <c r="Z1006" i="1"/>
  <c r="Z1173" i="1"/>
  <c r="Z397" i="1"/>
  <c r="Z1008" i="1"/>
  <c r="Z1311" i="1"/>
  <c r="Z287" i="1"/>
  <c r="AL287" i="1" s="1"/>
  <c r="Z6" i="1"/>
  <c r="Z1290" i="1"/>
  <c r="Z424" i="1"/>
  <c r="Z727" i="1"/>
  <c r="Z550" i="1"/>
  <c r="Z445" i="1"/>
  <c r="Z224" i="1"/>
  <c r="Z670" i="1"/>
  <c r="Z871" i="1"/>
  <c r="Z1124" i="1"/>
  <c r="Z32" i="1"/>
  <c r="Z109" i="1"/>
  <c r="AL109" i="1" s="1"/>
  <c r="Z1050" i="1"/>
  <c r="Z280" i="1"/>
  <c r="Z61" i="1"/>
  <c r="Z592" i="1"/>
  <c r="Z383" i="1"/>
  <c r="Z126" i="1"/>
  <c r="Z935" i="1"/>
  <c r="Z769" i="1"/>
  <c r="Z520" i="1"/>
  <c r="Z823" i="1"/>
  <c r="Z30" i="1"/>
  <c r="Z260" i="1"/>
  <c r="Z1313" i="1"/>
  <c r="Z512" i="1"/>
  <c r="Z815" i="1"/>
  <c r="Z638" i="1"/>
  <c r="Z1194" i="1"/>
  <c r="Z1317" i="1"/>
  <c r="Z1036" i="1"/>
  <c r="Z1245" i="1"/>
  <c r="Z1156" i="1"/>
  <c r="Z942" i="1"/>
  <c r="Z1133" i="1"/>
  <c r="Z1252" i="1"/>
  <c r="Z1076" i="1"/>
  <c r="Z1186" i="1"/>
  <c r="Z944" i="1"/>
  <c r="Z432" i="1"/>
  <c r="Z1247" i="1"/>
  <c r="Z735" i="1"/>
  <c r="Z223" i="1"/>
  <c r="Z558" i="1"/>
  <c r="Z517" i="1"/>
  <c r="Z1012" i="1"/>
  <c r="Z1226" i="1"/>
  <c r="Z817" i="1"/>
  <c r="Z872" i="1"/>
  <c r="Z360" i="1"/>
  <c r="Z1175" i="1"/>
  <c r="Z663" i="1"/>
  <c r="Z151" i="1"/>
  <c r="Z486" i="1"/>
  <c r="Z381" i="1"/>
  <c r="Z928" i="1"/>
  <c r="Z96" i="1"/>
  <c r="Z527" i="1"/>
  <c r="Z542" i="1"/>
  <c r="Z1080" i="1"/>
  <c r="Z679" i="1"/>
  <c r="Z1184" i="1"/>
  <c r="Z1295" i="1"/>
  <c r="Z798" i="1"/>
  <c r="Z1308" i="1"/>
  <c r="Z1195" i="1"/>
  <c r="Z986" i="1"/>
  <c r="Z474" i="1"/>
  <c r="Z1240" i="1"/>
  <c r="Z728" i="1"/>
  <c r="Z216" i="1"/>
  <c r="Z1031" i="1"/>
  <c r="Z519" i="1"/>
  <c r="Z7" i="1"/>
  <c r="M7" i="1"/>
  <c r="Z310" i="1"/>
  <c r="Z120" i="1"/>
  <c r="Z1154" i="1"/>
  <c r="Z66" i="1"/>
  <c r="Z1040" i="1"/>
  <c r="Z528" i="1"/>
  <c r="Z16" i="1"/>
  <c r="Z831" i="1"/>
  <c r="Z319" i="1"/>
  <c r="Z654" i="1"/>
  <c r="Z38" i="1"/>
  <c r="Z1016" i="1"/>
  <c r="Z743" i="1"/>
  <c r="Z968" i="1"/>
  <c r="Z456" i="1"/>
  <c r="Z1271" i="1"/>
  <c r="Z759" i="1"/>
  <c r="Z247" i="1"/>
  <c r="Z582" i="1"/>
  <c r="Z477" i="1"/>
  <c r="Z312" i="1"/>
  <c r="Z333" i="1"/>
  <c r="Z228" i="1"/>
  <c r="Z1234" i="1"/>
  <c r="Z1249" i="1"/>
  <c r="Z960" i="1"/>
  <c r="Z448" i="1"/>
  <c r="Z1263" i="1"/>
  <c r="Z751" i="1"/>
  <c r="Z239" i="1"/>
  <c r="Z574" i="1"/>
  <c r="Z954" i="1"/>
  <c r="Z1277" i="1"/>
  <c r="Z89" i="1"/>
  <c r="Z997" i="1"/>
  <c r="Z1100" i="1"/>
  <c r="R973" i="1"/>
  <c r="Z973" i="1"/>
  <c r="R1221" i="1"/>
  <c r="Z1221" i="1"/>
  <c r="R1146" i="1"/>
  <c r="Z1146" i="1"/>
  <c r="R1219" i="1"/>
  <c r="Z1219" i="1"/>
  <c r="R843" i="1"/>
  <c r="Z843" i="1"/>
  <c r="Z1109" i="1"/>
  <c r="Z1122" i="1"/>
  <c r="Z1183" i="1"/>
  <c r="Z988" i="1"/>
  <c r="Z808" i="1"/>
  <c r="Z87" i="1"/>
  <c r="Z317" i="1"/>
  <c r="Z399" i="1"/>
  <c r="Z952" i="1"/>
  <c r="Z276" i="1"/>
  <c r="Z1167" i="1"/>
  <c r="Z922" i="1"/>
  <c r="Z1176" i="1"/>
  <c r="Z152" i="1"/>
  <c r="Z222" i="1"/>
  <c r="Z1090" i="1"/>
  <c r="Z976" i="1"/>
  <c r="Z767" i="1"/>
  <c r="Z824" i="1"/>
  <c r="Z487" i="1"/>
  <c r="Z392" i="1"/>
  <c r="Z695" i="1"/>
  <c r="Z518" i="1"/>
  <c r="Z1191" i="1"/>
  <c r="Z1315" i="1"/>
  <c r="Z1185" i="1"/>
  <c r="Z384" i="1"/>
  <c r="Z687" i="1"/>
  <c r="Z1162" i="1"/>
  <c r="Z599" i="1"/>
  <c r="Z800" i="1"/>
  <c r="Z406" i="1"/>
  <c r="Z885" i="1"/>
  <c r="Z992" i="1"/>
  <c r="Z606" i="1"/>
  <c r="Z1131" i="1"/>
  <c r="Z1273" i="1"/>
  <c r="Z664" i="1"/>
  <c r="AL664" i="1" s="1"/>
  <c r="Z455" i="1"/>
  <c r="Z790" i="1"/>
  <c r="Z1127" i="1"/>
  <c r="Z980" i="1"/>
  <c r="Z464" i="1"/>
  <c r="Z485" i="1"/>
  <c r="AL485" i="1" s="1"/>
  <c r="Z904" i="1"/>
  <c r="Z1207" i="1"/>
  <c r="Z183" i="1"/>
  <c r="Z413" i="1"/>
  <c r="Z245" i="1"/>
  <c r="Z1170" i="1"/>
  <c r="Z896" i="1"/>
  <c r="Z1199" i="1"/>
  <c r="Z175" i="1"/>
  <c r="Z510" i="1"/>
  <c r="Z316" i="1"/>
  <c r="Z1229" i="1"/>
  <c r="Z1068" i="1"/>
  <c r="Z934" i="1"/>
  <c r="Z917" i="1"/>
  <c r="R933" i="1"/>
  <c r="Z933" i="1"/>
  <c r="M1285" i="1"/>
  <c r="Z1285" i="1"/>
  <c r="Z1117" i="1"/>
  <c r="Z1326" i="1"/>
  <c r="Z1325" i="1"/>
  <c r="Z1069" i="1"/>
  <c r="Z1205" i="1"/>
  <c r="Z1267" i="1"/>
  <c r="Z1058" i="1"/>
  <c r="Z1328" i="1"/>
  <c r="Z816" i="1"/>
  <c r="Z304" i="1"/>
  <c r="Z1119" i="1"/>
  <c r="Z607" i="1"/>
  <c r="Z95" i="1"/>
  <c r="Z422" i="1"/>
  <c r="Z1141" i="1"/>
  <c r="Z1307" i="1"/>
  <c r="Z1098" i="1"/>
  <c r="Z657" i="1"/>
  <c r="Z1256" i="1"/>
  <c r="Z744" i="1"/>
  <c r="Z232" i="1"/>
  <c r="Z1047" i="1"/>
  <c r="Z535" i="1"/>
  <c r="Z23" i="1"/>
  <c r="Z326" i="1"/>
  <c r="Z253" i="1"/>
  <c r="Z736" i="1"/>
  <c r="Z1103" i="1"/>
  <c r="Z271" i="1"/>
  <c r="Z318" i="1"/>
  <c r="Z632" i="1"/>
  <c r="Z39" i="1"/>
  <c r="Z493" i="1"/>
  <c r="Z212" i="1"/>
  <c r="Z864" i="1"/>
  <c r="Z975" i="1"/>
  <c r="Z478" i="1"/>
  <c r="Z1236" i="1"/>
  <c r="Z1067" i="1"/>
  <c r="Z858" i="1"/>
  <c r="Z1209" i="1"/>
  <c r="Z1112" i="1"/>
  <c r="Z600" i="1"/>
  <c r="Z88" i="1"/>
  <c r="Z903" i="1"/>
  <c r="Z391" i="1"/>
  <c r="Z726" i="1"/>
  <c r="Z134" i="1"/>
  <c r="Z615" i="1"/>
  <c r="Z1299" i="1"/>
  <c r="Z1026" i="1"/>
  <c r="Z912" i="1"/>
  <c r="Z400" i="1"/>
  <c r="Z1215" i="1"/>
  <c r="Z703" i="1"/>
  <c r="Z191" i="1"/>
  <c r="Z526" i="1"/>
  <c r="Z421" i="1"/>
  <c r="Z568" i="1"/>
  <c r="Z359" i="1"/>
  <c r="Z1108" i="1"/>
  <c r="Z840" i="1"/>
  <c r="Z328" i="1"/>
  <c r="Z1143" i="1"/>
  <c r="Z631" i="1"/>
  <c r="Z119" i="1"/>
  <c r="Z454" i="1"/>
  <c r="Z349" i="1"/>
  <c r="Z551" i="1"/>
  <c r="Z1052" i="1"/>
  <c r="Z1251" i="1"/>
  <c r="Z1106" i="1"/>
  <c r="Z50" i="1"/>
  <c r="Z832" i="1"/>
  <c r="Z320" i="1"/>
  <c r="Z1135" i="1"/>
  <c r="Z623" i="1"/>
  <c r="Z111" i="1"/>
  <c r="Z446" i="1"/>
  <c r="Z888" i="1"/>
  <c r="Z1189" i="1"/>
  <c r="Z1083" i="1"/>
  <c r="Z1045" i="1"/>
  <c r="Z1020" i="1"/>
  <c r="Z635" i="1"/>
  <c r="Z441" i="1"/>
  <c r="R1163" i="1"/>
  <c r="Z1163" i="1"/>
  <c r="R1021" i="1"/>
  <c r="Z1021" i="1"/>
  <c r="R291" i="1"/>
  <c r="Z291" i="1"/>
  <c r="R965" i="1"/>
  <c r="Z965" i="1"/>
  <c r="M249" i="1"/>
  <c r="Z249" i="1"/>
  <c r="R1125" i="1"/>
  <c r="Z1125" i="1"/>
  <c r="Z1053" i="1"/>
  <c r="Z1262" i="1"/>
  <c r="Z1301" i="1"/>
  <c r="Z1005" i="1"/>
  <c r="Z1203" i="1"/>
  <c r="Z994" i="1"/>
  <c r="Z1264" i="1"/>
  <c r="Z752" i="1"/>
  <c r="Z240" i="1"/>
  <c r="Z1055" i="1"/>
  <c r="Z543" i="1"/>
  <c r="Z31" i="1"/>
  <c r="Z342" i="1"/>
  <c r="Z1243" i="1"/>
  <c r="Z1034" i="1"/>
  <c r="Z593" i="1"/>
  <c r="Z1192" i="1"/>
  <c r="Z680" i="1"/>
  <c r="Z168" i="1"/>
  <c r="Z983" i="1"/>
  <c r="Z471" i="1"/>
  <c r="Z806" i="1"/>
  <c r="Z246" i="1"/>
  <c r="Z189" i="1"/>
  <c r="Z608" i="1"/>
  <c r="Z1039" i="1"/>
  <c r="Z207" i="1"/>
  <c r="Z150" i="1"/>
  <c r="Z504" i="1"/>
  <c r="Z758" i="1"/>
  <c r="Z1244" i="1"/>
  <c r="Z283" i="1"/>
  <c r="Z672" i="1"/>
  <c r="Z783" i="1"/>
  <c r="Z230" i="1"/>
  <c r="Z1306" i="1"/>
  <c r="Z794" i="1"/>
  <c r="Z74" i="1"/>
  <c r="Z1048" i="1"/>
  <c r="Z536" i="1"/>
  <c r="Z24" i="1"/>
  <c r="Z839" i="1"/>
  <c r="Z327" i="1"/>
  <c r="Z662" i="1"/>
  <c r="Z46" i="1"/>
  <c r="Z103" i="1"/>
  <c r="Z1116" i="1"/>
  <c r="Z1235" i="1"/>
  <c r="Z962" i="1"/>
  <c r="Z848" i="1"/>
  <c r="Z336" i="1"/>
  <c r="Z1151" i="1"/>
  <c r="Z639" i="1"/>
  <c r="Z127" i="1"/>
  <c r="Z462" i="1"/>
  <c r="Z693" i="1"/>
  <c r="Z440" i="1"/>
  <c r="Z231" i="1"/>
  <c r="Z1288" i="1"/>
  <c r="Z776" i="1"/>
  <c r="Z264" i="1"/>
  <c r="Z1079" i="1"/>
  <c r="Z567" i="1"/>
  <c r="Z55" i="1"/>
  <c r="Z374" i="1"/>
  <c r="Z285" i="1"/>
  <c r="Z295" i="1"/>
  <c r="Z1187" i="1"/>
  <c r="Z1042" i="1"/>
  <c r="Z1280" i="1"/>
  <c r="Z768" i="1"/>
  <c r="Z256" i="1"/>
  <c r="Z1071" i="1"/>
  <c r="Z559" i="1"/>
  <c r="Z47" i="1"/>
  <c r="Z358" i="1"/>
  <c r="Z376" i="1"/>
  <c r="Z1029" i="1"/>
  <c r="Z1275" i="1"/>
  <c r="Z1149" i="1"/>
  <c r="Z1322" i="1"/>
  <c r="Z972" i="1"/>
  <c r="Z907" i="1"/>
  <c r="R1292" i="1"/>
  <c r="Z1292" i="1"/>
  <c r="R1213" i="1"/>
  <c r="Z1213" i="1"/>
  <c r="M1274" i="1"/>
  <c r="Z1274" i="1"/>
  <c r="R1212" i="1"/>
  <c r="Z1212" i="1"/>
  <c r="R1164" i="1"/>
  <c r="R249" i="1"/>
  <c r="R1274" i="1"/>
  <c r="M1211" i="1"/>
  <c r="M933" i="1"/>
  <c r="M1125" i="1"/>
  <c r="M973" i="1"/>
  <c r="M843" i="1"/>
  <c r="M1163" i="1"/>
  <c r="M965" i="1"/>
  <c r="M1292" i="1"/>
  <c r="M291" i="1"/>
  <c r="M1021" i="1"/>
  <c r="M1212" i="1"/>
  <c r="M1253" i="1"/>
  <c r="M1213" i="1"/>
  <c r="R1285" i="1"/>
  <c r="R1138" i="1"/>
  <c r="R1010" i="1"/>
  <c r="M746" i="1"/>
  <c r="M1266" i="1"/>
  <c r="M901" i="1"/>
  <c r="M1260" i="1"/>
  <c r="M957" i="1"/>
  <c r="M1227" i="1"/>
  <c r="M1004" i="1"/>
  <c r="M1165" i="1"/>
  <c r="M1091" i="1"/>
  <c r="M1099" i="1"/>
  <c r="M1018" i="1"/>
  <c r="M1093" i="1"/>
  <c r="M1228" i="1"/>
  <c r="M963" i="1"/>
  <c r="M579" i="1"/>
  <c r="M1085" i="1"/>
  <c r="R1002" i="1"/>
  <c r="R1130" i="1"/>
  <c r="M1219" i="1"/>
  <c r="M1146" i="1"/>
  <c r="M1221" i="1"/>
  <c r="M1157" i="1"/>
  <c r="R989" i="1"/>
  <c r="M989" i="1"/>
  <c r="R1077" i="1"/>
  <c r="M1077" i="1"/>
  <c r="R1200" i="1"/>
  <c r="M1200" i="1"/>
  <c r="R479" i="1"/>
  <c r="M479" i="1"/>
  <c r="R1179" i="1"/>
  <c r="M1179" i="1"/>
  <c r="R970" i="1"/>
  <c r="M970" i="1"/>
  <c r="R919" i="1"/>
  <c r="M919" i="1"/>
  <c r="R158" i="1"/>
  <c r="M158" i="1"/>
  <c r="R79" i="1"/>
  <c r="M79" i="1"/>
  <c r="R502" i="1"/>
  <c r="M502" i="1"/>
  <c r="R544" i="1"/>
  <c r="M544" i="1"/>
  <c r="R1287" i="1"/>
  <c r="M1287" i="1"/>
  <c r="R598" i="1"/>
  <c r="M598" i="1"/>
  <c r="R1171" i="1"/>
  <c r="M1171" i="1"/>
  <c r="R784" i="1"/>
  <c r="M784" i="1"/>
  <c r="R382" i="1"/>
  <c r="M382" i="1"/>
  <c r="R694" i="1"/>
  <c r="M694" i="1"/>
  <c r="R200" i="1"/>
  <c r="M200" i="1"/>
  <c r="R286" i="1"/>
  <c r="M286" i="1"/>
  <c r="R1123" i="1"/>
  <c r="M1123" i="1"/>
  <c r="R704" i="1"/>
  <c r="M704" i="1"/>
  <c r="R830" i="1"/>
  <c r="M830" i="1"/>
  <c r="R1275" i="1"/>
  <c r="M1275" i="1"/>
  <c r="R907" i="1"/>
  <c r="M907" i="1"/>
  <c r="R925" i="1"/>
  <c r="M925" i="1"/>
  <c r="R1134" i="1"/>
  <c r="M1134" i="1"/>
  <c r="R1237" i="1"/>
  <c r="M1237" i="1"/>
  <c r="R877" i="1"/>
  <c r="M877" i="1"/>
  <c r="R1075" i="1"/>
  <c r="M1075" i="1"/>
  <c r="R1297" i="1"/>
  <c r="M1297" i="1"/>
  <c r="R1136" i="1"/>
  <c r="M1136" i="1"/>
  <c r="R624" i="1"/>
  <c r="M624" i="1"/>
  <c r="R112" i="1"/>
  <c r="M112" i="1"/>
  <c r="R927" i="1"/>
  <c r="M927" i="1"/>
  <c r="R415" i="1"/>
  <c r="M415" i="1"/>
  <c r="R750" i="1"/>
  <c r="M750" i="1"/>
  <c r="R166" i="1"/>
  <c r="M166" i="1"/>
  <c r="R1115" i="1"/>
  <c r="M1115" i="1"/>
  <c r="R906" i="1"/>
  <c r="M906" i="1"/>
  <c r="R1064" i="1"/>
  <c r="M1064" i="1"/>
  <c r="R552" i="1"/>
  <c r="M552" i="1"/>
  <c r="R40" i="1"/>
  <c r="M40" i="1"/>
  <c r="R855" i="1"/>
  <c r="M855" i="1"/>
  <c r="R343" i="1"/>
  <c r="M343" i="1"/>
  <c r="R678" i="1"/>
  <c r="M678" i="1"/>
  <c r="R70" i="1"/>
  <c r="M70" i="1"/>
  <c r="R1248" i="1"/>
  <c r="M1248" i="1"/>
  <c r="R416" i="1"/>
  <c r="M416" i="1"/>
  <c r="R847" i="1"/>
  <c r="M847" i="1"/>
  <c r="R15" i="1"/>
  <c r="M15" i="1"/>
  <c r="R1319" i="1"/>
  <c r="M1319" i="1"/>
  <c r="R262" i="1"/>
  <c r="M262" i="1"/>
  <c r="R1180" i="1"/>
  <c r="M1180" i="1"/>
  <c r="R1217" i="1"/>
  <c r="M1217" i="1"/>
  <c r="R352" i="1"/>
  <c r="M352" i="1"/>
  <c r="R463" i="1"/>
  <c r="M463" i="1"/>
  <c r="R822" i="1"/>
  <c r="M822" i="1"/>
  <c r="R1178" i="1"/>
  <c r="M1178" i="1"/>
  <c r="R666" i="1"/>
  <c r="M666" i="1"/>
  <c r="R920" i="1"/>
  <c r="M920" i="1"/>
  <c r="R408" i="1"/>
  <c r="M408" i="1"/>
  <c r="R1223" i="1"/>
  <c r="M1223" i="1"/>
  <c r="R711" i="1"/>
  <c r="M711" i="1"/>
  <c r="R199" i="1"/>
  <c r="M199" i="1"/>
  <c r="R534" i="1"/>
  <c r="M534" i="1"/>
  <c r="R124" i="1"/>
  <c r="M124" i="1"/>
  <c r="R461" i="1"/>
  <c r="M461" i="1"/>
  <c r="R1060" i="1"/>
  <c r="M1060" i="1"/>
  <c r="R1107" i="1"/>
  <c r="M1107" i="1"/>
  <c r="R1265" i="1"/>
  <c r="M1265" i="1"/>
  <c r="R1232" i="1"/>
  <c r="M1232" i="1"/>
  <c r="R720" i="1"/>
  <c r="M720" i="1"/>
  <c r="R208" i="1"/>
  <c r="M208" i="1"/>
  <c r="R1023" i="1"/>
  <c r="M1023" i="1"/>
  <c r="R511" i="1"/>
  <c r="M511" i="1"/>
  <c r="R846" i="1"/>
  <c r="M846" i="1"/>
  <c r="R294" i="1"/>
  <c r="M294" i="1"/>
  <c r="R56" i="1"/>
  <c r="M56" i="1"/>
  <c r="R438" i="1"/>
  <c r="M438" i="1"/>
  <c r="R1257" i="1"/>
  <c r="M1257" i="1"/>
  <c r="R1160" i="1"/>
  <c r="M1160" i="1"/>
  <c r="R648" i="1"/>
  <c r="M648" i="1"/>
  <c r="R136" i="1"/>
  <c r="M136" i="1"/>
  <c r="R951" i="1"/>
  <c r="M951" i="1"/>
  <c r="R439" i="1"/>
  <c r="M439" i="1"/>
  <c r="R774" i="1"/>
  <c r="M774" i="1"/>
  <c r="R198" i="1"/>
  <c r="M198" i="1"/>
  <c r="R157" i="1"/>
  <c r="M157" i="1"/>
  <c r="R94" i="1"/>
  <c r="M94" i="1"/>
  <c r="R1059" i="1"/>
  <c r="M1059" i="1"/>
  <c r="R914" i="1"/>
  <c r="M914" i="1"/>
  <c r="R1152" i="1"/>
  <c r="M1152" i="1"/>
  <c r="R640" i="1"/>
  <c r="M640" i="1"/>
  <c r="R128" i="1"/>
  <c r="M128" i="1"/>
  <c r="R943" i="1"/>
  <c r="M943" i="1"/>
  <c r="R431" i="1"/>
  <c r="M431" i="1"/>
  <c r="R766" i="1"/>
  <c r="M766" i="1"/>
  <c r="R190" i="1"/>
  <c r="M190" i="1"/>
  <c r="R807" i="1"/>
  <c r="M807" i="1"/>
  <c r="R909" i="1"/>
  <c r="M909" i="1"/>
  <c r="R1189" i="1"/>
  <c r="M1189" i="1"/>
  <c r="R1210" i="1"/>
  <c r="M1210" i="1"/>
  <c r="R1214" i="1"/>
  <c r="M1214" i="1"/>
  <c r="R1324" i="1"/>
  <c r="M1324" i="1"/>
  <c r="R690" i="1"/>
  <c r="M690" i="1"/>
  <c r="R941" i="1"/>
  <c r="M941" i="1"/>
  <c r="R176" i="1"/>
  <c r="M176" i="1"/>
  <c r="R254" i="1"/>
  <c r="M254" i="1"/>
  <c r="R1128" i="1"/>
  <c r="M1128" i="1"/>
  <c r="R742" i="1"/>
  <c r="M742" i="1"/>
  <c r="R911" i="1"/>
  <c r="M911" i="1"/>
  <c r="R655" i="1"/>
  <c r="M655" i="1"/>
  <c r="R1242" i="1"/>
  <c r="M1242" i="1"/>
  <c r="R472" i="1"/>
  <c r="M472" i="1"/>
  <c r="R828" i="1"/>
  <c r="M828" i="1"/>
  <c r="R1329" i="1"/>
  <c r="M1329" i="1"/>
  <c r="R272" i="1"/>
  <c r="M272" i="1"/>
  <c r="R63" i="1"/>
  <c r="M63" i="1"/>
  <c r="R248" i="1"/>
  <c r="M248" i="1"/>
  <c r="R712" i="1"/>
  <c r="M712" i="1"/>
  <c r="R503" i="1"/>
  <c r="M503" i="1"/>
  <c r="R221" i="1"/>
  <c r="M221" i="1"/>
  <c r="R1216" i="1"/>
  <c r="M1216" i="1"/>
  <c r="R1007" i="1"/>
  <c r="M1007" i="1"/>
  <c r="R1255" i="1"/>
  <c r="M1255" i="1"/>
  <c r="R972" i="1"/>
  <c r="M972" i="1"/>
  <c r="R54" i="1"/>
  <c r="M54" i="1"/>
  <c r="R1284" i="1"/>
  <c r="M1284" i="1"/>
  <c r="R1070" i="1"/>
  <c r="M1070" i="1"/>
  <c r="R1197" i="1"/>
  <c r="M1197" i="1"/>
  <c r="R749" i="1"/>
  <c r="M749" i="1"/>
  <c r="R757" i="1"/>
  <c r="M757" i="1"/>
  <c r="R1314" i="1"/>
  <c r="M1314" i="1"/>
  <c r="R1233" i="1"/>
  <c r="M1233" i="1"/>
  <c r="R1072" i="1"/>
  <c r="M1072" i="1"/>
  <c r="R560" i="1"/>
  <c r="M560" i="1"/>
  <c r="R48" i="1"/>
  <c r="M48" i="1"/>
  <c r="R863" i="1"/>
  <c r="M863" i="1"/>
  <c r="R351" i="1"/>
  <c r="M351" i="1"/>
  <c r="R686" i="1"/>
  <c r="M686" i="1"/>
  <c r="R86" i="1"/>
  <c r="M86" i="1"/>
  <c r="R821" i="1"/>
  <c r="M821" i="1"/>
  <c r="R1051" i="1"/>
  <c r="M1051" i="1"/>
  <c r="R1289" i="1"/>
  <c r="M1289" i="1"/>
  <c r="R1000" i="1"/>
  <c r="M1000" i="1"/>
  <c r="R488" i="1"/>
  <c r="M488" i="1"/>
  <c r="R1303" i="1"/>
  <c r="M1303" i="1"/>
  <c r="R791" i="1"/>
  <c r="M791" i="1"/>
  <c r="R279" i="1"/>
  <c r="M279" i="1"/>
  <c r="R614" i="1"/>
  <c r="M614" i="1"/>
  <c r="R509" i="1"/>
  <c r="M509" i="1"/>
  <c r="R1120" i="1"/>
  <c r="M1120" i="1"/>
  <c r="R288" i="1"/>
  <c r="M288" i="1"/>
  <c r="R719" i="1"/>
  <c r="M719" i="1"/>
  <c r="R734" i="1"/>
  <c r="M734" i="1"/>
  <c r="R629" i="1"/>
  <c r="M629" i="1"/>
  <c r="R999" i="1"/>
  <c r="M999" i="1"/>
  <c r="R14" i="1"/>
  <c r="M14" i="1"/>
  <c r="R160" i="1"/>
  <c r="M160" i="1"/>
  <c r="R335" i="1"/>
  <c r="M335" i="1"/>
  <c r="R365" i="1"/>
  <c r="M365" i="1"/>
  <c r="R1323" i="1"/>
  <c r="M1323" i="1"/>
  <c r="R1114" i="1"/>
  <c r="M1114" i="1"/>
  <c r="R602" i="1"/>
  <c r="M602" i="1"/>
  <c r="R856" i="1"/>
  <c r="M856" i="1"/>
  <c r="R344" i="1"/>
  <c r="M344" i="1"/>
  <c r="R1159" i="1"/>
  <c r="M1159" i="1"/>
  <c r="R647" i="1"/>
  <c r="M647" i="1"/>
  <c r="R135" i="1"/>
  <c r="M135" i="1"/>
  <c r="R470" i="1"/>
  <c r="M470" i="1"/>
  <c r="R1208" i="1"/>
  <c r="M1208" i="1"/>
  <c r="R269" i="1"/>
  <c r="M269" i="1"/>
  <c r="R1282" i="1"/>
  <c r="M1282" i="1"/>
  <c r="R1201" i="1"/>
  <c r="M1201" i="1"/>
  <c r="R1168" i="1"/>
  <c r="M1168" i="1"/>
  <c r="R656" i="1"/>
  <c r="M656" i="1"/>
  <c r="R144" i="1"/>
  <c r="M144" i="1"/>
  <c r="R959" i="1"/>
  <c r="M959" i="1"/>
  <c r="R447" i="1"/>
  <c r="M447" i="1"/>
  <c r="R782" i="1"/>
  <c r="M782" i="1"/>
  <c r="R214" i="1"/>
  <c r="M214" i="1"/>
  <c r="R508" i="1"/>
  <c r="M508" i="1"/>
  <c r="R1063" i="1"/>
  <c r="M1063" i="1"/>
  <c r="R182" i="1"/>
  <c r="M182" i="1"/>
  <c r="R1193" i="1"/>
  <c r="M1193" i="1"/>
  <c r="R1096" i="1"/>
  <c r="M1096" i="1"/>
  <c r="R584" i="1"/>
  <c r="M584" i="1"/>
  <c r="R72" i="1"/>
  <c r="M72" i="1"/>
  <c r="R887" i="1"/>
  <c r="M887" i="1"/>
  <c r="R375" i="1"/>
  <c r="M375" i="1"/>
  <c r="R710" i="1"/>
  <c r="M710" i="1"/>
  <c r="R118" i="1"/>
  <c r="M118" i="1"/>
  <c r="R93" i="1"/>
  <c r="M93" i="1"/>
  <c r="R565" i="1"/>
  <c r="M565" i="1"/>
  <c r="R580" i="1"/>
  <c r="M580" i="1"/>
  <c r="R467" i="1"/>
  <c r="M467" i="1"/>
  <c r="R90" i="1"/>
  <c r="M90" i="1"/>
  <c r="R1088" i="1"/>
  <c r="M1088" i="1"/>
  <c r="R576" i="1"/>
  <c r="M576" i="1"/>
  <c r="R64" i="1"/>
  <c r="M64" i="1"/>
  <c r="R879" i="1"/>
  <c r="M879" i="1"/>
  <c r="R367" i="1"/>
  <c r="M367" i="1"/>
  <c r="R702" i="1"/>
  <c r="M702" i="1"/>
  <c r="R102" i="1"/>
  <c r="M102" i="1"/>
  <c r="R167" i="1"/>
  <c r="M167" i="1"/>
  <c r="R1149" i="1"/>
  <c r="M1149" i="1"/>
  <c r="R1074" i="1"/>
  <c r="M1074" i="1"/>
  <c r="R1276" i="1"/>
  <c r="M1276" i="1"/>
  <c r="R1283" i="1"/>
  <c r="M1283" i="1"/>
  <c r="R1202" i="1"/>
  <c r="M1202" i="1"/>
  <c r="R1261" i="1"/>
  <c r="M1261" i="1"/>
  <c r="R1139" i="1"/>
  <c r="M1139" i="1"/>
  <c r="R991" i="1"/>
  <c r="M991" i="1"/>
  <c r="R1013" i="1"/>
  <c r="M1013" i="1"/>
  <c r="R616" i="1"/>
  <c r="M616" i="1"/>
  <c r="R125" i="1"/>
  <c r="M125" i="1"/>
  <c r="R184" i="1"/>
  <c r="M184" i="1"/>
  <c r="R1172" i="1"/>
  <c r="M1172" i="1"/>
  <c r="R775" i="1"/>
  <c r="M775" i="1"/>
  <c r="R566" i="1"/>
  <c r="M566" i="1"/>
  <c r="R1296" i="1"/>
  <c r="M1296" i="1"/>
  <c r="R575" i="1"/>
  <c r="M575" i="1"/>
  <c r="R1224" i="1"/>
  <c r="M1224" i="1"/>
  <c r="R630" i="1"/>
  <c r="M630" i="1"/>
  <c r="R1029" i="1"/>
  <c r="M1029" i="1"/>
  <c r="R1309" i="1"/>
  <c r="M1309" i="1"/>
  <c r="R1220" i="1"/>
  <c r="M1220" i="1"/>
  <c r="R1006" i="1"/>
  <c r="M1006" i="1"/>
  <c r="R1173" i="1"/>
  <c r="M1173" i="1"/>
  <c r="R1316" i="1"/>
  <c r="M1316" i="1"/>
  <c r="R397" i="1"/>
  <c r="M397" i="1"/>
  <c r="R1250" i="1"/>
  <c r="M1250" i="1"/>
  <c r="R1008" i="1"/>
  <c r="M1008" i="1"/>
  <c r="R496" i="1"/>
  <c r="M496" i="1"/>
  <c r="R1311" i="1"/>
  <c r="M1311" i="1"/>
  <c r="R799" i="1"/>
  <c r="M799" i="1"/>
  <c r="R287" i="1"/>
  <c r="M287" i="1"/>
  <c r="R622" i="1"/>
  <c r="M622" i="1"/>
  <c r="R6" i="1"/>
  <c r="M6" i="1"/>
  <c r="R301" i="1"/>
  <c r="M301" i="1"/>
  <c r="R1290" i="1"/>
  <c r="M1290" i="1"/>
  <c r="R1225" i="1"/>
  <c r="M1225" i="1"/>
  <c r="R936" i="1"/>
  <c r="M936" i="1"/>
  <c r="R424" i="1"/>
  <c r="M424" i="1"/>
  <c r="R1239" i="1"/>
  <c r="M1239" i="1"/>
  <c r="R727" i="1"/>
  <c r="M727" i="1"/>
  <c r="R215" i="1"/>
  <c r="M215" i="1"/>
  <c r="R550" i="1"/>
  <c r="M550" i="1"/>
  <c r="R445" i="1"/>
  <c r="M445" i="1"/>
  <c r="R1056" i="1"/>
  <c r="M1056" i="1"/>
  <c r="R224" i="1"/>
  <c r="M224" i="1"/>
  <c r="R591" i="1"/>
  <c r="M591" i="1"/>
  <c r="R670" i="1"/>
  <c r="M670" i="1"/>
  <c r="R1272" i="1"/>
  <c r="M1272" i="1"/>
  <c r="R871" i="1"/>
  <c r="M871" i="1"/>
  <c r="R949" i="1"/>
  <c r="M949" i="1"/>
  <c r="R1124" i="1"/>
  <c r="M1124" i="1"/>
  <c r="R1312" i="1"/>
  <c r="M1312" i="1"/>
  <c r="R32" i="1"/>
  <c r="M32" i="1"/>
  <c r="R143" i="1"/>
  <c r="M143" i="1"/>
  <c r="R109" i="1"/>
  <c r="M109" i="1"/>
  <c r="R1259" i="1"/>
  <c r="M1259" i="1"/>
  <c r="R1050" i="1"/>
  <c r="M1050" i="1"/>
  <c r="R538" i="1"/>
  <c r="M538" i="1"/>
  <c r="R1304" i="1"/>
  <c r="M1304" i="1"/>
  <c r="R792" i="1"/>
  <c r="M792" i="1"/>
  <c r="R280" i="1"/>
  <c r="M280" i="1"/>
  <c r="R1095" i="1"/>
  <c r="M1095" i="1"/>
  <c r="R583" i="1"/>
  <c r="M583" i="1"/>
  <c r="R71" i="1"/>
  <c r="M71" i="1"/>
  <c r="R390" i="1"/>
  <c r="M390" i="1"/>
  <c r="R696" i="1"/>
  <c r="M696" i="1"/>
  <c r="R1300" i="1"/>
  <c r="M1300" i="1"/>
  <c r="R1028" i="1"/>
  <c r="M1028" i="1"/>
  <c r="R1218" i="1"/>
  <c r="M1218" i="1"/>
  <c r="R61" i="1"/>
  <c r="M61" i="1"/>
  <c r="R1104" i="1"/>
  <c r="M1104" i="1"/>
  <c r="R592" i="1"/>
  <c r="M592" i="1"/>
  <c r="R80" i="1"/>
  <c r="M80" i="1"/>
  <c r="R895" i="1"/>
  <c r="M895" i="1"/>
  <c r="R383" i="1"/>
  <c r="M383" i="1"/>
  <c r="R718" i="1"/>
  <c r="M718" i="1"/>
  <c r="R126" i="1"/>
  <c r="M126" i="1"/>
  <c r="R1144" i="1"/>
  <c r="M1144" i="1"/>
  <c r="R935" i="1"/>
  <c r="M935" i="1"/>
  <c r="R173" i="1"/>
  <c r="M173" i="1"/>
  <c r="R769" i="1"/>
  <c r="M769" i="1"/>
  <c r="R1032" i="1"/>
  <c r="M1032" i="1"/>
  <c r="R520" i="1"/>
  <c r="M520" i="1"/>
  <c r="R8" i="1"/>
  <c r="M8" i="1"/>
  <c r="R823" i="1"/>
  <c r="M823" i="1"/>
  <c r="R311" i="1"/>
  <c r="M311" i="1"/>
  <c r="R646" i="1"/>
  <c r="M646" i="1"/>
  <c r="R30" i="1"/>
  <c r="M30" i="1"/>
  <c r="R760" i="1"/>
  <c r="M760" i="1"/>
  <c r="R429" i="1"/>
  <c r="M429" i="1"/>
  <c r="R260" i="1"/>
  <c r="M260" i="1"/>
  <c r="R1298" i="1"/>
  <c r="M1298" i="1"/>
  <c r="R1313" i="1"/>
  <c r="M1313" i="1"/>
  <c r="R1024" i="1"/>
  <c r="M1024" i="1"/>
  <c r="R512" i="1"/>
  <c r="M512" i="1"/>
  <c r="R1327" i="1"/>
  <c r="M1327" i="1"/>
  <c r="R815" i="1"/>
  <c r="M815" i="1"/>
  <c r="R303" i="1"/>
  <c r="M303" i="1"/>
  <c r="R638" i="1"/>
  <c r="M638" i="1"/>
  <c r="R22" i="1"/>
  <c r="M22" i="1"/>
  <c r="R350" i="1"/>
  <c r="M350" i="1"/>
  <c r="R1330" i="1"/>
  <c r="M1330" i="1"/>
  <c r="R1101" i="1"/>
  <c r="M1101" i="1"/>
  <c r="R1083" i="1"/>
  <c r="M1083" i="1"/>
  <c r="R1291" i="1"/>
  <c r="M1291" i="1"/>
  <c r="R938" i="1"/>
  <c r="M938" i="1"/>
  <c r="R1333" i="1"/>
  <c r="M1333" i="1"/>
  <c r="R1196" i="1"/>
  <c r="M1196" i="1"/>
  <c r="R1147" i="1"/>
  <c r="M1147" i="1"/>
  <c r="R1066" i="1"/>
  <c r="M1066" i="1"/>
  <c r="R1198" i="1"/>
  <c r="M1198" i="1"/>
  <c r="R930" i="1"/>
  <c r="M930" i="1"/>
  <c r="R688" i="1"/>
  <c r="M688" i="1"/>
  <c r="R814" i="1"/>
  <c r="M814" i="1"/>
  <c r="R13" i="1"/>
  <c r="M13" i="1"/>
  <c r="R104" i="1"/>
  <c r="M104" i="1"/>
  <c r="R407" i="1"/>
  <c r="M407" i="1"/>
  <c r="R480" i="1"/>
  <c r="M480" i="1"/>
  <c r="R1269" i="1"/>
  <c r="M1269" i="1"/>
  <c r="R1281" i="1"/>
  <c r="M1281" i="1"/>
  <c r="R62" i="1"/>
  <c r="M62" i="1"/>
  <c r="R730" i="1"/>
  <c r="M730" i="1"/>
  <c r="R984" i="1"/>
  <c r="M984" i="1"/>
  <c r="R263" i="1"/>
  <c r="M263" i="1"/>
  <c r="R1087" i="1"/>
  <c r="M1087" i="1"/>
  <c r="R1044" i="1"/>
  <c r="M1044" i="1"/>
  <c r="R1321" i="1"/>
  <c r="M1321" i="1"/>
  <c r="R1015" i="1"/>
  <c r="M1015" i="1"/>
  <c r="R838" i="1"/>
  <c r="M838" i="1"/>
  <c r="R996" i="1"/>
  <c r="M996" i="1"/>
  <c r="R978" i="1"/>
  <c r="M978" i="1"/>
  <c r="R192" i="1"/>
  <c r="M192" i="1"/>
  <c r="R495" i="1"/>
  <c r="M495" i="1"/>
  <c r="R278" i="1"/>
  <c r="M278" i="1"/>
  <c r="R1229" i="1"/>
  <c r="M1229" i="1"/>
  <c r="R1245" i="1"/>
  <c r="M1245" i="1"/>
  <c r="R1156" i="1"/>
  <c r="M1156" i="1"/>
  <c r="R942" i="1"/>
  <c r="M942" i="1"/>
  <c r="R1133" i="1"/>
  <c r="M1133" i="1"/>
  <c r="R1252" i="1"/>
  <c r="M1252" i="1"/>
  <c r="R1076" i="1"/>
  <c r="M1076" i="1"/>
  <c r="R1186" i="1"/>
  <c r="M1186" i="1"/>
  <c r="R944" i="1"/>
  <c r="M944" i="1"/>
  <c r="R432" i="1"/>
  <c r="M432" i="1"/>
  <c r="R1247" i="1"/>
  <c r="M1247" i="1"/>
  <c r="R735" i="1"/>
  <c r="M735" i="1"/>
  <c r="R223" i="1"/>
  <c r="M223" i="1"/>
  <c r="R558" i="1"/>
  <c r="M558" i="1"/>
  <c r="R517" i="1"/>
  <c r="M517" i="1"/>
  <c r="R1012" i="1"/>
  <c r="M1012" i="1"/>
  <c r="R1226" i="1"/>
  <c r="M1226" i="1"/>
  <c r="R817" i="1"/>
  <c r="M817" i="1"/>
  <c r="R872" i="1"/>
  <c r="M872" i="1"/>
  <c r="R360" i="1"/>
  <c r="M360" i="1"/>
  <c r="R1175" i="1"/>
  <c r="M1175" i="1"/>
  <c r="R663" i="1"/>
  <c r="M663" i="1"/>
  <c r="R151" i="1"/>
  <c r="M151" i="1"/>
  <c r="R486" i="1"/>
  <c r="M486" i="1"/>
  <c r="R381" i="1"/>
  <c r="M381" i="1"/>
  <c r="R928" i="1"/>
  <c r="M928" i="1"/>
  <c r="R96" i="1"/>
  <c r="M96" i="1"/>
  <c r="R527" i="1"/>
  <c r="M527" i="1"/>
  <c r="R542" i="1"/>
  <c r="M542" i="1"/>
  <c r="R1080" i="1"/>
  <c r="M1080" i="1"/>
  <c r="R679" i="1"/>
  <c r="M679" i="1"/>
  <c r="R1184" i="1"/>
  <c r="M1184" i="1"/>
  <c r="R1295" i="1"/>
  <c r="M1295" i="1"/>
  <c r="R798" i="1"/>
  <c r="M798" i="1"/>
  <c r="R1308" i="1"/>
  <c r="M1308" i="1"/>
  <c r="R1195" i="1"/>
  <c r="M1195" i="1"/>
  <c r="R986" i="1"/>
  <c r="M986" i="1"/>
  <c r="R474" i="1"/>
  <c r="M474" i="1"/>
  <c r="R1240" i="1"/>
  <c r="M1240" i="1"/>
  <c r="R728" i="1"/>
  <c r="M728" i="1"/>
  <c r="R216" i="1"/>
  <c r="M216" i="1"/>
  <c r="R1031" i="1"/>
  <c r="M1031" i="1"/>
  <c r="R519" i="1"/>
  <c r="M519" i="1"/>
  <c r="R7" i="1"/>
  <c r="R310" i="1"/>
  <c r="M310" i="1"/>
  <c r="R120" i="1"/>
  <c r="M120" i="1"/>
  <c r="R1154" i="1"/>
  <c r="M1154" i="1"/>
  <c r="R66" i="1"/>
  <c r="M66" i="1"/>
  <c r="R1040" i="1"/>
  <c r="M1040" i="1"/>
  <c r="R528" i="1"/>
  <c r="M528" i="1"/>
  <c r="R16" i="1"/>
  <c r="M16" i="1"/>
  <c r="R831" i="1"/>
  <c r="M831" i="1"/>
  <c r="R319" i="1"/>
  <c r="M319" i="1"/>
  <c r="R654" i="1"/>
  <c r="M654" i="1"/>
  <c r="R38" i="1"/>
  <c r="M38" i="1"/>
  <c r="R1016" i="1"/>
  <c r="M1016" i="1"/>
  <c r="R743" i="1"/>
  <c r="M743" i="1"/>
  <c r="R968" i="1"/>
  <c r="M968" i="1"/>
  <c r="R456" i="1"/>
  <c r="M456" i="1"/>
  <c r="R1271" i="1"/>
  <c r="M1271" i="1"/>
  <c r="R759" i="1"/>
  <c r="M759" i="1"/>
  <c r="R247" i="1"/>
  <c r="M247" i="1"/>
  <c r="R582" i="1"/>
  <c r="M582" i="1"/>
  <c r="R477" i="1"/>
  <c r="M477" i="1"/>
  <c r="R312" i="1"/>
  <c r="M312" i="1"/>
  <c r="R333" i="1"/>
  <c r="M333" i="1"/>
  <c r="R228" i="1"/>
  <c r="M228" i="1"/>
  <c r="R1234" i="1"/>
  <c r="M1234" i="1"/>
  <c r="R1249" i="1"/>
  <c r="M1249" i="1"/>
  <c r="R960" i="1"/>
  <c r="M960" i="1"/>
  <c r="R448" i="1"/>
  <c r="M448" i="1"/>
  <c r="R1263" i="1"/>
  <c r="M1263" i="1"/>
  <c r="R751" i="1"/>
  <c r="M751" i="1"/>
  <c r="R239" i="1"/>
  <c r="M239" i="1"/>
  <c r="R574" i="1"/>
  <c r="M574" i="1"/>
  <c r="R1194" i="1"/>
  <c r="M1194" i="1"/>
  <c r="R1061" i="1"/>
  <c r="M1061" i="1"/>
  <c r="R1132" i="1"/>
  <c r="M1132" i="1"/>
  <c r="R1155" i="1"/>
  <c r="M1155" i="1"/>
  <c r="R345" i="1"/>
  <c r="M345" i="1"/>
  <c r="R1037" i="1"/>
  <c r="M1037" i="1"/>
  <c r="R1148" i="1"/>
  <c r="M1148" i="1"/>
  <c r="R826" i="1"/>
  <c r="M826" i="1"/>
  <c r="R506" i="1"/>
  <c r="M506" i="1"/>
  <c r="R880" i="1"/>
  <c r="M880" i="1"/>
  <c r="R368" i="1"/>
  <c r="M368" i="1"/>
  <c r="R1183" i="1"/>
  <c r="M1183" i="1"/>
  <c r="R671" i="1"/>
  <c r="M671" i="1"/>
  <c r="R159" i="1"/>
  <c r="M159" i="1"/>
  <c r="R494" i="1"/>
  <c r="M494" i="1"/>
  <c r="R453" i="1"/>
  <c r="M453" i="1"/>
  <c r="R988" i="1"/>
  <c r="M988" i="1"/>
  <c r="R1162" i="1"/>
  <c r="M1162" i="1"/>
  <c r="R721" i="1"/>
  <c r="M721" i="1"/>
  <c r="R1320" i="1"/>
  <c r="M1320" i="1"/>
  <c r="R808" i="1"/>
  <c r="M808" i="1"/>
  <c r="R296" i="1"/>
  <c r="M296" i="1"/>
  <c r="R1111" i="1"/>
  <c r="M1111" i="1"/>
  <c r="R599" i="1"/>
  <c r="M599" i="1"/>
  <c r="R87" i="1"/>
  <c r="M87" i="1"/>
  <c r="R414" i="1"/>
  <c r="M414" i="1"/>
  <c r="R317" i="1"/>
  <c r="M317" i="1"/>
  <c r="R800" i="1"/>
  <c r="M800" i="1"/>
  <c r="R1231" i="1"/>
  <c r="M1231" i="1"/>
  <c r="R399" i="1"/>
  <c r="M399" i="1"/>
  <c r="R406" i="1"/>
  <c r="M406" i="1"/>
  <c r="R952" i="1"/>
  <c r="M952" i="1"/>
  <c r="R423" i="1"/>
  <c r="M423" i="1"/>
  <c r="R885" i="1"/>
  <c r="M885" i="1"/>
  <c r="R276" i="1"/>
  <c r="M276" i="1"/>
  <c r="R992" i="1"/>
  <c r="M992" i="1"/>
  <c r="R1167" i="1"/>
  <c r="M1167" i="1"/>
  <c r="R606" i="1"/>
  <c r="M606" i="1"/>
  <c r="R1131" i="1"/>
  <c r="M1131" i="1"/>
  <c r="R922" i="1"/>
  <c r="M922" i="1"/>
  <c r="R1273" i="1"/>
  <c r="M1273" i="1"/>
  <c r="R1176" i="1"/>
  <c r="M1176" i="1"/>
  <c r="R664" i="1"/>
  <c r="M664" i="1"/>
  <c r="R152" i="1"/>
  <c r="M152" i="1"/>
  <c r="R967" i="1"/>
  <c r="M967" i="1"/>
  <c r="R455" i="1"/>
  <c r="M455" i="1"/>
  <c r="R790" i="1"/>
  <c r="M790" i="1"/>
  <c r="R222" i="1"/>
  <c r="M222" i="1"/>
  <c r="R1127" i="1"/>
  <c r="M1127" i="1"/>
  <c r="R980" i="1"/>
  <c r="M980" i="1"/>
  <c r="R1090" i="1"/>
  <c r="M1090" i="1"/>
  <c r="R976" i="1"/>
  <c r="M976" i="1"/>
  <c r="R464" i="1"/>
  <c r="M464" i="1"/>
  <c r="R1279" i="1"/>
  <c r="M1279" i="1"/>
  <c r="R767" i="1"/>
  <c r="M767" i="1"/>
  <c r="R255" i="1"/>
  <c r="M255" i="1"/>
  <c r="R590" i="1"/>
  <c r="M590" i="1"/>
  <c r="R485" i="1"/>
  <c r="M485" i="1"/>
  <c r="R824" i="1"/>
  <c r="M824" i="1"/>
  <c r="R487" i="1"/>
  <c r="M487" i="1"/>
  <c r="R904" i="1"/>
  <c r="M904" i="1"/>
  <c r="R392" i="1"/>
  <c r="M392" i="1"/>
  <c r="R1207" i="1"/>
  <c r="M1207" i="1"/>
  <c r="R695" i="1"/>
  <c r="M695" i="1"/>
  <c r="R183" i="1"/>
  <c r="M183" i="1"/>
  <c r="R518" i="1"/>
  <c r="M518" i="1"/>
  <c r="R413" i="1"/>
  <c r="M413" i="1"/>
  <c r="R1191" i="1"/>
  <c r="M1191" i="1"/>
  <c r="R245" i="1"/>
  <c r="M245" i="1"/>
  <c r="R1315" i="1"/>
  <c r="M1315" i="1"/>
  <c r="R1170" i="1"/>
  <c r="M1170" i="1"/>
  <c r="R1185" i="1"/>
  <c r="M1185" i="1"/>
  <c r="R896" i="1"/>
  <c r="M896" i="1"/>
  <c r="R384" i="1"/>
  <c r="M384" i="1"/>
  <c r="R1199" i="1"/>
  <c r="M1199" i="1"/>
  <c r="R687" i="1"/>
  <c r="M687" i="1"/>
  <c r="R175" i="1"/>
  <c r="M175" i="1"/>
  <c r="R510" i="1"/>
  <c r="M510" i="1"/>
  <c r="R316" i="1"/>
  <c r="M316" i="1"/>
  <c r="R954" i="1"/>
  <c r="M954" i="1"/>
  <c r="R981" i="1"/>
  <c r="M981" i="1"/>
  <c r="R1084" i="1"/>
  <c r="M1084" i="1"/>
  <c r="R1322" i="1"/>
  <c r="M1322" i="1"/>
  <c r="R89" i="1"/>
  <c r="M89" i="1"/>
  <c r="R997" i="1"/>
  <c r="M997" i="1"/>
  <c r="R1100" i="1"/>
  <c r="M1100" i="1"/>
  <c r="R1331" i="1"/>
  <c r="M1331" i="1"/>
  <c r="R1317" i="1"/>
  <c r="M1317" i="1"/>
  <c r="R1036" i="1"/>
  <c r="M1036" i="1"/>
  <c r="R1082" i="1"/>
  <c r="M1082" i="1"/>
  <c r="R1068" i="1"/>
  <c r="M1068" i="1"/>
  <c r="R934" i="1"/>
  <c r="M934" i="1"/>
  <c r="R917" i="1"/>
  <c r="M917" i="1"/>
  <c r="R1181" i="1"/>
  <c r="M1181" i="1"/>
  <c r="R1092" i="1"/>
  <c r="M1092" i="1"/>
  <c r="R878" i="1"/>
  <c r="M878" i="1"/>
  <c r="R1109" i="1"/>
  <c r="M1109" i="1"/>
  <c r="R1188" i="1"/>
  <c r="M1188" i="1"/>
  <c r="R1122" i="1"/>
  <c r="M1122" i="1"/>
  <c r="R1117" i="1"/>
  <c r="M1117" i="1"/>
  <c r="R1326" i="1"/>
  <c r="M1326" i="1"/>
  <c r="R1325" i="1"/>
  <c r="M1325" i="1"/>
  <c r="R1069" i="1"/>
  <c r="M1069" i="1"/>
  <c r="R1205" i="1"/>
  <c r="M1205" i="1"/>
  <c r="R1267" i="1"/>
  <c r="M1267" i="1"/>
  <c r="R1058" i="1"/>
  <c r="M1058" i="1"/>
  <c r="R1328" i="1"/>
  <c r="M1328" i="1"/>
  <c r="R816" i="1"/>
  <c r="M816" i="1"/>
  <c r="R304" i="1"/>
  <c r="M304" i="1"/>
  <c r="R1119" i="1"/>
  <c r="M1119" i="1"/>
  <c r="R607" i="1"/>
  <c r="M607" i="1"/>
  <c r="R95" i="1"/>
  <c r="M95" i="1"/>
  <c r="R422" i="1"/>
  <c r="M422" i="1"/>
  <c r="R1141" i="1"/>
  <c r="M1141" i="1"/>
  <c r="R1307" i="1"/>
  <c r="M1307" i="1"/>
  <c r="R1098" i="1"/>
  <c r="M1098" i="1"/>
  <c r="R657" i="1"/>
  <c r="M657" i="1"/>
  <c r="R1256" i="1"/>
  <c r="M1256" i="1"/>
  <c r="R744" i="1"/>
  <c r="M744" i="1"/>
  <c r="R232" i="1"/>
  <c r="M232" i="1"/>
  <c r="R1047" i="1"/>
  <c r="M1047" i="1"/>
  <c r="R535" i="1"/>
  <c r="M535" i="1"/>
  <c r="R23" i="1"/>
  <c r="M23" i="1"/>
  <c r="R326" i="1"/>
  <c r="M326" i="1"/>
  <c r="R253" i="1"/>
  <c r="M253" i="1"/>
  <c r="R736" i="1"/>
  <c r="M736" i="1"/>
  <c r="R1103" i="1"/>
  <c r="M1103" i="1"/>
  <c r="R271" i="1"/>
  <c r="M271" i="1"/>
  <c r="R318" i="1"/>
  <c r="M318" i="1"/>
  <c r="R632" i="1"/>
  <c r="M632" i="1"/>
  <c r="R39" i="1"/>
  <c r="M39" i="1"/>
  <c r="R493" i="1"/>
  <c r="M493" i="1"/>
  <c r="R212" i="1"/>
  <c r="M212" i="1"/>
  <c r="R864" i="1"/>
  <c r="M864" i="1"/>
  <c r="R975" i="1"/>
  <c r="M975" i="1"/>
  <c r="R478" i="1"/>
  <c r="M478" i="1"/>
  <c r="R1236" i="1"/>
  <c r="M1236" i="1"/>
  <c r="R1067" i="1"/>
  <c r="M1067" i="1"/>
  <c r="R858" i="1"/>
  <c r="M858" i="1"/>
  <c r="R1209" i="1"/>
  <c r="M1209" i="1"/>
  <c r="R1112" i="1"/>
  <c r="M1112" i="1"/>
  <c r="R600" i="1"/>
  <c r="M600" i="1"/>
  <c r="R88" i="1"/>
  <c r="M88" i="1"/>
  <c r="R903" i="1"/>
  <c r="M903" i="1"/>
  <c r="R391" i="1"/>
  <c r="M391" i="1"/>
  <c r="R726" i="1"/>
  <c r="M726" i="1"/>
  <c r="R134" i="1"/>
  <c r="M134" i="1"/>
  <c r="R615" i="1"/>
  <c r="M615" i="1"/>
  <c r="R1299" i="1"/>
  <c r="M1299" i="1"/>
  <c r="R1026" i="1"/>
  <c r="M1026" i="1"/>
  <c r="R912" i="1"/>
  <c r="M912" i="1"/>
  <c r="R400" i="1"/>
  <c r="M400" i="1"/>
  <c r="R1215" i="1"/>
  <c r="M1215" i="1"/>
  <c r="R703" i="1"/>
  <c r="M703" i="1"/>
  <c r="R191" i="1"/>
  <c r="M191" i="1"/>
  <c r="R526" i="1"/>
  <c r="M526" i="1"/>
  <c r="R421" i="1"/>
  <c r="M421" i="1"/>
  <c r="R568" i="1"/>
  <c r="M568" i="1"/>
  <c r="R359" i="1"/>
  <c r="M359" i="1"/>
  <c r="R1108" i="1"/>
  <c r="M1108" i="1"/>
  <c r="R840" i="1"/>
  <c r="M840" i="1"/>
  <c r="R328" i="1"/>
  <c r="M328" i="1"/>
  <c r="R1143" i="1"/>
  <c r="M1143" i="1"/>
  <c r="R631" i="1"/>
  <c r="M631" i="1"/>
  <c r="R119" i="1"/>
  <c r="M119" i="1"/>
  <c r="R454" i="1"/>
  <c r="M454" i="1"/>
  <c r="R349" i="1"/>
  <c r="M349" i="1"/>
  <c r="R551" i="1"/>
  <c r="M551" i="1"/>
  <c r="R1052" i="1"/>
  <c r="M1052" i="1"/>
  <c r="R1251" i="1"/>
  <c r="M1251" i="1"/>
  <c r="R1106" i="1"/>
  <c r="M1106" i="1"/>
  <c r="R50" i="1"/>
  <c r="M50" i="1"/>
  <c r="R832" i="1"/>
  <c r="M832" i="1"/>
  <c r="R320" i="1"/>
  <c r="M320" i="1"/>
  <c r="R1135" i="1"/>
  <c r="M1135" i="1"/>
  <c r="R623" i="1"/>
  <c r="M623" i="1"/>
  <c r="R111" i="1"/>
  <c r="M111" i="1"/>
  <c r="R446" i="1"/>
  <c r="M446" i="1"/>
  <c r="R888" i="1"/>
  <c r="M888" i="1"/>
  <c r="R1053" i="1"/>
  <c r="M1053" i="1"/>
  <c r="R1262" i="1"/>
  <c r="M1262" i="1"/>
  <c r="R1301" i="1"/>
  <c r="M1301" i="1"/>
  <c r="R1005" i="1"/>
  <c r="M1005" i="1"/>
  <c r="R1203" i="1"/>
  <c r="M1203" i="1"/>
  <c r="R994" i="1"/>
  <c r="M994" i="1"/>
  <c r="R1264" i="1"/>
  <c r="M1264" i="1"/>
  <c r="R752" i="1"/>
  <c r="M752" i="1"/>
  <c r="R240" i="1"/>
  <c r="M240" i="1"/>
  <c r="R1055" i="1"/>
  <c r="M1055" i="1"/>
  <c r="R543" i="1"/>
  <c r="M543" i="1"/>
  <c r="R31" i="1"/>
  <c r="M31" i="1"/>
  <c r="R342" i="1"/>
  <c r="M342" i="1"/>
  <c r="R1243" i="1"/>
  <c r="M1243" i="1"/>
  <c r="R1034" i="1"/>
  <c r="M1034" i="1"/>
  <c r="R593" i="1"/>
  <c r="M593" i="1"/>
  <c r="R1192" i="1"/>
  <c r="M1192" i="1"/>
  <c r="R680" i="1"/>
  <c r="M680" i="1"/>
  <c r="R168" i="1"/>
  <c r="M168" i="1"/>
  <c r="R983" i="1"/>
  <c r="M983" i="1"/>
  <c r="R471" i="1"/>
  <c r="M471" i="1"/>
  <c r="R806" i="1"/>
  <c r="M806" i="1"/>
  <c r="R246" i="1"/>
  <c r="M246" i="1"/>
  <c r="R189" i="1"/>
  <c r="M189" i="1"/>
  <c r="R608" i="1"/>
  <c r="M608" i="1"/>
  <c r="R1039" i="1"/>
  <c r="M1039" i="1"/>
  <c r="R207" i="1"/>
  <c r="M207" i="1"/>
  <c r="R150" i="1"/>
  <c r="M150" i="1"/>
  <c r="R504" i="1"/>
  <c r="M504" i="1"/>
  <c r="R758" i="1"/>
  <c r="M758" i="1"/>
  <c r="R1244" i="1"/>
  <c r="M1244" i="1"/>
  <c r="R283" i="1"/>
  <c r="M283" i="1"/>
  <c r="R672" i="1"/>
  <c r="M672" i="1"/>
  <c r="R783" i="1"/>
  <c r="M783" i="1"/>
  <c r="R230" i="1"/>
  <c r="M230" i="1"/>
  <c r="R1306" i="1"/>
  <c r="M1306" i="1"/>
  <c r="R794" i="1"/>
  <c r="M794" i="1"/>
  <c r="R74" i="1"/>
  <c r="M74" i="1"/>
  <c r="R1048" i="1"/>
  <c r="M1048" i="1"/>
  <c r="R536" i="1"/>
  <c r="M536" i="1"/>
  <c r="R24" i="1"/>
  <c r="M24" i="1"/>
  <c r="R839" i="1"/>
  <c r="M839" i="1"/>
  <c r="R327" i="1"/>
  <c r="M327" i="1"/>
  <c r="R662" i="1"/>
  <c r="M662" i="1"/>
  <c r="R46" i="1"/>
  <c r="M46" i="1"/>
  <c r="R103" i="1"/>
  <c r="M103" i="1"/>
  <c r="R1116" i="1"/>
  <c r="M1116" i="1"/>
  <c r="R1235" i="1"/>
  <c r="M1235" i="1"/>
  <c r="R962" i="1"/>
  <c r="M962" i="1"/>
  <c r="R848" i="1"/>
  <c r="M848" i="1"/>
  <c r="R336" i="1"/>
  <c r="M336" i="1"/>
  <c r="R1151" i="1"/>
  <c r="M1151" i="1"/>
  <c r="R639" i="1"/>
  <c r="M639" i="1"/>
  <c r="R127" i="1"/>
  <c r="M127" i="1"/>
  <c r="R462" i="1"/>
  <c r="M462" i="1"/>
  <c r="R693" i="1"/>
  <c r="M693" i="1"/>
  <c r="R440" i="1"/>
  <c r="M440" i="1"/>
  <c r="R231" i="1"/>
  <c r="M231" i="1"/>
  <c r="R1288" i="1"/>
  <c r="M1288" i="1"/>
  <c r="R776" i="1"/>
  <c r="M776" i="1"/>
  <c r="R264" i="1"/>
  <c r="M264" i="1"/>
  <c r="R1079" i="1"/>
  <c r="M1079" i="1"/>
  <c r="R567" i="1"/>
  <c r="M567" i="1"/>
  <c r="R55" i="1"/>
  <c r="M55" i="1"/>
  <c r="R374" i="1"/>
  <c r="M374" i="1"/>
  <c r="R285" i="1"/>
  <c r="M285" i="1"/>
  <c r="R295" i="1"/>
  <c r="M295" i="1"/>
  <c r="R1187" i="1"/>
  <c r="M1187" i="1"/>
  <c r="R1042" i="1"/>
  <c r="M1042" i="1"/>
  <c r="R1280" i="1"/>
  <c r="M1280" i="1"/>
  <c r="R768" i="1"/>
  <c r="M768" i="1"/>
  <c r="R256" i="1"/>
  <c r="M256" i="1"/>
  <c r="R1071" i="1"/>
  <c r="M1071" i="1"/>
  <c r="R559" i="1"/>
  <c r="M559" i="1"/>
  <c r="R47" i="1"/>
  <c r="M47" i="1"/>
  <c r="R358" i="1"/>
  <c r="M358" i="1"/>
  <c r="R376" i="1"/>
  <c r="M376" i="1"/>
  <c r="R1277" i="1"/>
  <c r="M1277" i="1"/>
  <c r="R946" i="1"/>
  <c r="M946" i="1"/>
  <c r="R1045" i="1"/>
  <c r="M1045" i="1"/>
  <c r="R1020" i="1"/>
  <c r="M1020" i="1"/>
  <c r="R635" i="1"/>
  <c r="M635" i="1"/>
  <c r="R441" i="1"/>
  <c r="M441" i="1"/>
  <c r="AL976" i="1" l="1"/>
  <c r="AL467" i="1"/>
  <c r="AL1058" i="1"/>
  <c r="AL381" i="1"/>
  <c r="AL424" i="1"/>
  <c r="AL1077" i="1"/>
  <c r="AL967" i="1"/>
  <c r="AL1282" i="1"/>
  <c r="AL1023" i="1"/>
  <c r="AL1247" i="1"/>
  <c r="AL1006" i="1"/>
  <c r="AL922" i="1"/>
  <c r="AL1068" i="1"/>
  <c r="AL1221" i="1"/>
  <c r="AL1202" i="1"/>
  <c r="AL276" i="1"/>
  <c r="AL239" i="1"/>
  <c r="AL815" i="1"/>
  <c r="AL335" i="1"/>
  <c r="AL830" i="1"/>
  <c r="AL560" i="1"/>
  <c r="AL552" i="1"/>
  <c r="AL1021" i="1"/>
  <c r="AL228" i="1"/>
  <c r="AL823" i="1"/>
  <c r="AL503" i="1"/>
  <c r="AL1232" i="1"/>
  <c r="AL1045" i="1"/>
  <c r="AL1271" i="1"/>
  <c r="AL126" i="1"/>
  <c r="AL1130" i="1"/>
  <c r="AL208" i="1"/>
  <c r="AL384" i="1"/>
  <c r="AL216" i="1"/>
  <c r="AL61" i="1"/>
  <c r="AL1148" i="1"/>
  <c r="AL1160" i="1"/>
  <c r="AL143" i="1"/>
  <c r="AL102" i="1"/>
  <c r="AL919" i="1"/>
  <c r="AL183" i="1"/>
  <c r="AL375" i="1"/>
  <c r="AL508" i="1"/>
  <c r="AL784" i="1"/>
  <c r="AL730" i="1"/>
  <c r="AL1253" i="1"/>
  <c r="AL1213" i="1"/>
  <c r="AL1215" i="1"/>
  <c r="AL296" i="1"/>
  <c r="AL719" i="1"/>
  <c r="AL863" i="1"/>
  <c r="AL240" i="1"/>
  <c r="AL359" i="1"/>
  <c r="AL39" i="1"/>
  <c r="AL47" i="1"/>
  <c r="AL776" i="1"/>
  <c r="AL46" i="1"/>
  <c r="AL783" i="1"/>
  <c r="AL1055" i="1"/>
  <c r="AL615" i="1"/>
  <c r="AL1119" i="1"/>
  <c r="AL1229" i="1"/>
  <c r="AL1207" i="1"/>
  <c r="AL1090" i="1"/>
  <c r="AL1131" i="1"/>
  <c r="AL1285" i="1"/>
  <c r="AL1263" i="1"/>
  <c r="AL456" i="1"/>
  <c r="AL474" i="1"/>
  <c r="AL1327" i="1"/>
  <c r="AL8" i="1"/>
  <c r="AL1300" i="1"/>
  <c r="AL32" i="1"/>
  <c r="AL1002" i="1"/>
  <c r="AL64" i="1"/>
  <c r="AL887" i="1"/>
  <c r="AL959" i="1"/>
  <c r="AL344" i="1"/>
  <c r="AL1283" i="1"/>
  <c r="AL192" i="1"/>
  <c r="AL1015" i="1"/>
  <c r="AL1296" i="1"/>
  <c r="AL1242" i="1"/>
  <c r="AL1211" i="1"/>
  <c r="AL1292" i="1"/>
  <c r="AL134" i="1"/>
  <c r="AL1069" i="1"/>
  <c r="AL1107" i="1"/>
  <c r="AL423" i="1"/>
  <c r="AL1162" i="1"/>
  <c r="AL1314" i="1"/>
  <c r="AL262" i="1"/>
  <c r="AL663" i="1"/>
  <c r="AL432" i="1"/>
  <c r="AL1120" i="1"/>
  <c r="AL1060" i="1"/>
  <c r="AL1124" i="1"/>
  <c r="AL1225" i="1"/>
  <c r="AL1220" i="1"/>
  <c r="AL461" i="1"/>
  <c r="AL1281" i="1"/>
  <c r="AL104" i="1"/>
  <c r="AL941" i="1"/>
  <c r="AL1264" i="1"/>
  <c r="AL421" i="1"/>
  <c r="AL271" i="1"/>
  <c r="AL938" i="1"/>
  <c r="AL1075" i="1"/>
  <c r="AL1071" i="1"/>
  <c r="AL231" i="1"/>
  <c r="AL662" i="1"/>
  <c r="AL283" i="1"/>
  <c r="AL752" i="1"/>
  <c r="AL391" i="1"/>
  <c r="AL190" i="1"/>
  <c r="AL965" i="1"/>
  <c r="AL687" i="1"/>
  <c r="AL487" i="1"/>
  <c r="AL980" i="1"/>
  <c r="AL1125" i="1"/>
  <c r="AL1249" i="1"/>
  <c r="AL831" i="1"/>
  <c r="AL986" i="1"/>
  <c r="AL843" i="1"/>
  <c r="AL512" i="1"/>
  <c r="AL520" i="1"/>
  <c r="AL696" i="1"/>
  <c r="AL1085" i="1"/>
  <c r="AL576" i="1"/>
  <c r="AL72" i="1"/>
  <c r="AL144" i="1"/>
  <c r="AL602" i="1"/>
  <c r="AL1276" i="1"/>
  <c r="AL200" i="1"/>
  <c r="AL1171" i="1"/>
  <c r="AL1172" i="1"/>
  <c r="AL690" i="1"/>
  <c r="AL972" i="1"/>
  <c r="AL903" i="1"/>
  <c r="AL1117" i="1"/>
  <c r="AL711" i="1"/>
  <c r="AL952" i="1"/>
  <c r="AL453" i="1"/>
  <c r="AL1197" i="1"/>
  <c r="AL1175" i="1"/>
  <c r="AL944" i="1"/>
  <c r="AL614" i="1"/>
  <c r="AL1223" i="1"/>
  <c r="AL949" i="1"/>
  <c r="AL1290" i="1"/>
  <c r="AL746" i="1"/>
  <c r="AL408" i="1"/>
  <c r="AL502" i="1"/>
  <c r="AL616" i="1"/>
  <c r="AL1203" i="1"/>
  <c r="AL703" i="1"/>
  <c r="AL232" i="1"/>
  <c r="AL640" i="1"/>
  <c r="AL768" i="1"/>
  <c r="AL693" i="1"/>
  <c r="AL327" i="1"/>
  <c r="AL504" i="1"/>
  <c r="AL446" i="1"/>
  <c r="AL600" i="1"/>
  <c r="AL914" i="1"/>
  <c r="AL291" i="1"/>
  <c r="AL1199" i="1"/>
  <c r="AL824" i="1"/>
  <c r="AL790" i="1"/>
  <c r="AL933" i="1"/>
  <c r="AL1234" i="1"/>
  <c r="AL16" i="1"/>
  <c r="AL1308" i="1"/>
  <c r="AL1146" i="1"/>
  <c r="AL1024" i="1"/>
  <c r="AL935" i="1"/>
  <c r="AL71" i="1"/>
  <c r="AL826" i="1"/>
  <c r="AL90" i="1"/>
  <c r="AL584" i="1"/>
  <c r="AL1201" i="1"/>
  <c r="AL365" i="1"/>
  <c r="AL1164" i="1"/>
  <c r="AL1074" i="1"/>
  <c r="AL1216" i="1"/>
  <c r="AL712" i="1"/>
  <c r="AL828" i="1"/>
  <c r="AL62" i="1"/>
  <c r="AL1324" i="1"/>
  <c r="AL888" i="1"/>
  <c r="AL1236" i="1"/>
  <c r="AL1066" i="1"/>
  <c r="AL822" i="1"/>
  <c r="AL1231" i="1"/>
  <c r="AL494" i="1"/>
  <c r="AL54" i="1"/>
  <c r="AL872" i="1"/>
  <c r="AL1252" i="1"/>
  <c r="AL791" i="1"/>
  <c r="AL1091" i="1"/>
  <c r="AL1178" i="1"/>
  <c r="AL1056" i="1"/>
  <c r="AL301" i="1"/>
  <c r="AL14" i="1"/>
  <c r="AL1196" i="1"/>
  <c r="AL463" i="1"/>
  <c r="AL1269" i="1"/>
  <c r="AL970" i="1"/>
  <c r="AL989" i="1"/>
  <c r="AL1301" i="1"/>
  <c r="AL912" i="1"/>
  <c r="AL657" i="1"/>
  <c r="AL198" i="1"/>
  <c r="AL1149" i="1"/>
  <c r="AL1042" i="1"/>
  <c r="AL462" i="1"/>
  <c r="AL839" i="1"/>
  <c r="AL1039" i="1"/>
  <c r="AL1106" i="1"/>
  <c r="AL975" i="1"/>
  <c r="AL774" i="1"/>
  <c r="AL1258" i="1"/>
  <c r="AL1101" i="1"/>
  <c r="AL1123" i="1"/>
  <c r="AL1224" i="1"/>
  <c r="AL598" i="1"/>
  <c r="AL1210" i="1"/>
  <c r="AL832" i="1"/>
  <c r="AL326" i="1"/>
  <c r="AL807" i="1"/>
  <c r="AL847" i="1"/>
  <c r="AL800" i="1"/>
  <c r="AL1188" i="1"/>
  <c r="AL542" i="1"/>
  <c r="AL1226" i="1"/>
  <c r="AL942" i="1"/>
  <c r="AL821" i="1"/>
  <c r="AL1266" i="1"/>
  <c r="AL1180" i="1"/>
  <c r="AL550" i="1"/>
  <c r="AL6" i="1"/>
  <c r="AL509" i="1"/>
  <c r="AL1291" i="1"/>
  <c r="AL70" i="1"/>
  <c r="AL911" i="1"/>
  <c r="AL1013" i="1"/>
  <c r="AL608" i="1"/>
  <c r="AL1053" i="1"/>
  <c r="AL726" i="1"/>
  <c r="AL1141" i="1"/>
  <c r="AL720" i="1"/>
  <c r="AL1275" i="1"/>
  <c r="AL295" i="1"/>
  <c r="AL1151" i="1"/>
  <c r="AL24" i="1"/>
  <c r="AL471" i="1"/>
  <c r="AL119" i="1"/>
  <c r="AL493" i="1"/>
  <c r="AL1257" i="1"/>
  <c r="AL1040" i="1"/>
  <c r="AL798" i="1"/>
  <c r="AL260" i="1"/>
  <c r="AL1095" i="1"/>
  <c r="AL1096" i="1"/>
  <c r="AL1163" i="1"/>
  <c r="AL1185" i="1"/>
  <c r="AL590" i="1"/>
  <c r="AL152" i="1"/>
  <c r="AL1277" i="1"/>
  <c r="AL333" i="1"/>
  <c r="AL66" i="1"/>
  <c r="AL1295" i="1"/>
  <c r="AL973" i="1"/>
  <c r="AL760" i="1"/>
  <c r="AL718" i="1"/>
  <c r="AL280" i="1"/>
  <c r="AL1037" i="1"/>
  <c r="AL93" i="1"/>
  <c r="AL1193" i="1"/>
  <c r="AL269" i="1"/>
  <c r="AL160" i="1"/>
  <c r="AL909" i="1"/>
  <c r="AL996" i="1"/>
  <c r="AL1321" i="1"/>
  <c r="AL631" i="1"/>
  <c r="AL1047" i="1"/>
  <c r="AL624" i="1"/>
  <c r="AL414" i="1"/>
  <c r="AL878" i="1"/>
  <c r="AL1227" i="1"/>
  <c r="AL527" i="1"/>
  <c r="AL517" i="1"/>
  <c r="AL1156" i="1"/>
  <c r="AL686" i="1"/>
  <c r="AL1132" i="1"/>
  <c r="AL416" i="1"/>
  <c r="AL215" i="1"/>
  <c r="AL1303" i="1"/>
  <c r="AL1061" i="1"/>
  <c r="AL1136" i="1"/>
  <c r="AL480" i="1"/>
  <c r="AL254" i="1"/>
  <c r="AL806" i="1"/>
  <c r="AL1052" i="1"/>
  <c r="AL88" i="1"/>
  <c r="AL95" i="1"/>
  <c r="AL124" i="1"/>
  <c r="AL1029" i="1"/>
  <c r="AL567" i="1"/>
  <c r="AL336" i="1"/>
  <c r="AL536" i="1"/>
  <c r="AL680" i="1"/>
  <c r="AL328" i="1"/>
  <c r="AL253" i="1"/>
  <c r="AL352" i="1"/>
  <c r="AL635" i="1"/>
  <c r="AL1170" i="1"/>
  <c r="AL255" i="1"/>
  <c r="AL954" i="1"/>
  <c r="AL582" i="1"/>
  <c r="AL7" i="1"/>
  <c r="AL1184" i="1"/>
  <c r="AL1194" i="1"/>
  <c r="AL646" i="1"/>
  <c r="AL592" i="1"/>
  <c r="AL792" i="1"/>
  <c r="AL1155" i="1"/>
  <c r="AL182" i="1"/>
  <c r="AL1208" i="1"/>
  <c r="AL1004" i="1"/>
  <c r="AL1255" i="1"/>
  <c r="AL694" i="1"/>
  <c r="AL1093" i="1"/>
  <c r="AL1108" i="1"/>
  <c r="AL1256" i="1"/>
  <c r="AL951" i="1"/>
  <c r="AL1237" i="1"/>
  <c r="AL87" i="1"/>
  <c r="AL1092" i="1"/>
  <c r="AL96" i="1"/>
  <c r="AL223" i="1"/>
  <c r="AL1245" i="1"/>
  <c r="AL48" i="1"/>
  <c r="AL128" i="1"/>
  <c r="AL415" i="1"/>
  <c r="AL727" i="1"/>
  <c r="AL799" i="1"/>
  <c r="AL1000" i="1"/>
  <c r="AL766" i="1"/>
  <c r="AL1134" i="1"/>
  <c r="AL688" i="1"/>
  <c r="AL1192" i="1"/>
  <c r="AL454" i="1"/>
  <c r="AL1209" i="1"/>
  <c r="AL1325" i="1"/>
  <c r="AL920" i="1"/>
  <c r="AL376" i="1"/>
  <c r="AL1079" i="1"/>
  <c r="AL848" i="1"/>
  <c r="AL1306" i="1"/>
  <c r="AL1243" i="1"/>
  <c r="AL191" i="1"/>
  <c r="AL535" i="1"/>
  <c r="AL40" i="1"/>
  <c r="AL1020" i="1"/>
  <c r="AL245" i="1"/>
  <c r="AL1279" i="1"/>
  <c r="AL1176" i="1"/>
  <c r="AL574" i="1"/>
  <c r="AL247" i="1"/>
  <c r="AL1031" i="1"/>
  <c r="AL350" i="1"/>
  <c r="AL311" i="1"/>
  <c r="AL1104" i="1"/>
  <c r="AL1010" i="1"/>
  <c r="AL1330" i="1"/>
  <c r="AL710" i="1"/>
  <c r="AL1063" i="1"/>
  <c r="AL470" i="1"/>
  <c r="AL278" i="1"/>
  <c r="AL286" i="1"/>
  <c r="AL272" i="1"/>
  <c r="AL984" i="1"/>
  <c r="AL1274" i="1"/>
  <c r="AL526" i="1"/>
  <c r="AL816" i="1"/>
  <c r="AL56" i="1"/>
  <c r="AL606" i="1"/>
  <c r="AL599" i="1"/>
  <c r="AL1051" i="1"/>
  <c r="AL648" i="1"/>
  <c r="AL928" i="1"/>
  <c r="AL735" i="1"/>
  <c r="AL629" i="1"/>
  <c r="AL439" i="1"/>
  <c r="AL925" i="1"/>
  <c r="AL1239" i="1"/>
  <c r="AL496" i="1"/>
  <c r="AL1289" i="1"/>
  <c r="AL136" i="1"/>
  <c r="AL742" i="1"/>
  <c r="AL1200" i="1"/>
  <c r="AL342" i="1"/>
  <c r="AL1143" i="1"/>
  <c r="AL478" i="1"/>
  <c r="AL1248" i="1"/>
  <c r="AL358" i="1"/>
  <c r="AL264" i="1"/>
  <c r="AL1116" i="1"/>
  <c r="AL230" i="1"/>
  <c r="AL31" i="1"/>
  <c r="AL400" i="1"/>
  <c r="AL422" i="1"/>
  <c r="AL129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<sst xmlns="http://schemas.openxmlformats.org/spreadsheetml/2006/main" count="6722" uniqueCount="66">
  <si>
    <t>Neurology &amp; Neurosurgery</t>
  </si>
  <si>
    <t>General Medicine</t>
  </si>
  <si>
    <t>Paediatric (incl Paed surgery)</t>
  </si>
  <si>
    <t>Gastroenterology</t>
  </si>
  <si>
    <t>General Surgery</t>
  </si>
  <si>
    <t>Nephrology</t>
  </si>
  <si>
    <t>Cardiology &amp; Cardiothoracic</t>
  </si>
  <si>
    <t>Others</t>
  </si>
  <si>
    <t>Oncology</t>
  </si>
  <si>
    <t>Obstetric/Gynecology</t>
  </si>
  <si>
    <t>Orthopaedic</t>
  </si>
  <si>
    <t>Urology</t>
  </si>
  <si>
    <t>Plastic surgery</t>
  </si>
  <si>
    <t>ENT</t>
  </si>
  <si>
    <t>Speciality</t>
  </si>
  <si>
    <t>Dis Date</t>
  </si>
  <si>
    <t>LOS</t>
  </si>
  <si>
    <t>FEMALE</t>
  </si>
  <si>
    <t>MALE</t>
  </si>
  <si>
    <t>Age</t>
  </si>
  <si>
    <t>Gender</t>
  </si>
  <si>
    <t>Admit datetime</t>
  </si>
  <si>
    <t>Discharge datetime</t>
  </si>
  <si>
    <t>UHID NO(DUMMY)</t>
  </si>
  <si>
    <t>Payer Type</t>
  </si>
  <si>
    <t xml:space="preserve"> Random No.</t>
  </si>
  <si>
    <t>TPA</t>
  </si>
  <si>
    <t>CASH</t>
  </si>
  <si>
    <t>COR</t>
  </si>
  <si>
    <t xml:space="preserve"> NORMAL DELAYS HOURS</t>
  </si>
  <si>
    <t>YES</t>
  </si>
  <si>
    <t>NO</t>
  </si>
  <si>
    <t xml:space="preserve"> DISCHARGE PLAN TIME</t>
  </si>
  <si>
    <t xml:space="preserve"> EXCEPTION FLAG</t>
  </si>
  <si>
    <t>EXTRA DELAY HOURS</t>
  </si>
  <si>
    <t>DISCHARGE VACATE TIME</t>
  </si>
  <si>
    <t>Average LOS</t>
  </si>
  <si>
    <t>CARDIOLOGY AND CARDIOTHORACIC</t>
  </si>
  <si>
    <t>GASTROENTEROLOGY</t>
  </si>
  <si>
    <t>GENERAL MEDICINE</t>
  </si>
  <si>
    <t>GENERAL SURGERY</t>
  </si>
  <si>
    <t>NEPHROLOGY</t>
  </si>
  <si>
    <t>NEUROLOGY &amp;  NEUROSURGERY</t>
  </si>
  <si>
    <t>OBSTETRIC/GYNECOLOGY</t>
  </si>
  <si>
    <t>ONCOLOGY</t>
  </si>
  <si>
    <t>ORTHOPAEDIC</t>
  </si>
  <si>
    <t>OTHERS</t>
  </si>
  <si>
    <t>PAEDIATRIC(INCL PAED SURGERY)</t>
  </si>
  <si>
    <t>PLASTIC SURGERY</t>
  </si>
  <si>
    <t>UROLOGY</t>
  </si>
  <si>
    <t>Minor Delay</t>
  </si>
  <si>
    <t>Normal</t>
  </si>
  <si>
    <t>Major Delay</t>
  </si>
  <si>
    <t>MULTIPLE EXCEPTION LEVELS</t>
  </si>
  <si>
    <t>Plan Date</t>
  </si>
  <si>
    <t>ADMISSION DATE</t>
  </si>
  <si>
    <t>DELAY HRS</t>
  </si>
  <si>
    <t>REASON DELAY</t>
  </si>
  <si>
    <t>Median LOS</t>
  </si>
  <si>
    <t xml:space="preserve"> Normal Discharge</t>
  </si>
  <si>
    <t>TAT TIME</t>
  </si>
  <si>
    <t>NEW DELAY REASONS</t>
  </si>
  <si>
    <t>HELPER DELAY COLUMN</t>
  </si>
  <si>
    <t>Is_Readmission_30D</t>
  </si>
  <si>
    <t>Admission_Type</t>
  </si>
  <si>
    <t xml:space="preserve"> Ward_Type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</si>
</sst>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/d/yyyy\ h:mm:ss\ AM/PM"/>
    <numFmt numFmtId="165" formatCode="[$-10409]h\.mm\.ss\ AM/PM;@"/>
    <numFmt numFmtId="166" formatCode="dd/mmm/yyyy"/>
    <numFmt numFmtId="167" formatCode="[$-F400]h:mm:ss\ AM/PM"/>
  </numFmts>
  <fonts count="7" x14ac:knownFonts="1">
    <font>
      <sz val="11"/>
      <color theme="1"/>
      <name val="Aptos Narrow"/>
      <family val="2"/>
      <scheme val="minor"/>
    </font>
    <font>
      <sz val="10"/>
      <color rgb="FF333333"/>
      <name val="Bookman Old Style"/>
      <family val="1"/>
    </font>
    <font>
      <sz val="10"/>
      <color rgb="FF333333"/>
      <name val="Bookman Old Style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8080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1" fillId="2" borderId="1" xfId="0" applyNumberFormat="1" applyFont="1" applyFill="1" applyBorder="1" applyAlignment="1">
      <alignment horizontal="center" vertical="center" readingOrder="1"/>
    </xf>
    <xf numFmtId="164" fontId="2" fillId="2" borderId="1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15" fontId="1" fillId="2" borderId="1" xfId="0" applyNumberFormat="1" applyFont="1" applyFill="1" applyBorder="1" applyAlignment="1">
      <alignment horizontal="center" vertical="center" readingOrder="1"/>
    </xf>
    <xf numFmtId="15" fontId="2" fillId="2" borderId="1" xfId="0" applyNumberFormat="1" applyFont="1" applyFill="1" applyBorder="1" applyAlignment="1">
      <alignment horizontal="center" vertical="center" readingOrder="1"/>
    </xf>
    <xf numFmtId="0" fontId="4" fillId="4" borderId="1" xfId="0" applyFont="1" applyFill="1" applyBorder="1" applyAlignment="1">
      <alignment horizontal="center" vertical="center" readingOrder="1"/>
    </xf>
    <xf numFmtId="0" fontId="3" fillId="3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4" borderId="3" xfId="0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readingOrder="1"/>
    </xf>
    <xf numFmtId="164" fontId="1" fillId="2" borderId="4" xfId="0" applyNumberFormat="1" applyFont="1" applyFill="1" applyBorder="1" applyAlignment="1">
      <alignment horizontal="center" vertical="center" readingOrder="1"/>
    </xf>
    <xf numFmtId="164" fontId="2" fillId="2" borderId="4" xfId="0" applyNumberFormat="1" applyFont="1" applyFill="1" applyBorder="1" applyAlignment="1">
      <alignment horizontal="center" vertical="center" readingOrder="1"/>
    </xf>
    <xf numFmtId="0" fontId="5" fillId="3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3" fillId="3" borderId="2" xfId="0" applyFont="1" applyFill="1" applyBorder="1"/>
    <xf numFmtId="0" fontId="0" fillId="0" borderId="2" xfId="0" applyBorder="1"/>
    <xf numFmtId="15" fontId="1" fillId="2" borderId="3" xfId="0" applyNumberFormat="1" applyFont="1" applyFill="1" applyBorder="1" applyAlignment="1">
      <alignment horizontal="center" vertical="center" readingOrder="1"/>
    </xf>
    <xf numFmtId="15" fontId="2" fillId="2" borderId="3" xfId="0" applyNumberFormat="1" applyFont="1" applyFill="1" applyBorder="1" applyAlignment="1">
      <alignment horizontal="center" vertical="center" readingOrder="1"/>
    </xf>
    <xf numFmtId="165" fontId="0" fillId="0" borderId="2" xfId="0" applyNumberFormat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2" fontId="3" fillId="5" borderId="2" xfId="0" applyNumberFormat="1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6" fontId="6" fillId="3" borderId="2" xfId="0" applyNumberFormat="1" applyFon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21" fontId="0" fillId="0" borderId="0" xfId="0" applyNumberFormat="1"/>
    <xf numFmtId="167" fontId="0" fillId="0" borderId="0" xfId="0" applyNumberFormat="1"/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0886-17CC-4355-80F4-ED254008311B}">
  <dimension ref="A1:AO1335"/>
  <sheetViews>
    <sheetView tabSelected="1" topLeftCell="AF1" zoomScale="91" workbookViewId="0">
      <selection activeCell="AQ14" sqref="AQ14"/>
    </sheetView>
  </sheetViews>
  <sheetFormatPr defaultRowHeight="14.4" x14ac:dyDescent="0.3"/>
  <cols>
    <col min="1" max="1" width="18.77734375" style="21" customWidth="1"/>
    <col min="2" max="2" width="13.33203125" customWidth="1"/>
    <col min="3" max="3" width="19.33203125" customWidth="1"/>
    <col min="4" max="4" width="21.88671875" style="13" customWidth="1"/>
    <col min="5" max="5" width="27.21875" style="13" customWidth="1"/>
    <col min="6" max="6" width="29.33203125" style="3" customWidth="1"/>
    <col min="7" max="7" width="21.109375" style="3" customWidth="1"/>
    <col min="8" max="8" width="31.77734375" style="3" customWidth="1"/>
    <col min="9" max="9" width="14.5546875" style="3" customWidth="1"/>
    <col min="10" max="10" width="30.88671875" style="24" customWidth="1"/>
    <col min="11" max="11" width="33.5546875" style="24" customWidth="1"/>
    <col min="12" max="12" width="33.44140625" style="29" customWidth="1"/>
    <col min="13" max="13" width="43.77734375" style="31" customWidth="1"/>
    <col min="14" max="14" width="8.88671875" style="31"/>
    <col min="15" max="15" width="49" style="31" customWidth="1"/>
    <col min="16" max="16" width="38.88671875" style="31" customWidth="1"/>
    <col min="17" max="17" width="11.5546875" style="3" customWidth="1"/>
    <col min="18" max="18" width="35.88671875" style="3" customWidth="1"/>
    <col min="19" max="19" width="50.44140625" style="3" customWidth="1"/>
    <col min="20" max="20" width="21.88671875" customWidth="1"/>
    <col min="21" max="21" width="18.33203125" style="3" customWidth="1"/>
    <col min="22" max="22" width="19.21875" style="3" customWidth="1"/>
    <col min="23" max="23" width="26.109375" style="3" customWidth="1"/>
    <col min="24" max="24" width="28.77734375" style="3" customWidth="1"/>
    <col min="26" max="26" width="20.6640625" style="39" customWidth="1"/>
    <col min="32" max="32" width="32.21875" customWidth="1"/>
    <col min="34" max="34" width="21.88671875" style="13" customWidth="1"/>
    <col min="36" max="36" width="39" customWidth="1"/>
    <col min="38" max="38" width="36.77734375" customWidth="1"/>
    <col min="39" max="39" width="19.44140625" customWidth="1"/>
    <col min="40" max="40" width="14.77734375" bestFit="1" customWidth="1"/>
    <col min="41" max="41" width="14" customWidth="1"/>
  </cols>
  <sheetData>
    <row r="1" spans="1:41" ht="15.6" x14ac:dyDescent="0.3">
      <c r="A1" s="20" t="s">
        <v>23</v>
      </c>
      <c r="B1" s="14" t="s">
        <v>19</v>
      </c>
      <c r="C1" s="9" t="s">
        <v>20</v>
      </c>
      <c r="D1" s="12" t="s">
        <v>24</v>
      </c>
      <c r="E1" s="17" t="s">
        <v>14</v>
      </c>
      <c r="F1" s="14" t="s">
        <v>21</v>
      </c>
      <c r="G1" s="7" t="s">
        <v>55</v>
      </c>
      <c r="H1" s="6" t="s">
        <v>22</v>
      </c>
      <c r="I1" s="7" t="s">
        <v>15</v>
      </c>
      <c r="J1" s="25" t="s">
        <v>32</v>
      </c>
      <c r="K1" s="25" t="s">
        <v>35</v>
      </c>
      <c r="L1" s="28" t="s">
        <v>54</v>
      </c>
      <c r="M1" s="30" t="s">
        <v>57</v>
      </c>
      <c r="N1" s="30" t="s">
        <v>16</v>
      </c>
      <c r="O1" s="30" t="s">
        <v>36</v>
      </c>
      <c r="P1" s="30" t="s">
        <v>58</v>
      </c>
      <c r="Q1" s="7" t="s">
        <v>25</v>
      </c>
      <c r="R1" s="7" t="s">
        <v>56</v>
      </c>
      <c r="S1" s="7" t="s">
        <v>29</v>
      </c>
      <c r="T1" s="34" t="s">
        <v>33</v>
      </c>
      <c r="U1" s="7" t="s">
        <v>34</v>
      </c>
      <c r="V1" s="7" t="s">
        <v>59</v>
      </c>
      <c r="W1" s="35" t="s">
        <v>53</v>
      </c>
      <c r="X1" s="7" t="s">
        <v>60</v>
      </c>
      <c r="Z1" s="35" t="s">
        <v>62</v>
      </c>
      <c r="AF1" s="7"/>
      <c r="AH1" s="12"/>
      <c r="AJ1" s="7"/>
      <c r="AL1" s="7" t="s">
        <v>61</v>
      </c>
      <c r="AM1" s="7" t="s">
        <v>63</v>
      </c>
      <c r="AN1" t="s">
        <v>64</v>
      </c>
      <c r="AO1" s="7" t="s">
        <v>65</v>
      </c>
    </row>
    <row r="2" spans="1:41" x14ac:dyDescent="0.3">
      <c r="A2" s="21" t="str">
        <f>"UHID-"&amp;TEXT(ROW(A2)-1,"00000")</f>
        <v>UHID-00001</v>
      </c>
      <c r="B2" s="18">
        <v>81</v>
      </c>
      <c r="C2" s="10" t="s">
        <v>17</v>
      </c>
      <c r="D2" s="13" t="s">
        <v>26</v>
      </c>
      <c r="E2" s="13" t="s">
        <v>6</v>
      </c>
      <c r="F2" s="15">
        <v>46172.536650995396</v>
      </c>
      <c r="G2" s="4">
        <v>46172</v>
      </c>
      <c r="H2" s="1">
        <v>46174.741857731497</v>
      </c>
      <c r="I2" s="22">
        <v>46174</v>
      </c>
      <c r="J2" s="24">
        <f t="shared" ref="J2:J65" si="0">I2+K2-((S2+U2)/24)</f>
        <v>46174.512448243557</v>
      </c>
      <c r="K2" s="24">
        <f t="shared" ref="K2:K65" si="1">MOD(H2,1)</f>
        <v>0.74185773149656598</v>
      </c>
      <c r="L2" s="29">
        <f>IF(J2&gt;MOD(H2,1),INT(H2)-1,INT(H2))</f>
        <v>46173</v>
      </c>
      <c r="M2" s="27" t="str">
        <f>IF(X2="","",IF(X2&lt;=TIME(2,0,0),"Normal",IF(X2&lt;=TIME(3,0,0),IF(D2="CASH","Bill Settlement Delay","Doctor Round Delay/Report Delay"),IF(X2&lt;=TIME(5,0,0),IF(D2="TPA","TPA Approval Delay","Medication Change"),IF(D2="TPA","Health Deterioration/TPA Approval Delay","Health Deterioration")))))</f>
        <v>Health Deterioration/TPA Approval Delay</v>
      </c>
      <c r="N2" s="31">
        <f t="shared" ref="N2:N65" si="2">I2-G2</f>
        <v>2</v>
      </c>
      <c r="O2" s="27"/>
      <c r="Q2" s="8">
        <v>0.80239602687045541</v>
      </c>
      <c r="R2" s="8" t="str">
        <f t="shared" ref="R2:R65" si="3">IF(X2="","",IF(X2&lt;=TIME(2,0,0),"On Time",IF(X2&lt;=TIME(3,0,0),"Minor Delay",IF(X2&lt;=TIME(5,0,0),"Major Delay","Critical Delay"))))</f>
        <v>Critical Delay</v>
      </c>
      <c r="S2" s="33">
        <v>3.5058277104786324</v>
      </c>
      <c r="T2" t="s">
        <v>31</v>
      </c>
      <c r="U2" s="3">
        <v>2</v>
      </c>
      <c r="V2" s="3" t="str">
        <f>IF(T2="NO","Normal","")</f>
        <v>Normal</v>
      </c>
      <c r="W2" s="3" t="s">
        <v>50</v>
      </c>
      <c r="X2" s="32">
        <f t="shared" ref="X2:X65" si="4">MOD(K2-J2,1)</f>
        <v>0.22940948793984717</v>
      </c>
      <c r="Y2" s="37">
        <f>X2-AC2</f>
        <v>0.10440948793984717</v>
      </c>
      <c r="Z2" s="38">
        <f>IF(X2 &gt; TIME(3,0,0), X2 - TIME(3,0,0), 0)</f>
        <v>0.10440948793984717</v>
      </c>
      <c r="AC2" s="36">
        <v>0.125</v>
      </c>
      <c r="AL2" t="str">
        <f>IF(X2="","",IF(X2&lt;=TIME(2,0,0),"Normal",IF(X2&lt;=TIME(3,0,0),IF(D2="CASH","Bill Settlement Delay","Doctor Round Delay/Report Delay"),IF(Z2&lt;=TIME(2,0,0),IF(D2="TPA","TPA Approval Delay","Medication Change"),IF(D2="TPA","Health Deterioration/TPA Approval Delay","Health Deterioration")))))</f>
        <v>Health Deterioration/TPA Approval Delay</v>
      </c>
      <c r="AM2" t="str">
        <f>IF(OR(AND(B2&gt;65, R2="Critical Delay"), N2&gt;10), "Yes", "No")</f>
        <v>Yes</v>
      </c>
      <c r="AN2" t="str">
        <f>IF(E2="Cardiology &amp; Cardiothoracic", IF(MOD(ROW(),10)&lt;3, "Emergency", "Elective"), IF(E2="Neurology &amp; Neurosurgery", IF(MOD(ROW(),10)&lt;4, "Emergency", "Elective"), IF(D2="COR", IF(MOD(ROW(),20)&lt;7, "Emergency", "Elective"), IF(OR(R2="Critical Delay", N2&gt;=7), "Emergency", "Elective"))))</f>
        <v>Emergency</v>
      </c>
      <c r="AO2" t="str">
        <f>IF(OR(N2&gt;6, AND(E2="Cardiology &amp; Cardiothoracic", MOD(ROW(),10)&lt;4), AND(E2="Neurology &amp; Neurosurgery", MOD(ROW(),10)&lt;6)), "ICU", IF(OR(N2&gt;3, AND(E2="Cardiology &amp; Cardiothoracic", MOD(ROW(),10)&lt;6), E2="Neurology &amp; Neurosurgery"), "HDU", "General Ward"))</f>
        <v>ICU</v>
      </c>
    </row>
    <row r="3" spans="1:41" x14ac:dyDescent="0.3">
      <c r="A3" s="21" t="str">
        <f t="shared" ref="A3:A66" si="5">"UHID-"&amp;TEXT(ROW(A3)-1,"00000")</f>
        <v>UHID-00002</v>
      </c>
      <c r="B3" s="18">
        <v>61</v>
      </c>
      <c r="C3" s="10" t="s">
        <v>17</v>
      </c>
      <c r="D3" s="13" t="s">
        <v>27</v>
      </c>
      <c r="E3" s="13" t="s">
        <v>6</v>
      </c>
      <c r="F3" s="15">
        <v>46168.704211955999</v>
      </c>
      <c r="G3" s="4">
        <v>46168</v>
      </c>
      <c r="H3" s="1">
        <v>46174.812567372697</v>
      </c>
      <c r="I3" s="22">
        <v>46174</v>
      </c>
      <c r="J3" s="24">
        <f t="shared" si="0"/>
        <v>46174.655557631238</v>
      </c>
      <c r="K3" s="24">
        <f t="shared" si="1"/>
        <v>0.81256737269723089</v>
      </c>
      <c r="L3" s="29">
        <f t="shared" ref="L3:L66" si="6">IF(J3&gt;MOD(H3,1),INT(H3)-1,INT(H3))</f>
        <v>46173</v>
      </c>
      <c r="M3" s="27" t="str">
        <f t="shared" ref="M3:M65" si="7">IF(X3="","",IF(X3&lt;=TIME(2,0,0),"Normal",IF(X3&lt;=TIME(3,0,0),IF(D3="CASH","Bill Settlement Delay","Doctor Round Delay/Report Delay"),IF(X3&lt;=TIME(5,0,0),IF(D3="TPA","TPA Approval Delay","Medication Change"),IF(D3="TPA","Health Deterioration/TPA Approval Delay","Health Deterioration")))))</f>
        <v>Medication Change</v>
      </c>
      <c r="N3" s="31">
        <f t="shared" si="2"/>
        <v>6</v>
      </c>
      <c r="O3" s="27"/>
      <c r="Q3" s="8">
        <v>0.44570603546791643</v>
      </c>
      <c r="R3" s="8" t="str">
        <f t="shared" si="3"/>
        <v>Major Delay</v>
      </c>
      <c r="S3" s="33">
        <v>1.768233794990306</v>
      </c>
      <c r="T3" t="s">
        <v>31</v>
      </c>
      <c r="U3" s="3">
        <v>2</v>
      </c>
      <c r="V3" s="3" t="str">
        <f t="shared" ref="V3:V66" si="8">IF(T3="NO","Normal","")</f>
        <v>Normal</v>
      </c>
      <c r="W3" s="3" t="s">
        <v>50</v>
      </c>
      <c r="X3" s="32">
        <f t="shared" si="4"/>
        <v>0.1570097414587508</v>
      </c>
      <c r="Z3" s="38">
        <f t="shared" ref="Z3:Z66" si="9">IF(X3 &gt; TIME(3,0,0), X3 - TIME(3,0,0), 0)</f>
        <v>3.2009741458750796E-2</v>
      </c>
      <c r="AC3" s="36">
        <v>0.125</v>
      </c>
      <c r="AL3" t="str">
        <f t="shared" ref="AL3:AL66" si="10">IF(X3="","",IF(X3&lt;=TIME(2,0,0),"Normal",IF(X3&lt;=TIME(3,0,0),IF(D3="CASH","Bill Settlement Delay","Doctor Round Delay/Report Delay"),IF(Z3&lt;=TIME(2,0,0),IF(D3="TPA","TPA Approval Delay","Medication Change"),IF(D3="TPA","Health Deterioration/TPA Approval Delay","Health Deterioration")))))</f>
        <v>Medication Change</v>
      </c>
      <c r="AM3" t="str">
        <f t="shared" ref="AM3:AM66" si="11">IF(OR(AND(B3&gt;65, R3="Critical Delay"), N3&gt;10), "Yes", "No")</f>
        <v>No</v>
      </c>
      <c r="AN3" t="str">
        <f t="shared" ref="AN3:AN66" si="12">IF(E3="Cardiology &amp; Cardiothoracic", IF(MOD(ROW(),10)&lt;3, "Emergency", "Elective"), IF(E3="Neurology &amp; Neurosurgery", IF(MOD(ROW(),10)&lt;4, "Emergency", "Elective"), IF(D3="COR", IF(MOD(ROW(),20)&lt;7, "Emergency", "Elective"), IF(OR(R3="Critical Delay", N3&gt;=7), "Emergency", "Elective"))))</f>
        <v>Elective</v>
      </c>
      <c r="AO3" t="str">
        <f t="shared" ref="AO3:AO66" si="13">IF(OR(N3&gt;6, AND(E3="Cardiology &amp; Cardiothoracic", MOD(ROW(),10)&lt;4), AND(E3="Neurology &amp; Neurosurgery", MOD(ROW(),10)&lt;6)), "ICU", IF(OR(N3&gt;3, AND(E3="Cardiology &amp; Cardiothoracic", MOD(ROW(),10)&lt;6), E3="Neurology &amp; Neurosurgery"), "HDU", "General Ward"))</f>
        <v>ICU</v>
      </c>
    </row>
    <row r="4" spans="1:41" x14ac:dyDescent="0.3">
      <c r="A4" s="21" t="str">
        <f t="shared" si="5"/>
        <v>UHID-00003</v>
      </c>
      <c r="B4" s="18">
        <v>59</v>
      </c>
      <c r="C4" s="10" t="s">
        <v>17</v>
      </c>
      <c r="D4" s="13" t="s">
        <v>27</v>
      </c>
      <c r="E4" s="13" t="s">
        <v>6</v>
      </c>
      <c r="F4" s="15">
        <v>46174.420819340303</v>
      </c>
      <c r="G4" s="4">
        <v>46174</v>
      </c>
      <c r="H4" s="1">
        <v>46174.729795601903</v>
      </c>
      <c r="I4" s="22">
        <v>46174</v>
      </c>
      <c r="J4" s="24">
        <f t="shared" si="0"/>
        <v>46174.659923951585</v>
      </c>
      <c r="K4" s="24">
        <f t="shared" si="1"/>
        <v>0.72979560190287884</v>
      </c>
      <c r="L4" s="29">
        <f t="shared" si="6"/>
        <v>46173</v>
      </c>
      <c r="M4" s="27" t="str">
        <f t="shared" si="7"/>
        <v>Normal</v>
      </c>
      <c r="N4" s="31">
        <f t="shared" si="2"/>
        <v>0</v>
      </c>
      <c r="O4" s="26" t="s">
        <v>37</v>
      </c>
      <c r="P4" s="26" t="s">
        <v>37</v>
      </c>
      <c r="Q4" s="8">
        <v>0.45656904295199097</v>
      </c>
      <c r="R4" s="8" t="str">
        <f t="shared" si="3"/>
        <v>On Time</v>
      </c>
      <c r="S4" s="33">
        <v>1.6769196076122252</v>
      </c>
      <c r="T4" t="s">
        <v>31</v>
      </c>
      <c r="U4" s="3">
        <v>0</v>
      </c>
      <c r="V4" s="3" t="str">
        <f t="shared" si="8"/>
        <v>Normal</v>
      </c>
      <c r="W4" s="3" t="s">
        <v>51</v>
      </c>
      <c r="X4" s="32">
        <f t="shared" si="4"/>
        <v>6.9871650317509193E-2</v>
      </c>
      <c r="Z4" s="38">
        <f t="shared" si="9"/>
        <v>0</v>
      </c>
      <c r="AC4" s="36">
        <v>0.125</v>
      </c>
      <c r="AL4" t="str">
        <f t="shared" si="10"/>
        <v>Normal</v>
      </c>
      <c r="AM4" t="str">
        <f t="shared" si="11"/>
        <v>No</v>
      </c>
      <c r="AN4" t="str">
        <f t="shared" si="12"/>
        <v>Elective</v>
      </c>
      <c r="AO4" t="str">
        <f t="shared" si="13"/>
        <v>HDU</v>
      </c>
    </row>
    <row r="5" spans="1:41" x14ac:dyDescent="0.3">
      <c r="A5" s="21" t="str">
        <f t="shared" si="5"/>
        <v>UHID-00004</v>
      </c>
      <c r="B5" s="18">
        <v>59</v>
      </c>
      <c r="C5" s="10" t="s">
        <v>17</v>
      </c>
      <c r="D5" s="13" t="s">
        <v>28</v>
      </c>
      <c r="E5" s="13" t="s">
        <v>6</v>
      </c>
      <c r="F5" s="15">
        <v>46169.437482453701</v>
      </c>
      <c r="G5" s="4">
        <v>46169</v>
      </c>
      <c r="H5" s="1">
        <v>46175.569035405097</v>
      </c>
      <c r="I5" s="22">
        <v>46175</v>
      </c>
      <c r="J5" s="24">
        <f t="shared" si="0"/>
        <v>46175.389745645341</v>
      </c>
      <c r="K5" s="24">
        <f t="shared" si="1"/>
        <v>0.56903540509665618</v>
      </c>
      <c r="L5" s="29">
        <f t="shared" si="6"/>
        <v>46174</v>
      </c>
      <c r="M5" s="27" t="str">
        <f t="shared" si="7"/>
        <v>Medication Change</v>
      </c>
      <c r="N5" s="31">
        <f t="shared" si="2"/>
        <v>6</v>
      </c>
      <c r="O5" s="27">
        <f>AVERAGEIF(E2:E1334,"Cardiology &amp; Cardiothoracic",N2:N1334)</f>
        <v>1.8596491228070176</v>
      </c>
      <c r="P5" s="31" cm="1">
        <f t="array" ref="P5">MEDIAN(IF(E2:E1334="Cardiology &amp; Cardiothoracic",N2:N1334))</f>
        <v>1</v>
      </c>
      <c r="Q5" s="8">
        <v>0.9303591061747174</v>
      </c>
      <c r="R5" s="8" t="str">
        <f t="shared" si="3"/>
        <v>Major Delay</v>
      </c>
      <c r="S5" s="33">
        <v>2.3029542341605351</v>
      </c>
      <c r="T5" t="s">
        <v>31</v>
      </c>
      <c r="U5" s="3">
        <v>2</v>
      </c>
      <c r="V5" s="3" t="str">
        <f t="shared" si="8"/>
        <v>Normal</v>
      </c>
      <c r="W5" s="3" t="s">
        <v>50</v>
      </c>
      <c r="X5" s="32">
        <f t="shared" si="4"/>
        <v>0.17928975975519279</v>
      </c>
      <c r="Z5" s="38">
        <f t="shared" si="9"/>
        <v>5.428975975519279E-2</v>
      </c>
      <c r="AC5" s="36">
        <v>0.125</v>
      </c>
      <c r="AL5" t="str">
        <f t="shared" si="10"/>
        <v>Medication Change</v>
      </c>
      <c r="AM5" t="str">
        <f t="shared" si="11"/>
        <v>No</v>
      </c>
      <c r="AN5" t="str">
        <f t="shared" si="12"/>
        <v>Elective</v>
      </c>
      <c r="AO5" t="str">
        <f t="shared" si="13"/>
        <v>HDU</v>
      </c>
    </row>
    <row r="6" spans="1:41" x14ac:dyDescent="0.3">
      <c r="A6" s="21" t="str">
        <f t="shared" si="5"/>
        <v>UHID-00005</v>
      </c>
      <c r="B6" s="18">
        <v>70</v>
      </c>
      <c r="C6" s="10" t="s">
        <v>17</v>
      </c>
      <c r="D6" s="13" t="s">
        <v>26</v>
      </c>
      <c r="E6" s="13" t="s">
        <v>6</v>
      </c>
      <c r="F6" s="15">
        <v>46174.817139039398</v>
      </c>
      <c r="G6" s="4">
        <v>46174</v>
      </c>
      <c r="H6" s="1">
        <v>46175.657870034702</v>
      </c>
      <c r="I6" s="22">
        <v>46175</v>
      </c>
      <c r="J6" s="24">
        <f t="shared" si="0"/>
        <v>46175.372558249663</v>
      </c>
      <c r="K6" s="24">
        <f t="shared" si="1"/>
        <v>0.65787003470177297</v>
      </c>
      <c r="L6" s="29">
        <f t="shared" si="6"/>
        <v>46174</v>
      </c>
      <c r="M6" s="27" t="str">
        <f t="shared" si="7"/>
        <v>Health Deterioration/TPA Approval Delay</v>
      </c>
      <c r="N6" s="31">
        <f t="shared" si="2"/>
        <v>1</v>
      </c>
      <c r="O6" s="26" t="s">
        <v>13</v>
      </c>
      <c r="P6" s="26" t="s">
        <v>13</v>
      </c>
      <c r="Q6" s="8">
        <v>0.74854468670491292</v>
      </c>
      <c r="R6" s="8" t="str">
        <f t="shared" si="3"/>
        <v>Critical Delay</v>
      </c>
      <c r="S6" s="33">
        <v>3.8474828408865491</v>
      </c>
      <c r="T6" t="s">
        <v>31</v>
      </c>
      <c r="U6" s="3">
        <v>3</v>
      </c>
      <c r="V6" s="3" t="str">
        <f t="shared" si="8"/>
        <v>Normal</v>
      </c>
      <c r="W6" s="3" t="s">
        <v>50</v>
      </c>
      <c r="X6" s="32">
        <f t="shared" si="4"/>
        <v>0.2853117850390845</v>
      </c>
      <c r="Z6" s="38">
        <f t="shared" si="9"/>
        <v>0.1603117850390845</v>
      </c>
      <c r="AC6" s="36">
        <v>0.125</v>
      </c>
      <c r="AL6" t="str">
        <f t="shared" si="10"/>
        <v>Health Deterioration/TPA Approval Delay</v>
      </c>
      <c r="AM6" t="str">
        <f t="shared" si="11"/>
        <v>Yes</v>
      </c>
      <c r="AN6" t="str">
        <f t="shared" si="12"/>
        <v>Elective</v>
      </c>
      <c r="AO6" t="str">
        <f t="shared" si="13"/>
        <v>General Ward</v>
      </c>
    </row>
    <row r="7" spans="1:41" x14ac:dyDescent="0.3">
      <c r="A7" s="21" t="str">
        <f t="shared" si="5"/>
        <v>UHID-00006</v>
      </c>
      <c r="B7" s="18">
        <v>47</v>
      </c>
      <c r="C7" s="10" t="s">
        <v>18</v>
      </c>
      <c r="D7" s="13" t="s">
        <v>26</v>
      </c>
      <c r="E7" s="13" t="s">
        <v>6</v>
      </c>
      <c r="F7" s="15">
        <v>46174.456041678197</v>
      </c>
      <c r="G7" s="4">
        <v>46174</v>
      </c>
      <c r="H7" s="1">
        <v>46175.7265144907</v>
      </c>
      <c r="I7" s="22">
        <v>46175</v>
      </c>
      <c r="J7" s="24">
        <f t="shared" si="0"/>
        <v>46175.560086957143</v>
      </c>
      <c r="K7" s="24">
        <f t="shared" si="1"/>
        <v>0.72651449069962837</v>
      </c>
      <c r="L7" s="29">
        <f t="shared" si="6"/>
        <v>46174</v>
      </c>
      <c r="M7" s="27" t="str">
        <f>IF(X7="","",IF(X7&lt;=TIME(2,0,0),"Normal",IF(X7&lt;=TIME(3,0,0),IF(D7="CASH","Bill Settlement Delay","Doctor Round Delay/Report Delay"),IF(X7&lt;=TIME(5,0,0),IF(D7="TPA","TPA Approval Delay","Medication Change"),IF(D7="TPA","Health Deterioration/TPA Approval Delay","Health Deterioration")))))</f>
        <v>TPA Approval Delay</v>
      </c>
      <c r="N7" s="31">
        <f t="shared" si="2"/>
        <v>1</v>
      </c>
      <c r="O7" s="27">
        <f>AVERAGEIF(E2:E1334,"ENT",N2:N1334)</f>
        <v>2.263157894736842</v>
      </c>
      <c r="P7" s="31" cm="1">
        <f t="array" ref="P7">MEDIAN(IF(E2:E1334="ENT",N2:N1334))</f>
        <v>2</v>
      </c>
      <c r="Q7" s="8">
        <v>0.75576930698198796</v>
      </c>
      <c r="R7" s="8" t="str">
        <f t="shared" si="3"/>
        <v>Major Delay</v>
      </c>
      <c r="S7" s="33">
        <v>3.9942608054055952</v>
      </c>
      <c r="T7" t="s">
        <v>31</v>
      </c>
      <c r="U7" s="3">
        <v>0</v>
      </c>
      <c r="V7" s="3" t="str">
        <f t="shared" si="8"/>
        <v>Normal</v>
      </c>
      <c r="W7" s="3" t="s">
        <v>51</v>
      </c>
      <c r="X7" s="32">
        <f t="shared" si="4"/>
        <v>0.16642753355699824</v>
      </c>
      <c r="Z7" s="38">
        <f t="shared" si="9"/>
        <v>4.1427533556998242E-2</v>
      </c>
      <c r="AC7" s="36">
        <v>0.125</v>
      </c>
      <c r="AE7">
        <f>MAX(B2:B1334)</f>
        <v>96</v>
      </c>
      <c r="AL7" t="str">
        <f t="shared" si="10"/>
        <v>TPA Approval Delay</v>
      </c>
      <c r="AM7" t="str">
        <f t="shared" si="11"/>
        <v>No</v>
      </c>
      <c r="AN7" t="str">
        <f t="shared" si="12"/>
        <v>Elective</v>
      </c>
      <c r="AO7" t="str">
        <f t="shared" si="13"/>
        <v>General Ward</v>
      </c>
    </row>
    <row r="8" spans="1:41" x14ac:dyDescent="0.3">
      <c r="A8" s="21" t="str">
        <f t="shared" si="5"/>
        <v>UHID-00007</v>
      </c>
      <c r="B8" s="18">
        <v>64</v>
      </c>
      <c r="C8" s="10" t="s">
        <v>18</v>
      </c>
      <c r="D8" s="13" t="s">
        <v>27</v>
      </c>
      <c r="E8" s="13" t="s">
        <v>6</v>
      </c>
      <c r="F8" s="15">
        <v>46175.353018472197</v>
      </c>
      <c r="G8" s="4">
        <v>46175</v>
      </c>
      <c r="H8" s="1">
        <v>46175.783435370402</v>
      </c>
      <c r="I8" s="22">
        <v>46175</v>
      </c>
      <c r="J8" s="24">
        <f t="shared" si="0"/>
        <v>46175.302331346538</v>
      </c>
      <c r="K8" s="24">
        <f t="shared" si="1"/>
        <v>0.78343537040200317</v>
      </c>
      <c r="L8" s="29">
        <f t="shared" si="6"/>
        <v>46174</v>
      </c>
      <c r="M8" s="27" t="str">
        <f t="shared" si="7"/>
        <v>Health Deterioration</v>
      </c>
      <c r="N8" s="31">
        <f t="shared" si="2"/>
        <v>0</v>
      </c>
      <c r="O8" s="26" t="s">
        <v>38</v>
      </c>
      <c r="P8" s="26" t="s">
        <v>38</v>
      </c>
      <c r="Q8" s="8">
        <v>0.1328854881521726</v>
      </c>
      <c r="R8" s="8" t="str">
        <f t="shared" si="3"/>
        <v>Critical Delay</v>
      </c>
      <c r="S8" s="33">
        <v>1.5464965726610631</v>
      </c>
      <c r="T8" t="s">
        <v>30</v>
      </c>
      <c r="U8" s="3">
        <v>10</v>
      </c>
      <c r="V8" s="3" t="str">
        <f t="shared" si="8"/>
        <v/>
      </c>
      <c r="W8" s="3" t="s">
        <v>52</v>
      </c>
      <c r="X8" s="32">
        <f t="shared" si="4"/>
        <v>0.48110402386373607</v>
      </c>
      <c r="Z8" s="38">
        <f t="shared" si="9"/>
        <v>0.35610402386373607</v>
      </c>
      <c r="AC8" s="36">
        <v>0.125</v>
      </c>
      <c r="AL8" t="str">
        <f t="shared" si="10"/>
        <v>Health Deterioration</v>
      </c>
      <c r="AM8" t="str">
        <f t="shared" si="11"/>
        <v>No</v>
      </c>
      <c r="AN8" t="str">
        <f t="shared" si="12"/>
        <v>Elective</v>
      </c>
      <c r="AO8" t="str">
        <f t="shared" si="13"/>
        <v>General Ward</v>
      </c>
    </row>
    <row r="9" spans="1:41" x14ac:dyDescent="0.3">
      <c r="A9" s="21" t="str">
        <f t="shared" si="5"/>
        <v>UHID-00008</v>
      </c>
      <c r="B9" s="18">
        <v>40</v>
      </c>
      <c r="C9" s="10" t="s">
        <v>18</v>
      </c>
      <c r="D9" s="13" t="s">
        <v>27</v>
      </c>
      <c r="E9" s="13" t="s">
        <v>6</v>
      </c>
      <c r="F9" s="15">
        <v>46175.434743784703</v>
      </c>
      <c r="G9" s="4">
        <v>46175</v>
      </c>
      <c r="H9" s="1">
        <v>46175.7278173495</v>
      </c>
      <c r="I9" s="22">
        <v>46175</v>
      </c>
      <c r="J9" s="24">
        <f t="shared" si="0"/>
        <v>46175.674399139018</v>
      </c>
      <c r="K9" s="24">
        <f t="shared" si="1"/>
        <v>0.72781734949967358</v>
      </c>
      <c r="L9" s="29">
        <f t="shared" si="6"/>
        <v>46174</v>
      </c>
      <c r="M9" s="27" t="str">
        <f t="shared" si="7"/>
        <v>Normal</v>
      </c>
      <c r="N9" s="31">
        <f t="shared" si="2"/>
        <v>0</v>
      </c>
      <c r="O9" s="27">
        <f>AVERAGEIF(E2:E1334,"GASTROENTEROLOGY",N2:N1334)</f>
        <v>4.7282608695652177</v>
      </c>
      <c r="P9" s="31" cm="1">
        <f t="array" ref="P9">MEDIAN(IF(E2:E1334="Gastroenterology",N2:N1334))</f>
        <v>3</v>
      </c>
      <c r="Q9" s="8">
        <v>0.21349717049594907</v>
      </c>
      <c r="R9" s="8" t="str">
        <f t="shared" si="3"/>
        <v>On Time</v>
      </c>
      <c r="S9" s="33">
        <v>1.2820370515682544</v>
      </c>
      <c r="T9" t="s">
        <v>30</v>
      </c>
      <c r="U9" s="3">
        <v>0</v>
      </c>
      <c r="V9" s="3" t="str">
        <f t="shared" si="8"/>
        <v/>
      </c>
      <c r="W9" s="3" t="s">
        <v>51</v>
      </c>
      <c r="X9" s="32">
        <f t="shared" si="4"/>
        <v>5.3418210482050199E-2</v>
      </c>
      <c r="Z9" s="38">
        <f t="shared" si="9"/>
        <v>0</v>
      </c>
      <c r="AC9" s="36">
        <v>0.125</v>
      </c>
      <c r="AL9" t="str">
        <f t="shared" si="10"/>
        <v>Normal</v>
      </c>
      <c r="AM9" t="str">
        <f t="shared" si="11"/>
        <v>No</v>
      </c>
      <c r="AN9" t="str">
        <f t="shared" si="12"/>
        <v>Elective</v>
      </c>
      <c r="AO9" t="str">
        <f t="shared" si="13"/>
        <v>General Ward</v>
      </c>
    </row>
    <row r="10" spans="1:41" x14ac:dyDescent="0.3">
      <c r="A10" s="21" t="str">
        <f t="shared" si="5"/>
        <v>UHID-00009</v>
      </c>
      <c r="B10" s="18">
        <v>57</v>
      </c>
      <c r="C10" s="10" t="s">
        <v>18</v>
      </c>
      <c r="D10" s="13" t="s">
        <v>26</v>
      </c>
      <c r="E10" s="13" t="s">
        <v>6</v>
      </c>
      <c r="F10" s="15">
        <v>46175.498236932901</v>
      </c>
      <c r="G10" s="4">
        <v>46175</v>
      </c>
      <c r="H10" s="1">
        <v>46175.891004421297</v>
      </c>
      <c r="I10" s="22">
        <v>46175</v>
      </c>
      <c r="J10" s="24">
        <f t="shared" si="0"/>
        <v>46175.603731870564</v>
      </c>
      <c r="K10" s="24">
        <f t="shared" si="1"/>
        <v>0.89100442129711155</v>
      </c>
      <c r="L10" s="29">
        <f t="shared" si="6"/>
        <v>46174</v>
      </c>
      <c r="M10" s="27" t="str">
        <f t="shared" si="7"/>
        <v>Health Deterioration/TPA Approval Delay</v>
      </c>
      <c r="N10" s="31">
        <f t="shared" si="2"/>
        <v>0</v>
      </c>
      <c r="O10" s="26" t="s">
        <v>39</v>
      </c>
      <c r="P10" s="26" t="s">
        <v>39</v>
      </c>
      <c r="Q10" s="8">
        <v>0.71368634074714909</v>
      </c>
      <c r="R10" s="8" t="str">
        <f t="shared" si="3"/>
        <v>Critical Delay</v>
      </c>
      <c r="S10" s="33">
        <v>3.8945412176431127</v>
      </c>
      <c r="T10" t="s">
        <v>31</v>
      </c>
      <c r="U10" s="3">
        <v>3</v>
      </c>
      <c r="V10" s="3" t="str">
        <f t="shared" si="8"/>
        <v>Normal</v>
      </c>
      <c r="W10" s="3" t="s">
        <v>50</v>
      </c>
      <c r="X10" s="32">
        <f t="shared" si="4"/>
        <v>0.28727255073317792</v>
      </c>
      <c r="Z10" s="38">
        <f t="shared" si="9"/>
        <v>0.16227255073317792</v>
      </c>
      <c r="AC10" s="36">
        <v>0.125</v>
      </c>
      <c r="AL10" t="str">
        <f t="shared" si="10"/>
        <v>Health Deterioration/TPA Approval Delay</v>
      </c>
      <c r="AM10" t="str">
        <f t="shared" si="11"/>
        <v>No</v>
      </c>
      <c r="AN10" t="str">
        <f t="shared" si="12"/>
        <v>Emergency</v>
      </c>
      <c r="AO10" t="str">
        <f t="shared" si="13"/>
        <v>ICU</v>
      </c>
    </row>
    <row r="11" spans="1:41" x14ac:dyDescent="0.3">
      <c r="A11" s="21" t="str">
        <f t="shared" si="5"/>
        <v>UHID-00010</v>
      </c>
      <c r="B11" s="18">
        <v>38</v>
      </c>
      <c r="C11" s="10" t="s">
        <v>18</v>
      </c>
      <c r="D11" s="13" t="s">
        <v>26</v>
      </c>
      <c r="E11" s="13" t="s">
        <v>6</v>
      </c>
      <c r="F11" s="15">
        <v>46175.656713101896</v>
      </c>
      <c r="G11" s="4">
        <v>46175</v>
      </c>
      <c r="H11" s="1">
        <v>46175.947296643499</v>
      </c>
      <c r="I11" s="22">
        <v>46175</v>
      </c>
      <c r="J11" s="24">
        <f t="shared" si="0"/>
        <v>46175.821288984589</v>
      </c>
      <c r="K11" s="24">
        <f t="shared" si="1"/>
        <v>0.94729664349870291</v>
      </c>
      <c r="L11" s="29">
        <f t="shared" si="6"/>
        <v>46174</v>
      </c>
      <c r="M11" s="27" t="str">
        <f t="shared" si="7"/>
        <v>TPA Approval Delay</v>
      </c>
      <c r="N11" s="31">
        <f t="shared" si="2"/>
        <v>0</v>
      </c>
      <c r="O11" s="27">
        <f>AVERAGEIF(E2:E1334,"General Medicine",N2:N1334)</f>
        <v>4.8579234972677598</v>
      </c>
      <c r="P11" s="31" cm="1">
        <f t="array" ref="P11">MEDIAN(IF(E2:E1334="General Medicine",N2:N1334))</f>
        <v>4</v>
      </c>
      <c r="Q11" s="8">
        <v>0.61736203351362717</v>
      </c>
      <c r="R11" s="8" t="str">
        <f t="shared" si="3"/>
        <v>Major Delay</v>
      </c>
      <c r="S11" s="33">
        <v>3.0241838138728885</v>
      </c>
      <c r="T11" t="s">
        <v>31</v>
      </c>
      <c r="U11" s="3">
        <v>0</v>
      </c>
      <c r="V11" s="3" t="str">
        <f t="shared" si="8"/>
        <v>Normal</v>
      </c>
      <c r="W11" s="3" t="s">
        <v>51</v>
      </c>
      <c r="X11" s="32">
        <f t="shared" si="4"/>
        <v>0.12600765890965704</v>
      </c>
      <c r="Z11" s="38">
        <f t="shared" si="9"/>
        <v>1.0076589096570387E-3</v>
      </c>
      <c r="AC11" s="36">
        <v>0.125</v>
      </c>
      <c r="AL11" t="str">
        <f t="shared" si="10"/>
        <v>TPA Approval Delay</v>
      </c>
      <c r="AM11" t="str">
        <f t="shared" si="11"/>
        <v>No</v>
      </c>
      <c r="AN11" t="str">
        <f t="shared" si="12"/>
        <v>Emergency</v>
      </c>
      <c r="AO11" t="str">
        <f t="shared" si="13"/>
        <v>ICU</v>
      </c>
    </row>
    <row r="12" spans="1:41" x14ac:dyDescent="0.3">
      <c r="A12" s="21" t="str">
        <f t="shared" si="5"/>
        <v>UHID-00011</v>
      </c>
      <c r="B12" s="18">
        <v>77</v>
      </c>
      <c r="C12" s="10" t="s">
        <v>18</v>
      </c>
      <c r="D12" s="13" t="s">
        <v>27</v>
      </c>
      <c r="E12" s="13" t="s">
        <v>6</v>
      </c>
      <c r="F12" s="15">
        <v>46173.378218807899</v>
      </c>
      <c r="G12" s="4">
        <v>46173</v>
      </c>
      <c r="H12" s="1">
        <v>46176.563327650503</v>
      </c>
      <c r="I12" s="22">
        <v>46176</v>
      </c>
      <c r="J12" s="24">
        <f t="shared" si="0"/>
        <v>46176.431830332353</v>
      </c>
      <c r="K12" s="24">
        <f t="shared" si="1"/>
        <v>0.56332765050319722</v>
      </c>
      <c r="L12" s="29">
        <f t="shared" si="6"/>
        <v>46175</v>
      </c>
      <c r="M12" s="27" t="str">
        <f t="shared" si="7"/>
        <v>Medication Change</v>
      </c>
      <c r="N12" s="31">
        <f t="shared" si="2"/>
        <v>3</v>
      </c>
      <c r="O12" s="26" t="s">
        <v>40</v>
      </c>
      <c r="P12" s="26" t="s">
        <v>40</v>
      </c>
      <c r="Q12" s="8">
        <v>0.25298999600688965</v>
      </c>
      <c r="R12" s="8" t="str">
        <f t="shared" si="3"/>
        <v>Major Delay</v>
      </c>
      <c r="S12" s="33">
        <v>1.155935635582126</v>
      </c>
      <c r="T12" t="s">
        <v>30</v>
      </c>
      <c r="U12" s="3">
        <v>2</v>
      </c>
      <c r="V12" s="3" t="str">
        <f t="shared" si="8"/>
        <v/>
      </c>
      <c r="W12" s="3" t="s">
        <v>50</v>
      </c>
      <c r="X12" s="32">
        <f t="shared" si="4"/>
        <v>0.13149731815065024</v>
      </c>
      <c r="Z12" s="38">
        <f t="shared" si="9"/>
        <v>6.4973181506502442E-3</v>
      </c>
      <c r="AC12" s="36">
        <v>0.125</v>
      </c>
      <c r="AL12" t="str">
        <f t="shared" si="10"/>
        <v>Medication Change</v>
      </c>
      <c r="AM12" t="str">
        <f t="shared" si="11"/>
        <v>No</v>
      </c>
      <c r="AN12" t="str">
        <f t="shared" si="12"/>
        <v>Emergency</v>
      </c>
      <c r="AO12" t="str">
        <f t="shared" si="13"/>
        <v>ICU</v>
      </c>
    </row>
    <row r="13" spans="1:41" x14ac:dyDescent="0.3">
      <c r="A13" s="21" t="str">
        <f t="shared" si="5"/>
        <v>UHID-00012</v>
      </c>
      <c r="B13" s="18">
        <v>37</v>
      </c>
      <c r="C13" s="10" t="s">
        <v>18</v>
      </c>
      <c r="D13" s="13" t="s">
        <v>27</v>
      </c>
      <c r="E13" s="13" t="s">
        <v>6</v>
      </c>
      <c r="F13" s="15">
        <v>46174.9117288079</v>
      </c>
      <c r="G13" s="4">
        <v>46174</v>
      </c>
      <c r="H13" s="1">
        <v>46176.675732870397</v>
      </c>
      <c r="I13" s="22">
        <v>46176</v>
      </c>
      <c r="J13" s="24">
        <f t="shared" si="0"/>
        <v>46176.601758677913</v>
      </c>
      <c r="K13" s="24">
        <f t="shared" si="1"/>
        <v>0.67573287039704155</v>
      </c>
      <c r="L13" s="29">
        <f t="shared" si="6"/>
        <v>46175</v>
      </c>
      <c r="M13" s="27" t="str">
        <f t="shared" si="7"/>
        <v>Normal</v>
      </c>
      <c r="N13" s="31">
        <f t="shared" si="2"/>
        <v>2</v>
      </c>
      <c r="O13" s="27">
        <f>AVERAGEIF(E2:E1334,"General Surgery",N2:N1334)</f>
        <v>2.7394957983193278</v>
      </c>
      <c r="P13" s="31" cm="1">
        <f t="array" ref="P13">MEDIAN(IF(E2:E1334="General Surgery",N2:N1334))</f>
        <v>3</v>
      </c>
      <c r="Q13" s="8">
        <v>0.24674026181480235</v>
      </c>
      <c r="R13" s="8" t="str">
        <f t="shared" si="3"/>
        <v>On Time</v>
      </c>
      <c r="S13" s="33">
        <v>1.7753806196648161</v>
      </c>
      <c r="T13" t="s">
        <v>30</v>
      </c>
      <c r="U13" s="3">
        <v>0</v>
      </c>
      <c r="V13" s="3" t="str">
        <f t="shared" si="8"/>
        <v/>
      </c>
      <c r="W13" s="3" t="s">
        <v>51</v>
      </c>
      <c r="X13" s="32">
        <f t="shared" si="4"/>
        <v>7.397419248445658E-2</v>
      </c>
      <c r="Z13" s="38">
        <f t="shared" si="9"/>
        <v>0</v>
      </c>
      <c r="AC13" s="36">
        <v>0.125</v>
      </c>
      <c r="AL13" t="str">
        <f t="shared" si="10"/>
        <v>Normal</v>
      </c>
      <c r="AM13" t="str">
        <f t="shared" si="11"/>
        <v>No</v>
      </c>
      <c r="AN13" t="str">
        <f t="shared" si="12"/>
        <v>Elective</v>
      </c>
      <c r="AO13" t="str">
        <f t="shared" si="13"/>
        <v>ICU</v>
      </c>
    </row>
    <row r="14" spans="1:41" x14ac:dyDescent="0.3">
      <c r="A14" s="21" t="str">
        <f t="shared" si="5"/>
        <v>UHID-00013</v>
      </c>
      <c r="B14" s="18">
        <v>24</v>
      </c>
      <c r="C14" s="10" t="s">
        <v>17</v>
      </c>
      <c r="D14" s="13" t="s">
        <v>26</v>
      </c>
      <c r="E14" s="13" t="s">
        <v>6</v>
      </c>
      <c r="F14" s="15">
        <v>46175.425501354199</v>
      </c>
      <c r="G14" s="4">
        <v>46175</v>
      </c>
      <c r="H14" s="1">
        <v>46176.630079618102</v>
      </c>
      <c r="I14" s="22">
        <v>46176</v>
      </c>
      <c r="J14" s="24">
        <f t="shared" si="0"/>
        <v>46176.503863306898</v>
      </c>
      <c r="K14" s="24">
        <f t="shared" si="1"/>
        <v>0.63007961810217239</v>
      </c>
      <c r="L14" s="29">
        <f t="shared" si="6"/>
        <v>46175</v>
      </c>
      <c r="M14" s="27" t="str">
        <f t="shared" si="7"/>
        <v>TPA Approval Delay</v>
      </c>
      <c r="N14" s="31">
        <f t="shared" si="2"/>
        <v>1</v>
      </c>
      <c r="O14" s="26" t="s">
        <v>41</v>
      </c>
      <c r="P14" s="26" t="s">
        <v>41</v>
      </c>
      <c r="Q14" s="8">
        <v>0.59338506519740131</v>
      </c>
      <c r="R14" s="8" t="str">
        <f t="shared" si="3"/>
        <v>Major Delay</v>
      </c>
      <c r="S14" s="33">
        <v>3.0291914688763373</v>
      </c>
      <c r="T14" t="s">
        <v>31</v>
      </c>
      <c r="U14" s="3">
        <v>0</v>
      </c>
      <c r="V14" s="3" t="str">
        <f t="shared" si="8"/>
        <v>Normal</v>
      </c>
      <c r="W14" s="3" t="s">
        <v>51</v>
      </c>
      <c r="X14" s="32">
        <f t="shared" si="4"/>
        <v>0.12621631120418897</v>
      </c>
      <c r="Z14" s="38">
        <f t="shared" si="9"/>
        <v>1.216311204188969E-3</v>
      </c>
      <c r="AC14" s="36">
        <v>0.125</v>
      </c>
      <c r="AL14" t="str">
        <f t="shared" si="10"/>
        <v>TPA Approval Delay</v>
      </c>
      <c r="AM14" t="str">
        <f t="shared" si="11"/>
        <v>No</v>
      </c>
      <c r="AN14" t="str">
        <f t="shared" si="12"/>
        <v>Elective</v>
      </c>
      <c r="AO14" t="str">
        <f t="shared" si="13"/>
        <v>HDU</v>
      </c>
    </row>
    <row r="15" spans="1:41" x14ac:dyDescent="0.3">
      <c r="A15" s="21" t="str">
        <f t="shared" si="5"/>
        <v>UHID-00014</v>
      </c>
      <c r="B15" s="18">
        <v>59</v>
      </c>
      <c r="C15" s="10" t="s">
        <v>17</v>
      </c>
      <c r="D15" s="13" t="s">
        <v>28</v>
      </c>
      <c r="E15" s="13" t="s">
        <v>6</v>
      </c>
      <c r="F15" s="15">
        <v>46175.507531458301</v>
      </c>
      <c r="G15" s="4">
        <v>46175</v>
      </c>
      <c r="H15" s="1">
        <v>46176.598704895798</v>
      </c>
      <c r="I15" s="22">
        <v>46176</v>
      </c>
      <c r="J15" s="24">
        <f t="shared" si="0"/>
        <v>46176.513956921306</v>
      </c>
      <c r="K15" s="24">
        <f t="shared" si="1"/>
        <v>0.59870489579770947</v>
      </c>
      <c r="L15" s="29">
        <f t="shared" si="6"/>
        <v>46175</v>
      </c>
      <c r="M15" s="27" t="str">
        <f t="shared" si="7"/>
        <v>Doctor Round Delay/Report Delay</v>
      </c>
      <c r="N15" s="31">
        <f t="shared" si="2"/>
        <v>1</v>
      </c>
      <c r="O15" s="27">
        <f>AVERAGEIF(E2:E1334,"Nephrology",N2:N1334)</f>
        <v>5.4175824175824179</v>
      </c>
      <c r="P15" s="31" cm="1">
        <f t="array" ref="P15">MEDIAN(IF(E2:E1334="Nephrology",N2:N1334))</f>
        <v>4</v>
      </c>
      <c r="Q15" s="8">
        <v>0.89456485915602746</v>
      </c>
      <c r="R15" s="8" t="str">
        <f t="shared" si="3"/>
        <v>Minor Delay</v>
      </c>
      <c r="S15" s="33">
        <v>2.0339513877488593</v>
      </c>
      <c r="T15" t="s">
        <v>31</v>
      </c>
      <c r="U15" s="3">
        <v>0</v>
      </c>
      <c r="V15" s="3" t="str">
        <f t="shared" si="8"/>
        <v>Normal</v>
      </c>
      <c r="W15" s="3" t="s">
        <v>51</v>
      </c>
      <c r="X15" s="32">
        <f t="shared" si="4"/>
        <v>8.4747974491619971E-2</v>
      </c>
      <c r="Z15" s="38">
        <f t="shared" si="9"/>
        <v>0</v>
      </c>
      <c r="AC15" s="36">
        <v>0.125</v>
      </c>
      <c r="AL15" t="str">
        <f t="shared" si="10"/>
        <v>Doctor Round Delay/Report Delay</v>
      </c>
      <c r="AM15" t="str">
        <f t="shared" si="11"/>
        <v>No</v>
      </c>
      <c r="AN15" t="str">
        <f t="shared" si="12"/>
        <v>Elective</v>
      </c>
      <c r="AO15" t="str">
        <f t="shared" si="13"/>
        <v>HDU</v>
      </c>
    </row>
    <row r="16" spans="1:41" x14ac:dyDescent="0.3">
      <c r="A16" s="21" t="str">
        <f t="shared" si="5"/>
        <v>UHID-00015</v>
      </c>
      <c r="B16" s="18">
        <v>61</v>
      </c>
      <c r="C16" s="10" t="s">
        <v>18</v>
      </c>
      <c r="D16" s="13" t="s">
        <v>27</v>
      </c>
      <c r="E16" s="13" t="s">
        <v>6</v>
      </c>
      <c r="F16" s="15">
        <v>46175.697632071802</v>
      </c>
      <c r="G16" s="4">
        <v>46175</v>
      </c>
      <c r="H16" s="1">
        <v>46176.710445590303</v>
      </c>
      <c r="I16" s="22">
        <v>46176</v>
      </c>
      <c r="J16" s="24">
        <f t="shared" si="0"/>
        <v>46176.460549041825</v>
      </c>
      <c r="K16" s="24">
        <f t="shared" si="1"/>
        <v>0.71044559030269738</v>
      </c>
      <c r="L16" s="29">
        <f t="shared" si="6"/>
        <v>46175</v>
      </c>
      <c r="M16" s="27" t="str">
        <f t="shared" si="7"/>
        <v>Health Deterioration</v>
      </c>
      <c r="N16" s="31">
        <f t="shared" si="2"/>
        <v>1</v>
      </c>
      <c r="O16" s="26" t="s">
        <v>42</v>
      </c>
      <c r="P16" s="26" t="s">
        <v>42</v>
      </c>
      <c r="Q16" s="8">
        <v>0.20238541829712231</v>
      </c>
      <c r="R16" s="8" t="str">
        <f t="shared" si="3"/>
        <v>Critical Delay</v>
      </c>
      <c r="S16" s="33">
        <v>1.9975171635183315</v>
      </c>
      <c r="T16" t="s">
        <v>30</v>
      </c>
      <c r="U16" s="3">
        <v>4</v>
      </c>
      <c r="V16" s="3" t="str">
        <f t="shared" si="8"/>
        <v/>
      </c>
      <c r="W16" s="3" t="s">
        <v>50</v>
      </c>
      <c r="X16" s="32">
        <f t="shared" si="4"/>
        <v>0.24989654847740894</v>
      </c>
      <c r="Z16" s="38">
        <f t="shared" si="9"/>
        <v>0.12489654847740894</v>
      </c>
      <c r="AC16" s="36">
        <v>0.125</v>
      </c>
      <c r="AL16" t="str">
        <f t="shared" si="10"/>
        <v>Health Deterioration</v>
      </c>
      <c r="AM16" t="str">
        <f t="shared" si="11"/>
        <v>No</v>
      </c>
      <c r="AN16" t="str">
        <f t="shared" si="12"/>
        <v>Elective</v>
      </c>
      <c r="AO16" t="str">
        <f t="shared" si="13"/>
        <v>General Ward</v>
      </c>
    </row>
    <row r="17" spans="1:41" x14ac:dyDescent="0.3">
      <c r="A17" s="21" t="str">
        <f t="shared" si="5"/>
        <v>UHID-00016</v>
      </c>
      <c r="B17" s="18">
        <v>66</v>
      </c>
      <c r="C17" s="10" t="s">
        <v>17</v>
      </c>
      <c r="D17" s="13" t="s">
        <v>27</v>
      </c>
      <c r="E17" s="13" t="s">
        <v>6</v>
      </c>
      <c r="F17" s="15">
        <v>46174.552705358801</v>
      </c>
      <c r="G17" s="4">
        <v>46174</v>
      </c>
      <c r="H17" s="1">
        <v>46175.774358090297</v>
      </c>
      <c r="I17" s="22">
        <v>46175</v>
      </c>
      <c r="J17" s="24">
        <f t="shared" si="0"/>
        <v>46175.572589806674</v>
      </c>
      <c r="K17" s="24">
        <f t="shared" si="1"/>
        <v>0.77435809029702796</v>
      </c>
      <c r="L17" s="29">
        <f t="shared" si="6"/>
        <v>46174</v>
      </c>
      <c r="M17" s="27" t="str">
        <f t="shared" si="7"/>
        <v>Medication Change</v>
      </c>
      <c r="N17" s="31">
        <f t="shared" si="2"/>
        <v>1</v>
      </c>
      <c r="O17" s="27">
        <f>AVERAGEIF(E2:E1334,"Neurology &amp; Neurosurgery",N2:N1334)</f>
        <v>4.5384615384615383</v>
      </c>
      <c r="P17" s="31" cm="1">
        <f t="array" ref="P17">MEDIAN(IF(E2:E1334="Neurology &amp; Neurosurgery",N2:N1334))</f>
        <v>3.5</v>
      </c>
      <c r="Q17" s="8">
        <v>0.27357845678740889</v>
      </c>
      <c r="R17" s="8" t="str">
        <f t="shared" si="3"/>
        <v>Major Delay</v>
      </c>
      <c r="S17" s="33">
        <v>1.8424388068815316</v>
      </c>
      <c r="T17" t="s">
        <v>30</v>
      </c>
      <c r="U17" s="3">
        <v>3</v>
      </c>
      <c r="V17" s="3" t="str">
        <f t="shared" si="8"/>
        <v/>
      </c>
      <c r="W17" s="3" t="s">
        <v>50</v>
      </c>
      <c r="X17" s="32">
        <f t="shared" si="4"/>
        <v>0.20176828362309607</v>
      </c>
      <c r="Z17" s="38">
        <f t="shared" si="9"/>
        <v>7.6768283623096067E-2</v>
      </c>
      <c r="AC17" s="36">
        <v>0.125</v>
      </c>
      <c r="AL17" t="str">
        <f t="shared" si="10"/>
        <v>Medication Change</v>
      </c>
      <c r="AM17" t="str">
        <f t="shared" si="11"/>
        <v>No</v>
      </c>
      <c r="AN17" t="str">
        <f t="shared" si="12"/>
        <v>Elective</v>
      </c>
      <c r="AO17" t="str">
        <f t="shared" si="13"/>
        <v>General Ward</v>
      </c>
    </row>
    <row r="18" spans="1:41" x14ac:dyDescent="0.3">
      <c r="A18" s="21" t="str">
        <f t="shared" si="5"/>
        <v>UHID-00017</v>
      </c>
      <c r="B18" s="18">
        <v>21</v>
      </c>
      <c r="C18" s="10" t="s">
        <v>17</v>
      </c>
      <c r="D18" s="13" t="s">
        <v>28</v>
      </c>
      <c r="E18" s="13" t="s">
        <v>6</v>
      </c>
      <c r="F18" s="15">
        <v>46174.737675046301</v>
      </c>
      <c r="G18" s="4">
        <v>46174</v>
      </c>
      <c r="H18" s="1">
        <v>46176.600178703702</v>
      </c>
      <c r="I18" s="22">
        <v>46176</v>
      </c>
      <c r="J18" s="24">
        <f t="shared" si="0"/>
        <v>46176.487218541726</v>
      </c>
      <c r="K18" s="24">
        <f t="shared" si="1"/>
        <v>0.60017870370211313</v>
      </c>
      <c r="L18" s="29">
        <f t="shared" si="6"/>
        <v>46175</v>
      </c>
      <c r="M18" s="27" t="str">
        <f t="shared" si="7"/>
        <v>Doctor Round Delay/Report Delay</v>
      </c>
      <c r="N18" s="31">
        <f t="shared" si="2"/>
        <v>2</v>
      </c>
      <c r="O18" s="26" t="s">
        <v>43</v>
      </c>
      <c r="P18" s="26" t="s">
        <v>43</v>
      </c>
      <c r="Q18" s="8">
        <v>0.85473031354737417</v>
      </c>
      <c r="R18" s="8" t="str">
        <f t="shared" si="3"/>
        <v>Minor Delay</v>
      </c>
      <c r="S18" s="33">
        <v>2.7110438874511638</v>
      </c>
      <c r="T18" t="s">
        <v>31</v>
      </c>
      <c r="U18" s="3">
        <v>0</v>
      </c>
      <c r="V18" s="3" t="str">
        <f t="shared" si="8"/>
        <v>Normal</v>
      </c>
      <c r="W18" s="3" t="s">
        <v>51</v>
      </c>
      <c r="X18" s="32">
        <f t="shared" si="4"/>
        <v>0.11296016197593417</v>
      </c>
      <c r="Z18" s="38">
        <f t="shared" si="9"/>
        <v>0</v>
      </c>
      <c r="AC18" s="36">
        <v>0.125</v>
      </c>
      <c r="AL18" t="str">
        <f t="shared" si="10"/>
        <v>Doctor Round Delay/Report Delay</v>
      </c>
      <c r="AM18" t="str">
        <f t="shared" si="11"/>
        <v>No</v>
      </c>
      <c r="AN18" t="str">
        <f t="shared" si="12"/>
        <v>Elective</v>
      </c>
      <c r="AO18" t="str">
        <f t="shared" si="13"/>
        <v>General Ward</v>
      </c>
    </row>
    <row r="19" spans="1:41" x14ac:dyDescent="0.3">
      <c r="A19" s="21" t="str">
        <f t="shared" si="5"/>
        <v>UHID-00018</v>
      </c>
      <c r="B19" s="18">
        <v>51</v>
      </c>
      <c r="C19" s="10" t="s">
        <v>17</v>
      </c>
      <c r="D19" s="13" t="s">
        <v>26</v>
      </c>
      <c r="E19" s="13" t="s">
        <v>6</v>
      </c>
      <c r="F19" s="15">
        <v>46174.754779016199</v>
      </c>
      <c r="G19" s="4">
        <v>46174</v>
      </c>
      <c r="H19" s="1">
        <v>46176.567397303203</v>
      </c>
      <c r="I19" s="22">
        <v>46176</v>
      </c>
      <c r="J19" s="24">
        <f t="shared" si="0"/>
        <v>46176.41061846805</v>
      </c>
      <c r="K19" s="24">
        <f t="shared" si="1"/>
        <v>0.56739730320259696</v>
      </c>
      <c r="L19" s="29">
        <f t="shared" si="6"/>
        <v>46175</v>
      </c>
      <c r="M19" s="27" t="str">
        <f t="shared" si="7"/>
        <v>TPA Approval Delay</v>
      </c>
      <c r="N19" s="31">
        <f t="shared" si="2"/>
        <v>2</v>
      </c>
      <c r="O19" s="27">
        <f>AVERAGEIF(E2:E1334,"Obstetric/Gynecology",N2:N1334)</f>
        <v>2.7749999999999999</v>
      </c>
      <c r="P19" s="31" cm="1">
        <f t="array" ref="P19">MEDIAN(IF(E2:E1334="Obstetric/Gynecology",N2:N1334))</f>
        <v>3</v>
      </c>
      <c r="Q19" s="8">
        <v>0.75370208252096493</v>
      </c>
      <c r="R19" s="8" t="str">
        <f t="shared" si="3"/>
        <v>Major Delay</v>
      </c>
      <c r="S19" s="33">
        <v>3.7626920436778497</v>
      </c>
      <c r="T19" t="s">
        <v>31</v>
      </c>
      <c r="U19" s="3">
        <v>0</v>
      </c>
      <c r="V19" s="3" t="str">
        <f t="shared" si="8"/>
        <v>Normal</v>
      </c>
      <c r="W19" s="3" t="s">
        <v>51</v>
      </c>
      <c r="X19" s="32">
        <f t="shared" si="4"/>
        <v>0.15677883515309077</v>
      </c>
      <c r="Z19" s="38">
        <f t="shared" si="9"/>
        <v>3.1778835153090768E-2</v>
      </c>
      <c r="AC19" s="36">
        <v>0.125</v>
      </c>
      <c r="AL19" t="str">
        <f t="shared" si="10"/>
        <v>TPA Approval Delay</v>
      </c>
      <c r="AM19" t="str">
        <f t="shared" si="11"/>
        <v>No</v>
      </c>
      <c r="AN19" t="str">
        <f t="shared" si="12"/>
        <v>Elective</v>
      </c>
      <c r="AO19" t="str">
        <f t="shared" si="13"/>
        <v>General Ward</v>
      </c>
    </row>
    <row r="20" spans="1:41" x14ac:dyDescent="0.3">
      <c r="A20" s="21" t="str">
        <f t="shared" si="5"/>
        <v>UHID-00019</v>
      </c>
      <c r="B20" s="18">
        <v>54</v>
      </c>
      <c r="C20" s="10" t="s">
        <v>17</v>
      </c>
      <c r="D20" s="13" t="s">
        <v>27</v>
      </c>
      <c r="E20" s="13" t="s">
        <v>6</v>
      </c>
      <c r="F20" s="15">
        <v>46176.456795567101</v>
      </c>
      <c r="G20" s="4">
        <v>46176</v>
      </c>
      <c r="H20" s="1">
        <v>46176.687628888903</v>
      </c>
      <c r="I20" s="22">
        <v>46176</v>
      </c>
      <c r="J20" s="24">
        <f t="shared" si="0"/>
        <v>46176.553127801002</v>
      </c>
      <c r="K20" s="24">
        <f t="shared" si="1"/>
        <v>0.68762888890341856</v>
      </c>
      <c r="L20" s="29">
        <f t="shared" si="6"/>
        <v>46175</v>
      </c>
      <c r="M20" s="27" t="str">
        <f t="shared" si="7"/>
        <v>Medication Change</v>
      </c>
      <c r="N20" s="31">
        <f t="shared" si="2"/>
        <v>0</v>
      </c>
      <c r="O20" s="26" t="s">
        <v>44</v>
      </c>
      <c r="P20" s="26" t="s">
        <v>44</v>
      </c>
      <c r="Q20" s="8">
        <v>0.46780847933970038</v>
      </c>
      <c r="R20" s="8" t="str">
        <f t="shared" si="3"/>
        <v>Major Delay</v>
      </c>
      <c r="S20" s="33">
        <v>1.2280261096738647</v>
      </c>
      <c r="T20" t="s">
        <v>31</v>
      </c>
      <c r="U20" s="3">
        <v>2</v>
      </c>
      <c r="V20" s="3" t="str">
        <f t="shared" si="8"/>
        <v>Normal</v>
      </c>
      <c r="W20" s="3" t="s">
        <v>50</v>
      </c>
      <c r="X20" s="32">
        <f t="shared" si="4"/>
        <v>0.13450108790129889</v>
      </c>
      <c r="Z20" s="38">
        <f t="shared" si="9"/>
        <v>9.501087901298888E-3</v>
      </c>
      <c r="AC20" s="36">
        <v>0.125</v>
      </c>
      <c r="AL20" t="str">
        <f t="shared" si="10"/>
        <v>Medication Change</v>
      </c>
      <c r="AM20" t="str">
        <f t="shared" si="11"/>
        <v>No</v>
      </c>
      <c r="AN20" t="str">
        <f t="shared" si="12"/>
        <v>Emergency</v>
      </c>
      <c r="AO20" t="str">
        <f t="shared" si="13"/>
        <v>ICU</v>
      </c>
    </row>
    <row r="21" spans="1:41" x14ac:dyDescent="0.3">
      <c r="A21" s="21" t="str">
        <f t="shared" si="5"/>
        <v>UHID-00020</v>
      </c>
      <c r="B21" s="18">
        <v>67</v>
      </c>
      <c r="C21" s="10" t="s">
        <v>17</v>
      </c>
      <c r="D21" s="13" t="s">
        <v>26</v>
      </c>
      <c r="E21" s="13" t="s">
        <v>6</v>
      </c>
      <c r="F21" s="15">
        <v>46176.460965243103</v>
      </c>
      <c r="G21" s="4">
        <v>46176</v>
      </c>
      <c r="H21" s="1">
        <v>46176.6882586227</v>
      </c>
      <c r="I21" s="22">
        <v>46176</v>
      </c>
      <c r="J21" s="24">
        <f t="shared" si="0"/>
        <v>46176.433439045904</v>
      </c>
      <c r="K21" s="24">
        <f t="shared" si="1"/>
        <v>0.68825862270023208</v>
      </c>
      <c r="L21" s="29">
        <f t="shared" si="6"/>
        <v>46175</v>
      </c>
      <c r="M21" s="27" t="str">
        <f t="shared" si="7"/>
        <v>Health Deterioration/TPA Approval Delay</v>
      </c>
      <c r="N21" s="31">
        <f t="shared" si="2"/>
        <v>0</v>
      </c>
      <c r="O21" s="27">
        <f>AVERAGEIF(E2:E1334,"Oncology",N2:N1334)</f>
        <v>3.7333333333333334</v>
      </c>
      <c r="P21" s="31" cm="1">
        <f t="array" ref="P21">MEDIAN(IF(E2:E1334="Oncology",N2:N1334))</f>
        <v>3</v>
      </c>
      <c r="Q21" s="8">
        <v>0.66313318980556168</v>
      </c>
      <c r="R21" s="8" t="str">
        <f t="shared" si="3"/>
        <v>Critical Delay</v>
      </c>
      <c r="S21" s="33">
        <v>3.1156698430652883</v>
      </c>
      <c r="T21" t="s">
        <v>31</v>
      </c>
      <c r="U21" s="3">
        <v>3</v>
      </c>
      <c r="V21" s="3" t="str">
        <f t="shared" si="8"/>
        <v>Normal</v>
      </c>
      <c r="W21" s="3" t="s">
        <v>50</v>
      </c>
      <c r="X21" s="32">
        <f t="shared" si="4"/>
        <v>0.25481957679585321</v>
      </c>
      <c r="Z21" s="38">
        <f t="shared" si="9"/>
        <v>0.12981957679585321</v>
      </c>
      <c r="AC21" s="36">
        <v>0.125</v>
      </c>
      <c r="AL21" t="str">
        <f t="shared" si="10"/>
        <v>Health Deterioration/TPA Approval Delay</v>
      </c>
      <c r="AM21" t="str">
        <f t="shared" si="11"/>
        <v>Yes</v>
      </c>
      <c r="AN21" t="str">
        <f t="shared" si="12"/>
        <v>Emergency</v>
      </c>
      <c r="AO21" t="str">
        <f t="shared" si="13"/>
        <v>ICU</v>
      </c>
    </row>
    <row r="22" spans="1:41" x14ac:dyDescent="0.3">
      <c r="A22" s="21" t="str">
        <f t="shared" si="5"/>
        <v>UHID-00021</v>
      </c>
      <c r="B22" s="18">
        <v>64</v>
      </c>
      <c r="C22" s="10" t="s">
        <v>18</v>
      </c>
      <c r="D22" s="13" t="s">
        <v>27</v>
      </c>
      <c r="E22" s="13" t="s">
        <v>6</v>
      </c>
      <c r="F22" s="15">
        <v>46173.678174826397</v>
      </c>
      <c r="G22" s="4">
        <v>46173</v>
      </c>
      <c r="H22" s="1">
        <v>46177.481613171301</v>
      </c>
      <c r="I22" s="22">
        <v>46177</v>
      </c>
      <c r="J22" s="24">
        <f t="shared" si="0"/>
        <v>46177.419574288469</v>
      </c>
      <c r="K22" s="24">
        <f t="shared" si="1"/>
        <v>0.48161317130143289</v>
      </c>
      <c r="L22" s="29">
        <f t="shared" si="6"/>
        <v>46176</v>
      </c>
      <c r="M22" s="27" t="str">
        <f t="shared" si="7"/>
        <v>Normal</v>
      </c>
      <c r="N22" s="31">
        <f t="shared" si="2"/>
        <v>4</v>
      </c>
      <c r="O22" s="26" t="s">
        <v>45</v>
      </c>
      <c r="P22" s="26" t="s">
        <v>45</v>
      </c>
      <c r="Q22" s="8">
        <v>0.17159282988062086</v>
      </c>
      <c r="R22" s="8" t="str">
        <f t="shared" si="3"/>
        <v>On Time</v>
      </c>
      <c r="S22" s="33">
        <v>1.4889331879166545</v>
      </c>
      <c r="T22" t="s">
        <v>30</v>
      </c>
      <c r="U22" s="3">
        <v>0</v>
      </c>
      <c r="V22" s="3" t="str">
        <f t="shared" si="8"/>
        <v/>
      </c>
      <c r="W22" s="3" t="s">
        <v>51</v>
      </c>
      <c r="X22" s="32">
        <f t="shared" si="4"/>
        <v>6.2038882831984665E-2</v>
      </c>
      <c r="Z22" s="38">
        <f t="shared" si="9"/>
        <v>0</v>
      </c>
      <c r="AC22" s="36">
        <v>0.125</v>
      </c>
      <c r="AL22" t="str">
        <f t="shared" si="10"/>
        <v>Normal</v>
      </c>
      <c r="AM22" t="str">
        <f t="shared" si="11"/>
        <v>No</v>
      </c>
      <c r="AN22" t="str">
        <f t="shared" si="12"/>
        <v>Emergency</v>
      </c>
      <c r="AO22" t="str">
        <f t="shared" si="13"/>
        <v>ICU</v>
      </c>
    </row>
    <row r="23" spans="1:41" x14ac:dyDescent="0.3">
      <c r="A23" s="21" t="str">
        <f t="shared" si="5"/>
        <v>UHID-00022</v>
      </c>
      <c r="B23" s="18">
        <v>40</v>
      </c>
      <c r="C23" s="10" t="s">
        <v>17</v>
      </c>
      <c r="D23" s="13" t="s">
        <v>27</v>
      </c>
      <c r="E23" s="13" t="s">
        <v>6</v>
      </c>
      <c r="F23" s="15">
        <v>46175.444820625002</v>
      </c>
      <c r="G23" s="4">
        <v>46175</v>
      </c>
      <c r="H23" s="1">
        <v>46177.573642847201</v>
      </c>
      <c r="I23" s="22">
        <v>46177</v>
      </c>
      <c r="J23" s="24">
        <f t="shared" si="0"/>
        <v>46177.528546773901</v>
      </c>
      <c r="K23" s="24">
        <f t="shared" si="1"/>
        <v>0.57364284720097203</v>
      </c>
      <c r="L23" s="29">
        <f t="shared" si="6"/>
        <v>46176</v>
      </c>
      <c r="M23" s="27" t="str">
        <f t="shared" si="7"/>
        <v>Normal</v>
      </c>
      <c r="N23" s="31">
        <f t="shared" si="2"/>
        <v>2</v>
      </c>
      <c r="O23" s="27">
        <f>AVERAGEIF(E2:E1334,"Orthopaedic",N2:N1334)</f>
        <v>4.1875</v>
      </c>
      <c r="P23" s="31" cm="1">
        <f t="array" ref="P23">MEDIAN(IF(E2:E1334="Orthopaedic",N2:N1334))</f>
        <v>3</v>
      </c>
      <c r="Q23" s="8">
        <v>0.36564098476211293</v>
      </c>
      <c r="R23" s="8" t="str">
        <f t="shared" si="3"/>
        <v>On Time</v>
      </c>
      <c r="S23" s="33">
        <v>1.082305759110608</v>
      </c>
      <c r="T23" t="s">
        <v>31</v>
      </c>
      <c r="U23" s="3">
        <v>0</v>
      </c>
      <c r="V23" s="3" t="str">
        <f t="shared" si="8"/>
        <v>Normal</v>
      </c>
      <c r="W23" s="3" t="s">
        <v>51</v>
      </c>
      <c r="X23" s="32">
        <f t="shared" si="4"/>
        <v>4.5096073299646378E-2</v>
      </c>
      <c r="Z23" s="38">
        <f t="shared" si="9"/>
        <v>0</v>
      </c>
      <c r="AC23" s="36">
        <v>0.125</v>
      </c>
      <c r="AL23" t="str">
        <f t="shared" si="10"/>
        <v>Normal</v>
      </c>
      <c r="AM23" t="str">
        <f t="shared" si="11"/>
        <v>No</v>
      </c>
      <c r="AN23" t="str">
        <f t="shared" si="12"/>
        <v>Elective</v>
      </c>
      <c r="AO23" t="str">
        <f t="shared" si="13"/>
        <v>ICU</v>
      </c>
    </row>
    <row r="24" spans="1:41" x14ac:dyDescent="0.3">
      <c r="A24" s="21" t="str">
        <f t="shared" si="5"/>
        <v>UHID-00023</v>
      </c>
      <c r="B24" s="18">
        <v>41</v>
      </c>
      <c r="C24" s="10" t="s">
        <v>17</v>
      </c>
      <c r="D24" s="13" t="s">
        <v>26</v>
      </c>
      <c r="E24" s="13" t="s">
        <v>6</v>
      </c>
      <c r="F24" s="15">
        <v>46174.872249305598</v>
      </c>
      <c r="G24" s="4">
        <v>46174</v>
      </c>
      <c r="H24" s="1">
        <v>46177.572310393502</v>
      </c>
      <c r="I24" s="22">
        <v>46177</v>
      </c>
      <c r="J24" s="24">
        <f t="shared" si="0"/>
        <v>46177.211352631304</v>
      </c>
      <c r="K24" s="24">
        <f t="shared" si="1"/>
        <v>0.57231039350153878</v>
      </c>
      <c r="L24" s="29">
        <f t="shared" si="6"/>
        <v>46176</v>
      </c>
      <c r="M24" s="27" t="str">
        <f t="shared" si="7"/>
        <v>Health Deterioration/TPA Approval Delay</v>
      </c>
      <c r="N24" s="31">
        <f t="shared" si="2"/>
        <v>3</v>
      </c>
      <c r="O24" s="26" t="s">
        <v>46</v>
      </c>
      <c r="P24" s="26" t="s">
        <v>46</v>
      </c>
      <c r="Q24" s="8">
        <v>0.50026370539858322</v>
      </c>
      <c r="R24" s="8" t="str">
        <f t="shared" si="3"/>
        <v>Critical Delay</v>
      </c>
      <c r="S24" s="33">
        <v>3.6629862927286023</v>
      </c>
      <c r="T24" t="s">
        <v>31</v>
      </c>
      <c r="U24" s="3">
        <v>5</v>
      </c>
      <c r="V24" s="3" t="str">
        <f t="shared" si="8"/>
        <v>Normal</v>
      </c>
      <c r="W24" s="3" t="s">
        <v>52</v>
      </c>
      <c r="X24" s="32">
        <f t="shared" si="4"/>
        <v>0.36095776219735853</v>
      </c>
      <c r="Z24" s="38">
        <f t="shared" si="9"/>
        <v>0.23595776219735853</v>
      </c>
      <c r="AC24" s="36">
        <v>0.125</v>
      </c>
      <c r="AL24" t="str">
        <f t="shared" si="10"/>
        <v>Health Deterioration/TPA Approval Delay</v>
      </c>
      <c r="AM24" t="str">
        <f t="shared" si="11"/>
        <v>No</v>
      </c>
      <c r="AN24" t="str">
        <f t="shared" si="12"/>
        <v>Elective</v>
      </c>
      <c r="AO24" t="str">
        <f t="shared" si="13"/>
        <v>HDU</v>
      </c>
    </row>
    <row r="25" spans="1:41" x14ac:dyDescent="0.3">
      <c r="A25" s="21" t="str">
        <f t="shared" si="5"/>
        <v>UHID-00024</v>
      </c>
      <c r="B25" s="18">
        <v>77</v>
      </c>
      <c r="C25" s="10" t="s">
        <v>18</v>
      </c>
      <c r="D25" s="13" t="s">
        <v>28</v>
      </c>
      <c r="E25" s="13" t="s">
        <v>6</v>
      </c>
      <c r="F25" s="15">
        <v>46173.680795474502</v>
      </c>
      <c r="G25" s="4">
        <v>46173</v>
      </c>
      <c r="H25" s="1">
        <v>46177.542425659703</v>
      </c>
      <c r="I25" s="22">
        <v>46177</v>
      </c>
      <c r="J25" s="24">
        <f t="shared" si="0"/>
        <v>46177.322680493067</v>
      </c>
      <c r="K25" s="24">
        <f t="shared" si="1"/>
        <v>0.54242565970344003</v>
      </c>
      <c r="L25" s="29">
        <f t="shared" si="6"/>
        <v>46176</v>
      </c>
      <c r="M25" s="27" t="str">
        <f t="shared" si="7"/>
        <v>Health Deterioration</v>
      </c>
      <c r="N25" s="31">
        <f t="shared" si="2"/>
        <v>4</v>
      </c>
      <c r="O25" s="27">
        <f>AVERAGEIF(E2:E1334,"Others",N2:N1334)</f>
        <v>5</v>
      </c>
      <c r="P25" s="31" cm="1">
        <f t="array" ref="P25">MEDIAN(IF(E2:E1334="Others",N5:N1334))</f>
        <v>4</v>
      </c>
      <c r="Q25" s="8">
        <v>0.99000891325916507</v>
      </c>
      <c r="R25" s="8" t="str">
        <f t="shared" si="3"/>
        <v>Critical Delay</v>
      </c>
      <c r="S25" s="33">
        <v>2.2738839992944264</v>
      </c>
      <c r="T25" t="s">
        <v>31</v>
      </c>
      <c r="U25" s="3">
        <v>3</v>
      </c>
      <c r="V25" s="3" t="str">
        <f t="shared" si="8"/>
        <v>Normal</v>
      </c>
      <c r="W25" s="3" t="s">
        <v>50</v>
      </c>
      <c r="X25" s="32">
        <f t="shared" si="4"/>
        <v>0.21974516663613031</v>
      </c>
      <c r="Z25" s="38">
        <f t="shared" si="9"/>
        <v>9.4745166636130307E-2</v>
      </c>
      <c r="AC25" s="36">
        <v>0.125</v>
      </c>
      <c r="AL25" t="str">
        <f t="shared" si="10"/>
        <v>Health Deterioration</v>
      </c>
      <c r="AM25" t="str">
        <f t="shared" si="11"/>
        <v>Yes</v>
      </c>
      <c r="AN25" t="str">
        <f t="shared" si="12"/>
        <v>Elective</v>
      </c>
      <c r="AO25" t="str">
        <f t="shared" si="13"/>
        <v>HDU</v>
      </c>
    </row>
    <row r="26" spans="1:41" x14ac:dyDescent="0.3">
      <c r="A26" s="21" t="str">
        <f t="shared" si="5"/>
        <v>UHID-00025</v>
      </c>
      <c r="B26" s="18">
        <v>65</v>
      </c>
      <c r="C26" s="10" t="s">
        <v>18</v>
      </c>
      <c r="D26" s="13" t="s">
        <v>28</v>
      </c>
      <c r="E26" s="13" t="s">
        <v>6</v>
      </c>
      <c r="F26" s="15">
        <v>46173.4252698032</v>
      </c>
      <c r="G26" s="4">
        <v>46173</v>
      </c>
      <c r="H26" s="1">
        <v>46177.0025068287</v>
      </c>
      <c r="I26" s="22">
        <v>46177</v>
      </c>
      <c r="J26" s="24">
        <f t="shared" si="0"/>
        <v>46176.90450740204</v>
      </c>
      <c r="K26" s="24">
        <f t="shared" si="1"/>
        <v>2.5068286995519884E-3</v>
      </c>
      <c r="L26" s="29">
        <f t="shared" si="6"/>
        <v>46176</v>
      </c>
      <c r="M26" s="27" t="str">
        <f t="shared" si="7"/>
        <v>Doctor Round Delay/Report Delay</v>
      </c>
      <c r="N26" s="31">
        <f t="shared" si="2"/>
        <v>4</v>
      </c>
      <c r="O26" s="26" t="s">
        <v>47</v>
      </c>
      <c r="P26" s="26" t="s">
        <v>47</v>
      </c>
      <c r="Q26" s="8">
        <v>0.92883845300356027</v>
      </c>
      <c r="R26" s="8" t="str">
        <f t="shared" si="3"/>
        <v>Minor Delay</v>
      </c>
      <c r="S26" s="33">
        <v>2.3519862397517981</v>
      </c>
      <c r="T26" t="s">
        <v>31</v>
      </c>
      <c r="U26" s="3">
        <v>0</v>
      </c>
      <c r="V26" s="3" t="str">
        <f t="shared" si="8"/>
        <v>Normal</v>
      </c>
      <c r="W26" s="3" t="s">
        <v>51</v>
      </c>
      <c r="X26" s="32">
        <f t="shared" si="4"/>
        <v>9.7999426659953315E-2</v>
      </c>
      <c r="Z26" s="38">
        <f t="shared" si="9"/>
        <v>0</v>
      </c>
      <c r="AC26" s="36">
        <v>0.125</v>
      </c>
      <c r="AL26" t="str">
        <f t="shared" si="10"/>
        <v>Doctor Round Delay/Report Delay</v>
      </c>
      <c r="AM26" t="str">
        <f t="shared" si="11"/>
        <v>No</v>
      </c>
      <c r="AN26" t="str">
        <f t="shared" si="12"/>
        <v>Elective</v>
      </c>
      <c r="AO26" t="str">
        <f t="shared" si="13"/>
        <v>HDU</v>
      </c>
    </row>
    <row r="27" spans="1:41" x14ac:dyDescent="0.3">
      <c r="A27" s="21" t="str">
        <f t="shared" si="5"/>
        <v>UHID-00026</v>
      </c>
      <c r="B27" s="18">
        <v>59</v>
      </c>
      <c r="C27" s="10" t="s">
        <v>17</v>
      </c>
      <c r="D27" s="13" t="s">
        <v>26</v>
      </c>
      <c r="E27" s="13" t="s">
        <v>6</v>
      </c>
      <c r="F27" s="15">
        <v>46175.6654606597</v>
      </c>
      <c r="G27" s="4">
        <v>46175</v>
      </c>
      <c r="H27" s="1">
        <v>46177.648203194403</v>
      </c>
      <c r="I27" s="22">
        <v>46177</v>
      </c>
      <c r="J27" s="24">
        <f t="shared" si="0"/>
        <v>46177.489643895846</v>
      </c>
      <c r="K27" s="24">
        <f t="shared" si="1"/>
        <v>0.64820319440332241</v>
      </c>
      <c r="L27" s="29">
        <f t="shared" si="6"/>
        <v>46176</v>
      </c>
      <c r="M27" s="27" t="str">
        <f t="shared" si="7"/>
        <v>TPA Approval Delay</v>
      </c>
      <c r="N27" s="31">
        <f t="shared" si="2"/>
        <v>2</v>
      </c>
      <c r="O27" s="27">
        <f>AVERAGEIF(E2:E1334,E1129,N2:N1334)</f>
        <v>2.847457627118644</v>
      </c>
      <c r="P27" s="31" cm="1">
        <f t="array" ref="P27">MEDIAN(IF(E2:E1334=E1181,N2:N1334))</f>
        <v>2</v>
      </c>
      <c r="Q27" s="8">
        <v>0.50055806297391436</v>
      </c>
      <c r="R27" s="8" t="str">
        <f t="shared" si="3"/>
        <v>Major Delay</v>
      </c>
      <c r="S27" s="33">
        <v>3.8054231654081145</v>
      </c>
      <c r="T27" t="s">
        <v>31</v>
      </c>
      <c r="U27" s="3">
        <v>0</v>
      </c>
      <c r="V27" s="3" t="str">
        <f t="shared" si="8"/>
        <v>Normal</v>
      </c>
      <c r="W27" s="3" t="s">
        <v>51</v>
      </c>
      <c r="X27" s="32">
        <f t="shared" si="4"/>
        <v>0.15855929855752038</v>
      </c>
      <c r="Z27" s="38">
        <f t="shared" si="9"/>
        <v>3.3559298557520378E-2</v>
      </c>
      <c r="AC27" s="36">
        <v>0.125</v>
      </c>
      <c r="AL27" t="str">
        <f t="shared" si="10"/>
        <v>TPA Approval Delay</v>
      </c>
      <c r="AM27" t="str">
        <f t="shared" si="11"/>
        <v>No</v>
      </c>
      <c r="AN27" t="str">
        <f t="shared" si="12"/>
        <v>Elective</v>
      </c>
      <c r="AO27" t="str">
        <f t="shared" si="13"/>
        <v>General Ward</v>
      </c>
    </row>
    <row r="28" spans="1:41" x14ac:dyDescent="0.3">
      <c r="A28" s="21" t="str">
        <f t="shared" si="5"/>
        <v>UHID-00027</v>
      </c>
      <c r="B28" s="18">
        <v>61</v>
      </c>
      <c r="C28" s="10" t="s">
        <v>17</v>
      </c>
      <c r="D28" s="13" t="s">
        <v>27</v>
      </c>
      <c r="E28" s="13" t="s">
        <v>6</v>
      </c>
      <c r="F28" s="15">
        <v>46174.981261724497</v>
      </c>
      <c r="G28" s="4">
        <v>46174</v>
      </c>
      <c r="H28" s="1">
        <v>46177.648815821798</v>
      </c>
      <c r="I28" s="22">
        <v>46177</v>
      </c>
      <c r="J28" s="24">
        <f t="shared" si="0"/>
        <v>46177.416356672278</v>
      </c>
      <c r="K28" s="24">
        <f t="shared" si="1"/>
        <v>0.64881582179805264</v>
      </c>
      <c r="L28" s="29">
        <f t="shared" si="6"/>
        <v>46176</v>
      </c>
      <c r="M28" s="27" t="str">
        <f t="shared" si="7"/>
        <v>Health Deterioration</v>
      </c>
      <c r="N28" s="31">
        <f t="shared" si="2"/>
        <v>3</v>
      </c>
      <c r="O28" s="26" t="s">
        <v>48</v>
      </c>
      <c r="P28" s="26" t="s">
        <v>48</v>
      </c>
      <c r="Q28" s="8">
        <v>0.2034922775731236</v>
      </c>
      <c r="R28" s="8" t="str">
        <f t="shared" si="3"/>
        <v>Critical Delay</v>
      </c>
      <c r="S28" s="33">
        <v>1.5790195885099243</v>
      </c>
      <c r="T28" t="s">
        <v>30</v>
      </c>
      <c r="U28" s="3">
        <v>4</v>
      </c>
      <c r="V28" s="3" t="str">
        <f t="shared" si="8"/>
        <v/>
      </c>
      <c r="W28" s="3" t="s">
        <v>50</v>
      </c>
      <c r="X28" s="32">
        <f t="shared" si="4"/>
        <v>0.23245914951985469</v>
      </c>
      <c r="Z28" s="38">
        <f t="shared" si="9"/>
        <v>0.10745914951985469</v>
      </c>
      <c r="AC28" s="36">
        <v>0.125</v>
      </c>
      <c r="AL28" t="str">
        <f t="shared" si="10"/>
        <v>Health Deterioration</v>
      </c>
      <c r="AM28" t="str">
        <f t="shared" si="11"/>
        <v>No</v>
      </c>
      <c r="AN28" t="str">
        <f t="shared" si="12"/>
        <v>Elective</v>
      </c>
      <c r="AO28" t="str">
        <f t="shared" si="13"/>
        <v>General Ward</v>
      </c>
    </row>
    <row r="29" spans="1:41" x14ac:dyDescent="0.3">
      <c r="A29" s="21" t="str">
        <f t="shared" si="5"/>
        <v>UHID-00028</v>
      </c>
      <c r="B29" s="18">
        <v>61</v>
      </c>
      <c r="C29" s="10" t="s">
        <v>18</v>
      </c>
      <c r="D29" s="13" t="s">
        <v>27</v>
      </c>
      <c r="E29" s="13" t="s">
        <v>6</v>
      </c>
      <c r="F29" s="15">
        <v>46177.517549965298</v>
      </c>
      <c r="G29" s="4">
        <v>46177</v>
      </c>
      <c r="H29" s="1">
        <v>46178.585549027797</v>
      </c>
      <c r="I29" s="22">
        <v>46178</v>
      </c>
      <c r="J29" s="24">
        <f t="shared" si="0"/>
        <v>46178.533403426467</v>
      </c>
      <c r="K29" s="24">
        <f t="shared" si="1"/>
        <v>0.58554902779724216</v>
      </c>
      <c r="L29" s="29">
        <f t="shared" si="6"/>
        <v>46177</v>
      </c>
      <c r="M29" s="27" t="str">
        <f t="shared" si="7"/>
        <v>Normal</v>
      </c>
      <c r="N29" s="31">
        <f t="shared" si="2"/>
        <v>1</v>
      </c>
      <c r="O29" s="27">
        <f>AVERAGEIF(E2:E1334,"Plastic surgery",N2:N1334)</f>
        <v>1.5714285714285714</v>
      </c>
      <c r="P29" s="31" cm="1">
        <f t="array" ref="P29">MEDIAN(IF(E2:E1334=E1182,N2:N1334))</f>
        <v>0</v>
      </c>
      <c r="Q29" s="8">
        <v>0.39019692046172449</v>
      </c>
      <c r="R29" s="8" t="str">
        <f t="shared" si="3"/>
        <v>On Time</v>
      </c>
      <c r="S29" s="33">
        <v>1.2514944319935808</v>
      </c>
      <c r="T29" t="s">
        <v>31</v>
      </c>
      <c r="U29" s="3">
        <v>0</v>
      </c>
      <c r="V29" s="3" t="str">
        <f t="shared" si="8"/>
        <v>Normal</v>
      </c>
      <c r="W29" s="3" t="s">
        <v>51</v>
      </c>
      <c r="X29" s="32">
        <f t="shared" si="4"/>
        <v>5.21456013302668E-2</v>
      </c>
      <c r="Z29" s="38">
        <f t="shared" si="9"/>
        <v>0</v>
      </c>
      <c r="AC29" s="36">
        <v>0.125</v>
      </c>
      <c r="AL29" t="str">
        <f t="shared" si="10"/>
        <v>Normal</v>
      </c>
      <c r="AM29" t="str">
        <f t="shared" si="11"/>
        <v>No</v>
      </c>
      <c r="AN29" t="str">
        <f t="shared" si="12"/>
        <v>Elective</v>
      </c>
      <c r="AO29" t="str">
        <f t="shared" si="13"/>
        <v>General Ward</v>
      </c>
    </row>
    <row r="30" spans="1:41" x14ac:dyDescent="0.3">
      <c r="A30" s="21" t="str">
        <f t="shared" si="5"/>
        <v>UHID-00029</v>
      </c>
      <c r="B30" s="18">
        <v>68</v>
      </c>
      <c r="C30" s="10" t="s">
        <v>18</v>
      </c>
      <c r="D30" s="13" t="s">
        <v>27</v>
      </c>
      <c r="E30" s="13" t="s">
        <v>6</v>
      </c>
      <c r="F30" s="15">
        <v>46174.664576134302</v>
      </c>
      <c r="G30" s="4">
        <v>46174</v>
      </c>
      <c r="H30" s="1">
        <v>46178.603536122697</v>
      </c>
      <c r="I30" s="22">
        <v>46178</v>
      </c>
      <c r="J30" s="24">
        <f t="shared" si="0"/>
        <v>46178.534527829928</v>
      </c>
      <c r="K30" s="24">
        <f t="shared" si="1"/>
        <v>0.60353612269682344</v>
      </c>
      <c r="L30" s="29">
        <f t="shared" si="6"/>
        <v>46177</v>
      </c>
      <c r="M30" s="27" t="str">
        <f t="shared" si="7"/>
        <v>Normal</v>
      </c>
      <c r="N30" s="31">
        <f t="shared" si="2"/>
        <v>4</v>
      </c>
      <c r="O30" s="26" t="s">
        <v>49</v>
      </c>
      <c r="P30" s="26" t="s">
        <v>49</v>
      </c>
      <c r="Q30" s="8">
        <v>0.14502434936542707</v>
      </c>
      <c r="R30" s="8" t="str">
        <f t="shared" si="3"/>
        <v>On Time</v>
      </c>
      <c r="S30" s="33">
        <v>1.6561990263933228</v>
      </c>
      <c r="T30" t="s">
        <v>30</v>
      </c>
      <c r="U30" s="3">
        <v>0</v>
      </c>
      <c r="V30" s="3" t="str">
        <f t="shared" si="8"/>
        <v/>
      </c>
      <c r="W30" s="3" t="s">
        <v>51</v>
      </c>
      <c r="X30" s="32">
        <f t="shared" si="4"/>
        <v>6.9008292768558022E-2</v>
      </c>
      <c r="Z30" s="38">
        <f t="shared" si="9"/>
        <v>0</v>
      </c>
      <c r="AC30" s="36">
        <v>0.125</v>
      </c>
      <c r="AL30" t="str">
        <f t="shared" si="10"/>
        <v>Normal</v>
      </c>
      <c r="AM30" t="str">
        <f t="shared" si="11"/>
        <v>No</v>
      </c>
      <c r="AN30" t="str">
        <f t="shared" si="12"/>
        <v>Emergency</v>
      </c>
      <c r="AO30" t="str">
        <f t="shared" si="13"/>
        <v>ICU</v>
      </c>
    </row>
    <row r="31" spans="1:41" x14ac:dyDescent="0.3">
      <c r="A31" s="21" t="str">
        <f t="shared" si="5"/>
        <v>UHID-00030</v>
      </c>
      <c r="B31" s="18">
        <v>39</v>
      </c>
      <c r="C31" s="10" t="s">
        <v>17</v>
      </c>
      <c r="D31" s="13" t="s">
        <v>26</v>
      </c>
      <c r="E31" s="13" t="s">
        <v>6</v>
      </c>
      <c r="F31" s="15">
        <v>46177.020198344901</v>
      </c>
      <c r="G31" s="4">
        <v>46177</v>
      </c>
      <c r="H31" s="1">
        <v>46178.550054247702</v>
      </c>
      <c r="I31" s="22">
        <v>46178</v>
      </c>
      <c r="J31" s="24">
        <f t="shared" si="0"/>
        <v>46178.418209040836</v>
      </c>
      <c r="K31" s="24">
        <f t="shared" si="1"/>
        <v>0.55005424770206446</v>
      </c>
      <c r="L31" s="29">
        <f t="shared" si="6"/>
        <v>46177</v>
      </c>
      <c r="M31" s="27" t="str">
        <f t="shared" si="7"/>
        <v>TPA Approval Delay</v>
      </c>
      <c r="N31" s="31">
        <f t="shared" si="2"/>
        <v>1</v>
      </c>
      <c r="O31" s="27">
        <f>AVERAGEIF(E2:E1334,"Urology",N2:N1334)</f>
        <v>1.4794520547945205</v>
      </c>
      <c r="P31" s="31" cm="1">
        <f t="array" ref="P31">MEDIAN(IF(E2:E1334="Urology",N2:N1334))</f>
        <v>1</v>
      </c>
      <c r="Q31" s="8">
        <v>0.63888315201053369</v>
      </c>
      <c r="R31" s="8" t="str">
        <f t="shared" si="3"/>
        <v>Major Delay</v>
      </c>
      <c r="S31" s="33">
        <v>3.1642849647183779</v>
      </c>
      <c r="T31" t="s">
        <v>31</v>
      </c>
      <c r="U31" s="3">
        <v>0</v>
      </c>
      <c r="V31" s="3" t="str">
        <f t="shared" si="8"/>
        <v>Normal</v>
      </c>
      <c r="W31" s="3" t="s">
        <v>51</v>
      </c>
      <c r="X31" s="32">
        <f t="shared" si="4"/>
        <v>0.13184520686627366</v>
      </c>
      <c r="Z31" s="38">
        <f t="shared" si="9"/>
        <v>6.8452068662736565E-3</v>
      </c>
      <c r="AC31" s="36">
        <v>0.125</v>
      </c>
      <c r="AL31" t="str">
        <f t="shared" si="10"/>
        <v>TPA Approval Delay</v>
      </c>
      <c r="AM31" t="str">
        <f t="shared" si="11"/>
        <v>No</v>
      </c>
      <c r="AN31" t="str">
        <f t="shared" si="12"/>
        <v>Emergency</v>
      </c>
      <c r="AO31" t="str">
        <f t="shared" si="13"/>
        <v>ICU</v>
      </c>
    </row>
    <row r="32" spans="1:41" x14ac:dyDescent="0.3">
      <c r="A32" s="21" t="str">
        <f t="shared" si="5"/>
        <v>UHID-00031</v>
      </c>
      <c r="B32" s="18">
        <v>60</v>
      </c>
      <c r="C32" s="10" t="s">
        <v>18</v>
      </c>
      <c r="D32" s="13" t="s">
        <v>28</v>
      </c>
      <c r="E32" s="13" t="s">
        <v>6</v>
      </c>
      <c r="F32" s="15">
        <v>46176.425535127302</v>
      </c>
      <c r="G32" s="4">
        <v>46176</v>
      </c>
      <c r="H32" s="1">
        <v>46179.5486822569</v>
      </c>
      <c r="I32" s="22">
        <v>46179</v>
      </c>
      <c r="J32" s="24">
        <f t="shared" si="0"/>
        <v>46179.354084329083</v>
      </c>
      <c r="K32" s="24">
        <f t="shared" si="1"/>
        <v>0.54868225690006511</v>
      </c>
      <c r="L32" s="29">
        <f t="shared" si="6"/>
        <v>46178</v>
      </c>
      <c r="M32" s="27" t="str">
        <f t="shared" si="7"/>
        <v>Medication Change</v>
      </c>
      <c r="N32" s="31">
        <f t="shared" si="2"/>
        <v>3</v>
      </c>
      <c r="O32" s="27"/>
      <c r="Q32" s="8">
        <v>0.89289001377713095</v>
      </c>
      <c r="R32" s="8" t="str">
        <f t="shared" si="3"/>
        <v>Major Delay</v>
      </c>
      <c r="S32" s="33">
        <v>2.6703502675346331</v>
      </c>
      <c r="T32" t="s">
        <v>31</v>
      </c>
      <c r="U32" s="3">
        <v>2</v>
      </c>
      <c r="V32" s="3" t="str">
        <f t="shared" si="8"/>
        <v>Normal</v>
      </c>
      <c r="W32" s="3" t="s">
        <v>50</v>
      </c>
      <c r="X32" s="32">
        <f t="shared" si="4"/>
        <v>0.19459792781708529</v>
      </c>
      <c r="Z32" s="38">
        <f t="shared" si="9"/>
        <v>6.9597927817085292E-2</v>
      </c>
      <c r="AC32" s="36">
        <v>0.125</v>
      </c>
      <c r="AL32" t="str">
        <f t="shared" si="10"/>
        <v>Medication Change</v>
      </c>
      <c r="AM32" t="str">
        <f t="shared" si="11"/>
        <v>No</v>
      </c>
      <c r="AN32" t="str">
        <f t="shared" si="12"/>
        <v>Emergency</v>
      </c>
      <c r="AO32" t="str">
        <f t="shared" si="13"/>
        <v>ICU</v>
      </c>
    </row>
    <row r="33" spans="1:41" x14ac:dyDescent="0.3">
      <c r="A33" s="21" t="str">
        <f t="shared" si="5"/>
        <v>UHID-00032</v>
      </c>
      <c r="B33" s="18">
        <v>71</v>
      </c>
      <c r="C33" s="10" t="s">
        <v>18</v>
      </c>
      <c r="D33" s="13" t="s">
        <v>27</v>
      </c>
      <c r="E33" s="13" t="s">
        <v>6</v>
      </c>
      <c r="F33" s="15">
        <v>46174.604925277803</v>
      </c>
      <c r="G33" s="4">
        <v>46174</v>
      </c>
      <c r="H33" s="1">
        <v>46179.692057557899</v>
      </c>
      <c r="I33" s="22">
        <v>46179</v>
      </c>
      <c r="J33" s="24">
        <f t="shared" si="0"/>
        <v>46179.620573346547</v>
      </c>
      <c r="K33" s="24">
        <f t="shared" si="1"/>
        <v>0.69205755789880641</v>
      </c>
      <c r="L33" s="29">
        <f t="shared" si="6"/>
        <v>46178</v>
      </c>
      <c r="M33" s="27" t="str">
        <f t="shared" si="7"/>
        <v>Normal</v>
      </c>
      <c r="N33" s="31">
        <f t="shared" si="2"/>
        <v>5</v>
      </c>
      <c r="O33" s="27"/>
      <c r="Q33" s="8">
        <v>0.13526417016064851</v>
      </c>
      <c r="R33" s="8" t="str">
        <f t="shared" si="3"/>
        <v>On Time</v>
      </c>
      <c r="S33" s="33">
        <v>1.7156210725162566</v>
      </c>
      <c r="T33" t="s">
        <v>30</v>
      </c>
      <c r="U33" s="3">
        <v>0</v>
      </c>
      <c r="V33" s="3" t="str">
        <f t="shared" si="8"/>
        <v/>
      </c>
      <c r="W33" s="3" t="s">
        <v>51</v>
      </c>
      <c r="X33" s="32">
        <f t="shared" si="4"/>
        <v>7.1484211352071725E-2</v>
      </c>
      <c r="Z33" s="38">
        <f t="shared" si="9"/>
        <v>0</v>
      </c>
      <c r="AC33" s="36">
        <v>0.125</v>
      </c>
      <c r="AL33" t="str">
        <f t="shared" si="10"/>
        <v>Normal</v>
      </c>
      <c r="AM33" t="str">
        <f t="shared" si="11"/>
        <v>No</v>
      </c>
      <c r="AN33" t="str">
        <f t="shared" si="12"/>
        <v>Elective</v>
      </c>
      <c r="AO33" t="str">
        <f t="shared" si="13"/>
        <v>ICU</v>
      </c>
    </row>
    <row r="34" spans="1:41" x14ac:dyDescent="0.3">
      <c r="A34" s="21" t="str">
        <f t="shared" si="5"/>
        <v>UHID-00033</v>
      </c>
      <c r="B34" s="18">
        <v>64</v>
      </c>
      <c r="C34" s="10" t="s">
        <v>18</v>
      </c>
      <c r="D34" s="13" t="s">
        <v>26</v>
      </c>
      <c r="E34" s="13" t="s">
        <v>6</v>
      </c>
      <c r="F34" s="15">
        <v>46164.027417847203</v>
      </c>
      <c r="G34" s="4">
        <v>46164</v>
      </c>
      <c r="H34" s="1">
        <v>46179.608664953703</v>
      </c>
      <c r="I34" s="22">
        <v>46179</v>
      </c>
      <c r="J34" s="24">
        <f t="shared" si="0"/>
        <v>46179.443905543645</v>
      </c>
      <c r="K34" s="24">
        <f t="shared" si="1"/>
        <v>0.60866495370282792</v>
      </c>
      <c r="L34" s="29">
        <f t="shared" si="6"/>
        <v>46178</v>
      </c>
      <c r="M34" s="27" t="str">
        <f t="shared" si="7"/>
        <v>TPA Approval Delay</v>
      </c>
      <c r="N34" s="31">
        <f t="shared" si="2"/>
        <v>15</v>
      </c>
      <c r="O34" s="27"/>
      <c r="Q34" s="8">
        <v>0.66715077866816297</v>
      </c>
      <c r="R34" s="8" t="str">
        <f t="shared" si="3"/>
        <v>Major Delay</v>
      </c>
      <c r="S34" s="33">
        <v>3.9542258413185456</v>
      </c>
      <c r="T34" t="s">
        <v>31</v>
      </c>
      <c r="U34" s="3">
        <v>0</v>
      </c>
      <c r="V34" s="3" t="str">
        <f t="shared" si="8"/>
        <v>Normal</v>
      </c>
      <c r="W34" s="3" t="s">
        <v>51</v>
      </c>
      <c r="X34" s="32">
        <f t="shared" si="4"/>
        <v>0.16475941005774075</v>
      </c>
      <c r="Z34" s="38">
        <f t="shared" si="9"/>
        <v>3.9759410057740752E-2</v>
      </c>
      <c r="AC34" s="36">
        <v>0.125</v>
      </c>
      <c r="AL34" t="str">
        <f t="shared" si="10"/>
        <v>TPA Approval Delay</v>
      </c>
      <c r="AM34" t="str">
        <f t="shared" si="11"/>
        <v>Yes</v>
      </c>
      <c r="AN34" t="str">
        <f t="shared" si="12"/>
        <v>Elective</v>
      </c>
      <c r="AO34" t="str">
        <f t="shared" si="13"/>
        <v>ICU</v>
      </c>
    </row>
    <row r="35" spans="1:41" x14ac:dyDescent="0.3">
      <c r="A35" s="21" t="str">
        <f t="shared" si="5"/>
        <v>UHID-00034</v>
      </c>
      <c r="B35" s="18">
        <v>60</v>
      </c>
      <c r="C35" s="10" t="s">
        <v>17</v>
      </c>
      <c r="D35" s="13" t="s">
        <v>26</v>
      </c>
      <c r="E35" s="13" t="s">
        <v>6</v>
      </c>
      <c r="F35" s="15">
        <v>46179.435364236102</v>
      </c>
      <c r="G35" s="4">
        <v>46179</v>
      </c>
      <c r="H35" s="1">
        <v>46179.672376631897</v>
      </c>
      <c r="I35" s="22">
        <v>46179</v>
      </c>
      <c r="J35" s="24">
        <f t="shared" si="0"/>
        <v>46179.41967979449</v>
      </c>
      <c r="K35" s="24">
        <f t="shared" si="1"/>
        <v>0.67237663189735031</v>
      </c>
      <c r="L35" s="29">
        <f t="shared" si="6"/>
        <v>46178</v>
      </c>
      <c r="M35" s="27" t="str">
        <f t="shared" si="7"/>
        <v>Health Deterioration/TPA Approval Delay</v>
      </c>
      <c r="N35" s="31">
        <f t="shared" si="2"/>
        <v>0</v>
      </c>
      <c r="O35" s="27"/>
      <c r="Q35" s="8">
        <v>0.83684847897084658</v>
      </c>
      <c r="R35" s="8" t="str">
        <f t="shared" si="3"/>
        <v>Critical Delay</v>
      </c>
      <c r="S35" s="33">
        <v>3.0647240978143766</v>
      </c>
      <c r="T35" t="s">
        <v>31</v>
      </c>
      <c r="U35" s="3">
        <v>3</v>
      </c>
      <c r="V35" s="3" t="str">
        <f t="shared" si="8"/>
        <v>Normal</v>
      </c>
      <c r="W35" s="3" t="s">
        <v>50</v>
      </c>
      <c r="X35" s="32">
        <f t="shared" si="4"/>
        <v>0.25269683740771143</v>
      </c>
      <c r="Z35" s="38">
        <f t="shared" si="9"/>
        <v>0.12769683740771143</v>
      </c>
      <c r="AC35" s="36">
        <v>0.125</v>
      </c>
      <c r="AL35" t="str">
        <f t="shared" si="10"/>
        <v>Health Deterioration/TPA Approval Delay</v>
      </c>
      <c r="AM35" t="str">
        <f t="shared" si="11"/>
        <v>No</v>
      </c>
      <c r="AN35" t="str">
        <f t="shared" si="12"/>
        <v>Elective</v>
      </c>
      <c r="AO35" t="str">
        <f t="shared" si="13"/>
        <v>HDU</v>
      </c>
    </row>
    <row r="36" spans="1:41" x14ac:dyDescent="0.3">
      <c r="A36" s="21" t="str">
        <f t="shared" si="5"/>
        <v>UHID-00035</v>
      </c>
      <c r="B36" s="18">
        <v>85</v>
      </c>
      <c r="C36" s="10" t="s">
        <v>18</v>
      </c>
      <c r="D36" s="13" t="s">
        <v>28</v>
      </c>
      <c r="E36" s="13" t="s">
        <v>6</v>
      </c>
      <c r="F36" s="15">
        <v>46177.846612164401</v>
      </c>
      <c r="G36" s="4">
        <v>46177</v>
      </c>
      <c r="H36" s="1">
        <v>46179.6862293866</v>
      </c>
      <c r="I36" s="22">
        <v>46179</v>
      </c>
      <c r="J36" s="24">
        <f t="shared" si="0"/>
        <v>46179.399008913068</v>
      </c>
      <c r="K36" s="24">
        <f t="shared" si="1"/>
        <v>0.68622938659973443</v>
      </c>
      <c r="L36" s="29">
        <f t="shared" si="6"/>
        <v>46178</v>
      </c>
      <c r="M36" s="27" t="str">
        <f t="shared" si="7"/>
        <v>Health Deterioration</v>
      </c>
      <c r="N36" s="31">
        <f t="shared" si="2"/>
        <v>2</v>
      </c>
      <c r="O36" s="27"/>
      <c r="Q36" s="8">
        <v>0.87651780414354041</v>
      </c>
      <c r="R36" s="8" t="str">
        <f t="shared" si="3"/>
        <v>Critical Delay</v>
      </c>
      <c r="S36" s="33">
        <v>2.8932913647571112</v>
      </c>
      <c r="T36" t="s">
        <v>31</v>
      </c>
      <c r="U36" s="3">
        <v>4</v>
      </c>
      <c r="V36" s="3" t="str">
        <f t="shared" si="8"/>
        <v>Normal</v>
      </c>
      <c r="W36" s="3" t="s">
        <v>50</v>
      </c>
      <c r="X36" s="32">
        <f t="shared" si="4"/>
        <v>0.28722047353221569</v>
      </c>
      <c r="Z36" s="38">
        <f t="shared" si="9"/>
        <v>0.16222047353221569</v>
      </c>
      <c r="AC36" s="36">
        <v>0.125</v>
      </c>
      <c r="AL36" t="str">
        <f t="shared" si="10"/>
        <v>Health Deterioration</v>
      </c>
      <c r="AM36" t="str">
        <f t="shared" si="11"/>
        <v>Yes</v>
      </c>
      <c r="AN36" t="str">
        <f t="shared" si="12"/>
        <v>Elective</v>
      </c>
      <c r="AO36" t="str">
        <f t="shared" si="13"/>
        <v>General Ward</v>
      </c>
    </row>
    <row r="37" spans="1:41" x14ac:dyDescent="0.3">
      <c r="A37" s="21" t="str">
        <f t="shared" si="5"/>
        <v>UHID-00036</v>
      </c>
      <c r="B37" s="18">
        <v>56</v>
      </c>
      <c r="C37" s="10" t="s">
        <v>17</v>
      </c>
      <c r="D37" s="13" t="s">
        <v>26</v>
      </c>
      <c r="E37" s="13" t="s">
        <v>6</v>
      </c>
      <c r="F37" s="15">
        <v>46179.3662360417</v>
      </c>
      <c r="G37" s="4">
        <v>46179</v>
      </c>
      <c r="H37" s="1">
        <v>46179.671839444403</v>
      </c>
      <c r="I37" s="22">
        <v>46179</v>
      </c>
      <c r="J37" s="24">
        <f t="shared" si="0"/>
        <v>46179.543129103142</v>
      </c>
      <c r="K37" s="24">
        <f t="shared" si="1"/>
        <v>0.67183944440330379</v>
      </c>
      <c r="L37" s="29">
        <f t="shared" si="6"/>
        <v>46178</v>
      </c>
      <c r="M37" s="27" t="str">
        <f t="shared" si="7"/>
        <v>TPA Approval Delay</v>
      </c>
      <c r="N37" s="31">
        <f t="shared" si="2"/>
        <v>0</v>
      </c>
      <c r="O37" s="27"/>
      <c r="Q37" s="8">
        <v>0.66539806919140165</v>
      </c>
      <c r="R37" s="8" t="str">
        <f t="shared" si="3"/>
        <v>Major Delay</v>
      </c>
      <c r="S37" s="33">
        <v>3.0890481903169622</v>
      </c>
      <c r="T37" t="s">
        <v>31</v>
      </c>
      <c r="U37" s="3">
        <v>0</v>
      </c>
      <c r="V37" s="3" t="str">
        <f t="shared" si="8"/>
        <v>Normal</v>
      </c>
      <c r="W37" s="3" t="s">
        <v>51</v>
      </c>
      <c r="X37" s="32">
        <f t="shared" si="4"/>
        <v>0.12871034126146697</v>
      </c>
      <c r="Z37" s="38">
        <f t="shared" si="9"/>
        <v>3.7103412614669651E-3</v>
      </c>
      <c r="AC37" s="36">
        <v>0.125</v>
      </c>
      <c r="AL37" t="str">
        <f t="shared" si="10"/>
        <v>TPA Approval Delay</v>
      </c>
      <c r="AM37" t="str">
        <f t="shared" si="11"/>
        <v>No</v>
      </c>
      <c r="AN37" t="str">
        <f t="shared" si="12"/>
        <v>Elective</v>
      </c>
      <c r="AO37" t="str">
        <f t="shared" si="13"/>
        <v>General Ward</v>
      </c>
    </row>
    <row r="38" spans="1:41" x14ac:dyDescent="0.3">
      <c r="A38" s="21" t="str">
        <f t="shared" si="5"/>
        <v>UHID-00037</v>
      </c>
      <c r="B38" s="18">
        <v>70</v>
      </c>
      <c r="C38" s="10" t="s">
        <v>17</v>
      </c>
      <c r="D38" s="13" t="s">
        <v>27</v>
      </c>
      <c r="E38" s="13" t="s">
        <v>6</v>
      </c>
      <c r="F38" s="15">
        <v>46177.766380277797</v>
      </c>
      <c r="G38" s="4">
        <v>46177</v>
      </c>
      <c r="H38" s="1">
        <v>46179.708575046301</v>
      </c>
      <c r="I38" s="22">
        <v>46179</v>
      </c>
      <c r="J38" s="24">
        <f t="shared" si="0"/>
        <v>46179.634191585799</v>
      </c>
      <c r="K38" s="24">
        <f t="shared" si="1"/>
        <v>0.70857504630112089</v>
      </c>
      <c r="L38" s="29">
        <f t="shared" si="6"/>
        <v>46178</v>
      </c>
      <c r="M38" s="27" t="str">
        <f t="shared" si="7"/>
        <v>Normal</v>
      </c>
      <c r="N38" s="31">
        <f t="shared" si="2"/>
        <v>2</v>
      </c>
      <c r="O38" s="27"/>
      <c r="Q38" s="8">
        <v>0.23464120788337828</v>
      </c>
      <c r="R38" s="8" t="str">
        <f t="shared" si="3"/>
        <v>On Time</v>
      </c>
      <c r="S38" s="33">
        <v>1.785203051981427</v>
      </c>
      <c r="T38" t="s">
        <v>30</v>
      </c>
      <c r="U38" s="3">
        <v>0</v>
      </c>
      <c r="V38" s="3" t="str">
        <f t="shared" si="8"/>
        <v/>
      </c>
      <c r="W38" s="3" t="s">
        <v>51</v>
      </c>
      <c r="X38" s="32">
        <f t="shared" si="4"/>
        <v>7.4383460501849186E-2</v>
      </c>
      <c r="Z38" s="38">
        <f t="shared" si="9"/>
        <v>0</v>
      </c>
      <c r="AC38" s="36">
        <v>0.125</v>
      </c>
      <c r="AL38" t="str">
        <f t="shared" si="10"/>
        <v>Normal</v>
      </c>
      <c r="AM38" t="str">
        <f t="shared" si="11"/>
        <v>No</v>
      </c>
      <c r="AN38" t="str">
        <f t="shared" si="12"/>
        <v>Elective</v>
      </c>
      <c r="AO38" t="str">
        <f t="shared" si="13"/>
        <v>General Ward</v>
      </c>
    </row>
    <row r="39" spans="1:41" x14ac:dyDescent="0.3">
      <c r="A39" s="21" t="str">
        <f t="shared" si="5"/>
        <v>UHID-00038</v>
      </c>
      <c r="B39" s="18">
        <v>33</v>
      </c>
      <c r="C39" s="10" t="s">
        <v>17</v>
      </c>
      <c r="D39" s="13" t="s">
        <v>27</v>
      </c>
      <c r="E39" s="13" t="s">
        <v>6</v>
      </c>
      <c r="F39" s="15">
        <v>46179.453285069401</v>
      </c>
      <c r="G39" s="4">
        <v>46179</v>
      </c>
      <c r="H39" s="1">
        <v>46179.723963599499</v>
      </c>
      <c r="I39" s="22">
        <v>46179</v>
      </c>
      <c r="J39" s="24">
        <f t="shared" si="0"/>
        <v>46179.555409662164</v>
      </c>
      <c r="K39" s="24">
        <f t="shared" si="1"/>
        <v>0.72396359949925682</v>
      </c>
      <c r="L39" s="29">
        <f t="shared" si="6"/>
        <v>46178</v>
      </c>
      <c r="M39" s="27" t="str">
        <f t="shared" si="7"/>
        <v>Medication Change</v>
      </c>
      <c r="N39" s="31">
        <f t="shared" si="2"/>
        <v>0</v>
      </c>
      <c r="O39" s="27"/>
      <c r="Q39" s="8">
        <v>0.12985030754771554</v>
      </c>
      <c r="R39" s="8" t="str">
        <f t="shared" si="3"/>
        <v>Major Delay</v>
      </c>
      <c r="S39" s="33">
        <v>1.0452944960521089</v>
      </c>
      <c r="T39" t="s">
        <v>30</v>
      </c>
      <c r="U39" s="3">
        <v>3</v>
      </c>
      <c r="V39" s="3" t="str">
        <f t="shared" si="8"/>
        <v/>
      </c>
      <c r="W39" s="3" t="s">
        <v>50</v>
      </c>
      <c r="X39" s="32">
        <f t="shared" si="4"/>
        <v>0.16855393733567325</v>
      </c>
      <c r="Z39" s="38">
        <f t="shared" si="9"/>
        <v>4.3553937335673254E-2</v>
      </c>
      <c r="AC39" s="36">
        <v>0.125</v>
      </c>
      <c r="AL39" t="str">
        <f t="shared" si="10"/>
        <v>Medication Change</v>
      </c>
      <c r="AM39" t="str">
        <f t="shared" si="11"/>
        <v>No</v>
      </c>
      <c r="AN39" t="str">
        <f t="shared" si="12"/>
        <v>Elective</v>
      </c>
      <c r="AO39" t="str">
        <f t="shared" si="13"/>
        <v>General Ward</v>
      </c>
    </row>
    <row r="40" spans="1:41" x14ac:dyDescent="0.3">
      <c r="A40" s="21" t="str">
        <f t="shared" si="5"/>
        <v>UHID-00039</v>
      </c>
      <c r="B40" s="18">
        <v>73</v>
      </c>
      <c r="C40" s="10" t="s">
        <v>17</v>
      </c>
      <c r="D40" s="13" t="s">
        <v>26</v>
      </c>
      <c r="E40" s="13" t="s">
        <v>6</v>
      </c>
      <c r="F40" s="15">
        <v>46178.601202974503</v>
      </c>
      <c r="G40" s="4">
        <v>46178</v>
      </c>
      <c r="H40" s="1">
        <v>46179.644365856497</v>
      </c>
      <c r="I40" s="22">
        <v>46179</v>
      </c>
      <c r="J40" s="24">
        <f t="shared" si="0"/>
        <v>46179.340898482566</v>
      </c>
      <c r="K40" s="24">
        <f t="shared" si="1"/>
        <v>0.64436585649673361</v>
      </c>
      <c r="L40" s="29">
        <f t="shared" si="6"/>
        <v>46178</v>
      </c>
      <c r="M40" s="27" t="str">
        <f t="shared" si="7"/>
        <v>Health Deterioration/TPA Approval Delay</v>
      </c>
      <c r="N40" s="31">
        <f t="shared" si="2"/>
        <v>1</v>
      </c>
      <c r="O40" s="27"/>
      <c r="Q40" s="8">
        <v>0.81284372852753517</v>
      </c>
      <c r="R40" s="8" t="str">
        <f t="shared" si="3"/>
        <v>Critical Delay</v>
      </c>
      <c r="S40" s="33">
        <v>3.2832169743074271</v>
      </c>
      <c r="T40" t="s">
        <v>31</v>
      </c>
      <c r="U40" s="3">
        <v>4</v>
      </c>
      <c r="V40" s="3" t="str">
        <f t="shared" si="8"/>
        <v>Normal</v>
      </c>
      <c r="W40" s="3" t="s">
        <v>50</v>
      </c>
      <c r="X40" s="32">
        <f t="shared" si="4"/>
        <v>0.30346737393119838</v>
      </c>
      <c r="Z40" s="38">
        <f t="shared" si="9"/>
        <v>0.17846737393119838</v>
      </c>
      <c r="AC40" s="36">
        <v>0.125</v>
      </c>
      <c r="AL40" t="str">
        <f t="shared" si="10"/>
        <v>Health Deterioration/TPA Approval Delay</v>
      </c>
      <c r="AM40" t="str">
        <f t="shared" si="11"/>
        <v>Yes</v>
      </c>
      <c r="AN40" t="str">
        <f t="shared" si="12"/>
        <v>Emergency</v>
      </c>
      <c r="AO40" t="str">
        <f t="shared" si="13"/>
        <v>ICU</v>
      </c>
    </row>
    <row r="41" spans="1:41" x14ac:dyDescent="0.3">
      <c r="A41" s="21" t="str">
        <f t="shared" si="5"/>
        <v>UHID-00040</v>
      </c>
      <c r="B41" s="18">
        <v>65</v>
      </c>
      <c r="C41" s="10" t="s">
        <v>18</v>
      </c>
      <c r="D41" s="13" t="s">
        <v>28</v>
      </c>
      <c r="E41" s="13" t="s">
        <v>6</v>
      </c>
      <c r="F41" s="15">
        <v>46179.482893796303</v>
      </c>
      <c r="G41" s="4">
        <v>46179</v>
      </c>
      <c r="H41" s="1">
        <v>46179.7600979977</v>
      </c>
      <c r="I41" s="22">
        <v>46179</v>
      </c>
      <c r="J41" s="24">
        <f t="shared" si="0"/>
        <v>46179.658110492033</v>
      </c>
      <c r="K41" s="24">
        <f t="shared" si="1"/>
        <v>0.76009799769963138</v>
      </c>
      <c r="L41" s="29">
        <f t="shared" si="6"/>
        <v>46178</v>
      </c>
      <c r="M41" s="27" t="str">
        <f t="shared" si="7"/>
        <v>Doctor Round Delay/Report Delay</v>
      </c>
      <c r="N41" s="31">
        <f t="shared" si="2"/>
        <v>0</v>
      </c>
      <c r="O41" s="27"/>
      <c r="Q41" s="8">
        <v>0.97012161914942796</v>
      </c>
      <c r="R41" s="8" t="str">
        <f t="shared" si="3"/>
        <v>Minor Delay</v>
      </c>
      <c r="S41" s="33">
        <v>2.4477001360034309</v>
      </c>
      <c r="T41" t="s">
        <v>31</v>
      </c>
      <c r="U41" s="3">
        <v>0</v>
      </c>
      <c r="V41" s="3" t="str">
        <f t="shared" si="8"/>
        <v>Normal</v>
      </c>
      <c r="W41" s="3" t="s">
        <v>51</v>
      </c>
      <c r="X41" s="32">
        <f t="shared" si="4"/>
        <v>0.10198750566632953</v>
      </c>
      <c r="Z41" s="38">
        <f t="shared" si="9"/>
        <v>0</v>
      </c>
      <c r="AC41" s="36">
        <v>0.125</v>
      </c>
      <c r="AL41" t="str">
        <f t="shared" si="10"/>
        <v>Doctor Round Delay/Report Delay</v>
      </c>
      <c r="AM41" t="str">
        <f t="shared" si="11"/>
        <v>No</v>
      </c>
      <c r="AN41" t="str">
        <f t="shared" si="12"/>
        <v>Emergency</v>
      </c>
      <c r="AO41" t="str">
        <f t="shared" si="13"/>
        <v>ICU</v>
      </c>
    </row>
    <row r="42" spans="1:41" x14ac:dyDescent="0.3">
      <c r="A42" s="21" t="str">
        <f t="shared" si="5"/>
        <v>UHID-00041</v>
      </c>
      <c r="B42" s="18">
        <v>67</v>
      </c>
      <c r="C42" s="10" t="s">
        <v>18</v>
      </c>
      <c r="D42" s="13" t="s">
        <v>27</v>
      </c>
      <c r="E42" s="13" t="s">
        <v>6</v>
      </c>
      <c r="F42" s="15">
        <v>46177.404381342603</v>
      </c>
      <c r="G42" s="4">
        <v>46177</v>
      </c>
      <c r="H42" s="1">
        <v>46180.483473437504</v>
      </c>
      <c r="I42" s="22">
        <v>46180</v>
      </c>
      <c r="J42" s="24">
        <f t="shared" si="0"/>
        <v>46180.314482309579</v>
      </c>
      <c r="K42" s="24">
        <f t="shared" si="1"/>
        <v>0.48347343750356231</v>
      </c>
      <c r="L42" s="29">
        <f t="shared" si="6"/>
        <v>46179</v>
      </c>
      <c r="M42" s="27" t="str">
        <f t="shared" si="7"/>
        <v>Medication Change</v>
      </c>
      <c r="N42" s="31">
        <f t="shared" si="2"/>
        <v>3</v>
      </c>
      <c r="O42" s="27"/>
      <c r="Q42" s="8">
        <v>8.65571829174E-2</v>
      </c>
      <c r="R42" s="8" t="str">
        <f t="shared" si="3"/>
        <v>Major Delay</v>
      </c>
      <c r="S42" s="33">
        <v>1.0557870701404308</v>
      </c>
      <c r="T42" t="s">
        <v>30</v>
      </c>
      <c r="U42" s="3">
        <v>3</v>
      </c>
      <c r="V42" s="3" t="str">
        <f t="shared" si="8"/>
        <v/>
      </c>
      <c r="W42" s="3" t="s">
        <v>50</v>
      </c>
      <c r="X42" s="32">
        <f t="shared" si="4"/>
        <v>0.16899112792452797</v>
      </c>
      <c r="Z42" s="38">
        <f t="shared" si="9"/>
        <v>4.3991127924527973E-2</v>
      </c>
      <c r="AC42" s="36">
        <v>0.125</v>
      </c>
      <c r="AL42" t="str">
        <f t="shared" si="10"/>
        <v>Medication Change</v>
      </c>
      <c r="AM42" t="str">
        <f t="shared" si="11"/>
        <v>No</v>
      </c>
      <c r="AN42" t="str">
        <f t="shared" si="12"/>
        <v>Emergency</v>
      </c>
      <c r="AO42" t="str">
        <f t="shared" si="13"/>
        <v>ICU</v>
      </c>
    </row>
    <row r="43" spans="1:41" x14ac:dyDescent="0.3">
      <c r="A43" s="21" t="str">
        <f t="shared" si="5"/>
        <v>UHID-00042</v>
      </c>
      <c r="B43" s="18">
        <v>54</v>
      </c>
      <c r="C43" s="10" t="s">
        <v>18</v>
      </c>
      <c r="D43" s="13" t="s">
        <v>26</v>
      </c>
      <c r="E43" s="13" t="s">
        <v>6</v>
      </c>
      <c r="F43" s="15">
        <v>46181.401561967599</v>
      </c>
      <c r="G43" s="4">
        <v>46181</v>
      </c>
      <c r="H43" s="1">
        <v>46181.718250775499</v>
      </c>
      <c r="I43" s="22">
        <v>46181</v>
      </c>
      <c r="J43" s="24">
        <f t="shared" si="0"/>
        <v>46181.447591248587</v>
      </c>
      <c r="K43" s="24">
        <f t="shared" si="1"/>
        <v>0.7182507754987455</v>
      </c>
      <c r="L43" s="29">
        <f t="shared" si="6"/>
        <v>46180</v>
      </c>
      <c r="M43" s="27" t="str">
        <f t="shared" si="7"/>
        <v>Health Deterioration/TPA Approval Delay</v>
      </c>
      <c r="N43" s="31">
        <f t="shared" si="2"/>
        <v>0</v>
      </c>
      <c r="O43" s="27"/>
      <c r="Q43" s="8">
        <v>0.51469295159336059</v>
      </c>
      <c r="R43" s="8" t="str">
        <f t="shared" si="3"/>
        <v>Critical Delay</v>
      </c>
      <c r="S43" s="33">
        <v>3.4958286458421366</v>
      </c>
      <c r="T43" t="s">
        <v>31</v>
      </c>
      <c r="U43" s="3">
        <v>3</v>
      </c>
      <c r="V43" s="3" t="str">
        <f t="shared" si="8"/>
        <v>Normal</v>
      </c>
      <c r="W43" s="3" t="s">
        <v>50</v>
      </c>
      <c r="X43" s="32">
        <f t="shared" si="4"/>
        <v>0.27065952691191342</v>
      </c>
      <c r="Z43" s="38">
        <f t="shared" si="9"/>
        <v>0.14565952691191342</v>
      </c>
      <c r="AC43" s="36">
        <v>0.125</v>
      </c>
      <c r="AL43" t="str">
        <f t="shared" si="10"/>
        <v>Health Deterioration/TPA Approval Delay</v>
      </c>
      <c r="AM43" t="str">
        <f t="shared" si="11"/>
        <v>No</v>
      </c>
      <c r="AN43" t="str">
        <f t="shared" si="12"/>
        <v>Elective</v>
      </c>
      <c r="AO43" t="str">
        <f t="shared" si="13"/>
        <v>ICU</v>
      </c>
    </row>
    <row r="44" spans="1:41" x14ac:dyDescent="0.3">
      <c r="A44" s="21" t="str">
        <f t="shared" si="5"/>
        <v>UHID-00043</v>
      </c>
      <c r="B44" s="18">
        <v>72</v>
      </c>
      <c r="C44" s="10" t="s">
        <v>18</v>
      </c>
      <c r="D44" s="13" t="s">
        <v>27</v>
      </c>
      <c r="E44" s="13" t="s">
        <v>6</v>
      </c>
      <c r="F44" s="15">
        <v>46181.470432754599</v>
      </c>
      <c r="G44" s="4">
        <v>46181</v>
      </c>
      <c r="H44" s="1">
        <v>46181.764644120398</v>
      </c>
      <c r="I44" s="22">
        <v>46181</v>
      </c>
      <c r="J44" s="24">
        <f t="shared" si="0"/>
        <v>46181.713144349196</v>
      </c>
      <c r="K44" s="24">
        <f t="shared" si="1"/>
        <v>0.76464412039786112</v>
      </c>
      <c r="L44" s="29">
        <f t="shared" si="6"/>
        <v>46180</v>
      </c>
      <c r="M44" s="27" t="str">
        <f t="shared" si="7"/>
        <v>Normal</v>
      </c>
      <c r="N44" s="31">
        <f t="shared" si="2"/>
        <v>0</v>
      </c>
      <c r="O44" s="27"/>
      <c r="Q44" s="8">
        <v>3.6294365214302182E-3</v>
      </c>
      <c r="R44" s="8" t="str">
        <f t="shared" si="3"/>
        <v>On Time</v>
      </c>
      <c r="S44" s="33">
        <v>1.2359945088600224</v>
      </c>
      <c r="T44" t="s">
        <v>30</v>
      </c>
      <c r="U44" s="3">
        <v>0</v>
      </c>
      <c r="V44" s="3" t="str">
        <f t="shared" si="8"/>
        <v/>
      </c>
      <c r="W44" s="3" t="s">
        <v>51</v>
      </c>
      <c r="X44" s="32">
        <f t="shared" si="4"/>
        <v>5.1499771201633848E-2</v>
      </c>
      <c r="Z44" s="38">
        <f t="shared" si="9"/>
        <v>0</v>
      </c>
      <c r="AC44" s="36">
        <v>0.125</v>
      </c>
      <c r="AL44" t="str">
        <f t="shared" si="10"/>
        <v>Normal</v>
      </c>
      <c r="AM44" t="str">
        <f t="shared" si="11"/>
        <v>No</v>
      </c>
      <c r="AN44" t="str">
        <f t="shared" si="12"/>
        <v>Elective</v>
      </c>
      <c r="AO44" t="str">
        <f t="shared" si="13"/>
        <v>HDU</v>
      </c>
    </row>
    <row r="45" spans="1:41" x14ac:dyDescent="0.3">
      <c r="A45" s="21" t="str">
        <f t="shared" si="5"/>
        <v>UHID-00044</v>
      </c>
      <c r="B45" s="18">
        <v>54</v>
      </c>
      <c r="C45" s="10" t="s">
        <v>18</v>
      </c>
      <c r="D45" s="13" t="s">
        <v>26</v>
      </c>
      <c r="E45" s="13" t="s">
        <v>6</v>
      </c>
      <c r="F45" s="15">
        <v>46178.922673437497</v>
      </c>
      <c r="G45" s="4">
        <v>46178</v>
      </c>
      <c r="H45" s="1">
        <v>46181.856563217603</v>
      </c>
      <c r="I45" s="22">
        <v>46181</v>
      </c>
      <c r="J45" s="24">
        <f t="shared" si="0"/>
        <v>46181.724547065205</v>
      </c>
      <c r="K45" s="24">
        <f t="shared" si="1"/>
        <v>0.85656321760325227</v>
      </c>
      <c r="L45" s="29">
        <f t="shared" si="6"/>
        <v>46180</v>
      </c>
      <c r="M45" s="27" t="str">
        <f t="shared" si="7"/>
        <v>TPA Approval Delay</v>
      </c>
      <c r="N45" s="31">
        <f t="shared" si="2"/>
        <v>3</v>
      </c>
      <c r="O45" s="27"/>
      <c r="Q45" s="8">
        <v>0.75203484481848049</v>
      </c>
      <c r="R45" s="8" t="str">
        <f t="shared" si="3"/>
        <v>Major Delay</v>
      </c>
      <c r="S45" s="33">
        <v>3.168387657571758</v>
      </c>
      <c r="T45" t="s">
        <v>31</v>
      </c>
      <c r="U45" s="3">
        <v>0</v>
      </c>
      <c r="V45" s="3" t="str">
        <f t="shared" si="8"/>
        <v>Normal</v>
      </c>
      <c r="W45" s="3" t="s">
        <v>51</v>
      </c>
      <c r="X45" s="32">
        <f t="shared" si="4"/>
        <v>0.13201615239813691</v>
      </c>
      <c r="Z45" s="38">
        <f t="shared" si="9"/>
        <v>7.0161523981369101E-3</v>
      </c>
      <c r="AC45" s="36">
        <v>0.125</v>
      </c>
      <c r="AL45" t="str">
        <f t="shared" si="10"/>
        <v>TPA Approval Delay</v>
      </c>
      <c r="AM45" t="str">
        <f t="shared" si="11"/>
        <v>No</v>
      </c>
      <c r="AN45" t="str">
        <f t="shared" si="12"/>
        <v>Elective</v>
      </c>
      <c r="AO45" t="str">
        <f t="shared" si="13"/>
        <v>HDU</v>
      </c>
    </row>
    <row r="46" spans="1:41" x14ac:dyDescent="0.3">
      <c r="A46" s="21" t="str">
        <f t="shared" si="5"/>
        <v>UHID-00045</v>
      </c>
      <c r="B46" s="18">
        <v>49</v>
      </c>
      <c r="C46" s="10" t="s">
        <v>18</v>
      </c>
      <c r="D46" s="13" t="s">
        <v>26</v>
      </c>
      <c r="E46" s="13" t="s">
        <v>6</v>
      </c>
      <c r="F46" s="15">
        <v>46180.832140682898</v>
      </c>
      <c r="G46" s="4">
        <v>46180</v>
      </c>
      <c r="H46" s="1">
        <v>46182.477482210597</v>
      </c>
      <c r="I46" s="22">
        <v>46182</v>
      </c>
      <c r="J46" s="24">
        <f t="shared" si="0"/>
        <v>46182.174926798485</v>
      </c>
      <c r="K46" s="24">
        <f t="shared" si="1"/>
        <v>0.47748221059737261</v>
      </c>
      <c r="L46" s="29">
        <f t="shared" si="6"/>
        <v>46181</v>
      </c>
      <c r="M46" s="27" t="str">
        <f t="shared" si="7"/>
        <v>Health Deterioration/TPA Approval Delay</v>
      </c>
      <c r="N46" s="31">
        <f t="shared" si="2"/>
        <v>2</v>
      </c>
      <c r="O46" s="27"/>
      <c r="Q46" s="8">
        <v>0.82091499893987407</v>
      </c>
      <c r="R46" s="8" t="str">
        <f t="shared" si="3"/>
        <v>Critical Delay</v>
      </c>
      <c r="S46" s="33">
        <v>3.2613298906810586</v>
      </c>
      <c r="T46" t="s">
        <v>31</v>
      </c>
      <c r="U46" s="3">
        <v>4</v>
      </c>
      <c r="V46" s="3" t="str">
        <f t="shared" si="8"/>
        <v>Normal</v>
      </c>
      <c r="W46" s="3" t="s">
        <v>50</v>
      </c>
      <c r="X46" s="32">
        <f t="shared" si="4"/>
        <v>0.30255541211226955</v>
      </c>
      <c r="Z46" s="38">
        <f t="shared" si="9"/>
        <v>0.17755541211226955</v>
      </c>
      <c r="AC46" s="36">
        <v>0.125</v>
      </c>
      <c r="AL46" t="str">
        <f t="shared" si="10"/>
        <v>Health Deterioration/TPA Approval Delay</v>
      </c>
      <c r="AM46" t="str">
        <f t="shared" si="11"/>
        <v>No</v>
      </c>
      <c r="AN46" t="str">
        <f t="shared" si="12"/>
        <v>Elective</v>
      </c>
      <c r="AO46" t="str">
        <f t="shared" si="13"/>
        <v>General Ward</v>
      </c>
    </row>
    <row r="47" spans="1:41" x14ac:dyDescent="0.3">
      <c r="A47" s="21" t="str">
        <f t="shared" si="5"/>
        <v>UHID-00046</v>
      </c>
      <c r="B47" s="18">
        <v>65</v>
      </c>
      <c r="C47" s="10" t="s">
        <v>18</v>
      </c>
      <c r="D47" s="13" t="s">
        <v>26</v>
      </c>
      <c r="E47" s="13" t="s">
        <v>6</v>
      </c>
      <c r="F47" s="15">
        <v>46181.510349247699</v>
      </c>
      <c r="G47" s="4">
        <v>46181</v>
      </c>
      <c r="H47" s="1">
        <v>46182.5792142477</v>
      </c>
      <c r="I47" s="22">
        <v>46182</v>
      </c>
      <c r="J47" s="24">
        <f t="shared" si="0"/>
        <v>46182.445034764598</v>
      </c>
      <c r="K47" s="24">
        <f t="shared" si="1"/>
        <v>0.57921424770029262</v>
      </c>
      <c r="L47" s="29">
        <f t="shared" si="6"/>
        <v>46181</v>
      </c>
      <c r="M47" s="27" t="str">
        <f t="shared" si="7"/>
        <v>TPA Approval Delay</v>
      </c>
      <c r="N47" s="31">
        <f t="shared" si="2"/>
        <v>1</v>
      </c>
      <c r="O47" s="27"/>
      <c r="Q47" s="8">
        <v>0.81610378685291374</v>
      </c>
      <c r="R47" s="8" t="str">
        <f t="shared" si="3"/>
        <v>Major Delay</v>
      </c>
      <c r="S47" s="33">
        <v>3.2203075944372848</v>
      </c>
      <c r="T47" t="s">
        <v>31</v>
      </c>
      <c r="U47" s="3">
        <v>0</v>
      </c>
      <c r="V47" s="3" t="str">
        <f t="shared" si="8"/>
        <v>Normal</v>
      </c>
      <c r="W47" s="3" t="s">
        <v>51</v>
      </c>
      <c r="X47" s="32">
        <f t="shared" si="4"/>
        <v>0.13417948310234351</v>
      </c>
      <c r="Z47" s="38">
        <f t="shared" si="9"/>
        <v>9.1794831023435108E-3</v>
      </c>
      <c r="AC47" s="36">
        <v>0.125</v>
      </c>
      <c r="AL47" t="str">
        <f t="shared" si="10"/>
        <v>TPA Approval Delay</v>
      </c>
      <c r="AM47" t="str">
        <f t="shared" si="11"/>
        <v>No</v>
      </c>
      <c r="AN47" t="str">
        <f t="shared" si="12"/>
        <v>Elective</v>
      </c>
      <c r="AO47" t="str">
        <f t="shared" si="13"/>
        <v>General Ward</v>
      </c>
    </row>
    <row r="48" spans="1:41" x14ac:dyDescent="0.3">
      <c r="A48" s="21" t="str">
        <f t="shared" si="5"/>
        <v>UHID-00047</v>
      </c>
      <c r="B48" s="18">
        <v>56</v>
      </c>
      <c r="C48" s="10" t="s">
        <v>17</v>
      </c>
      <c r="D48" s="13" t="s">
        <v>27</v>
      </c>
      <c r="E48" s="13" t="s">
        <v>6</v>
      </c>
      <c r="F48" s="15">
        <v>46178.631321956003</v>
      </c>
      <c r="G48" s="4">
        <v>46178</v>
      </c>
      <c r="H48" s="1">
        <v>46182.508370752301</v>
      </c>
      <c r="I48" s="22">
        <v>46182</v>
      </c>
      <c r="J48" s="24">
        <f t="shared" si="0"/>
        <v>46182.268451316479</v>
      </c>
      <c r="K48" s="24">
        <f t="shared" si="1"/>
        <v>0.50837075230083428</v>
      </c>
      <c r="L48" s="29">
        <f t="shared" si="6"/>
        <v>46181</v>
      </c>
      <c r="M48" s="27" t="str">
        <f t="shared" si="7"/>
        <v>Health Deterioration</v>
      </c>
      <c r="N48" s="31">
        <f t="shared" si="2"/>
        <v>4</v>
      </c>
      <c r="O48" s="27"/>
      <c r="Q48" s="8">
        <v>8.7913371237491877E-2</v>
      </c>
      <c r="R48" s="8" t="str">
        <f t="shared" si="3"/>
        <v>Critical Delay</v>
      </c>
      <c r="S48" s="33">
        <v>1.7580664597548834</v>
      </c>
      <c r="T48" t="s">
        <v>30</v>
      </c>
      <c r="U48" s="3">
        <v>4</v>
      </c>
      <c r="V48" s="3" t="str">
        <f t="shared" si="8"/>
        <v/>
      </c>
      <c r="W48" s="3" t="s">
        <v>50</v>
      </c>
      <c r="X48" s="32">
        <f t="shared" si="4"/>
        <v>0.2399194358222303</v>
      </c>
      <c r="Z48" s="38">
        <f t="shared" si="9"/>
        <v>0.1149194358222303</v>
      </c>
      <c r="AC48" s="36">
        <v>0.125</v>
      </c>
      <c r="AL48" t="str">
        <f t="shared" si="10"/>
        <v>Health Deterioration</v>
      </c>
      <c r="AM48" t="str">
        <f t="shared" si="11"/>
        <v>No</v>
      </c>
      <c r="AN48" t="str">
        <f t="shared" si="12"/>
        <v>Elective</v>
      </c>
      <c r="AO48" t="str">
        <f t="shared" si="13"/>
        <v>HDU</v>
      </c>
    </row>
    <row r="49" spans="1:41" x14ac:dyDescent="0.3">
      <c r="A49" s="21" t="str">
        <f t="shared" si="5"/>
        <v>UHID-00048</v>
      </c>
      <c r="B49" s="18">
        <v>62</v>
      </c>
      <c r="C49" s="10" t="s">
        <v>18</v>
      </c>
      <c r="D49" s="13" t="s">
        <v>27</v>
      </c>
      <c r="E49" s="13" t="s">
        <v>6</v>
      </c>
      <c r="F49" s="15">
        <v>46181.429116794003</v>
      </c>
      <c r="G49" s="4">
        <v>46181</v>
      </c>
      <c r="H49" s="1">
        <v>46182.550880509298</v>
      </c>
      <c r="I49" s="22">
        <v>46182</v>
      </c>
      <c r="J49" s="24">
        <f t="shared" si="0"/>
        <v>46182.480182625543</v>
      </c>
      <c r="K49" s="24">
        <f t="shared" si="1"/>
        <v>0.55088050929771271</v>
      </c>
      <c r="L49" s="29">
        <f t="shared" si="6"/>
        <v>46181</v>
      </c>
      <c r="M49" s="27" t="str">
        <f t="shared" si="7"/>
        <v>Normal</v>
      </c>
      <c r="N49" s="31">
        <f t="shared" si="2"/>
        <v>1</v>
      </c>
      <c r="O49" s="27"/>
      <c r="Q49" s="8">
        <v>0.41402019182035243</v>
      </c>
      <c r="R49" s="8" t="str">
        <f t="shared" si="3"/>
        <v>On Time</v>
      </c>
      <c r="S49" s="33">
        <v>1.69674921012906</v>
      </c>
      <c r="T49" t="s">
        <v>31</v>
      </c>
      <c r="U49" s="3">
        <v>0</v>
      </c>
      <c r="V49" s="3" t="str">
        <f t="shared" si="8"/>
        <v>Normal</v>
      </c>
      <c r="W49" s="3" t="s">
        <v>51</v>
      </c>
      <c r="X49" s="32">
        <f t="shared" si="4"/>
        <v>7.0697883755201474E-2</v>
      </c>
      <c r="Z49" s="38">
        <f t="shared" si="9"/>
        <v>0</v>
      </c>
      <c r="AC49" s="36">
        <v>0.125</v>
      </c>
      <c r="AL49" t="str">
        <f t="shared" si="10"/>
        <v>Normal</v>
      </c>
      <c r="AM49" t="str">
        <f t="shared" si="11"/>
        <v>No</v>
      </c>
      <c r="AN49" t="str">
        <f t="shared" si="12"/>
        <v>Elective</v>
      </c>
      <c r="AO49" t="str">
        <f t="shared" si="13"/>
        <v>General Ward</v>
      </c>
    </row>
    <row r="50" spans="1:41" x14ac:dyDescent="0.3">
      <c r="A50" s="21" t="str">
        <f t="shared" si="5"/>
        <v>UHID-00049</v>
      </c>
      <c r="B50" s="18">
        <v>66</v>
      </c>
      <c r="C50" s="10" t="s">
        <v>18</v>
      </c>
      <c r="D50" s="13" t="s">
        <v>28</v>
      </c>
      <c r="E50" s="13" t="s">
        <v>6</v>
      </c>
      <c r="F50" s="15">
        <v>46179.7817274306</v>
      </c>
      <c r="G50" s="4">
        <v>46179</v>
      </c>
      <c r="H50" s="1">
        <v>46182.534345312502</v>
      </c>
      <c r="I50" s="22">
        <v>46182</v>
      </c>
      <c r="J50" s="24">
        <f t="shared" si="0"/>
        <v>46182.448531219445</v>
      </c>
      <c r="K50" s="24">
        <f t="shared" si="1"/>
        <v>0.5343453125024098</v>
      </c>
      <c r="L50" s="29">
        <f t="shared" si="6"/>
        <v>46181</v>
      </c>
      <c r="M50" s="27" t="str">
        <f t="shared" si="7"/>
        <v>Doctor Round Delay/Report Delay</v>
      </c>
      <c r="N50" s="31">
        <f t="shared" si="2"/>
        <v>3</v>
      </c>
      <c r="O50" s="27"/>
      <c r="Q50" s="8">
        <v>0.86064944053449877</v>
      </c>
      <c r="R50" s="8" t="str">
        <f t="shared" si="3"/>
        <v>Minor Delay</v>
      </c>
      <c r="S50" s="33">
        <v>2.0595382333693317</v>
      </c>
      <c r="T50" t="s">
        <v>31</v>
      </c>
      <c r="U50" s="3">
        <v>0</v>
      </c>
      <c r="V50" s="3" t="str">
        <f t="shared" si="8"/>
        <v>Normal</v>
      </c>
      <c r="W50" s="3" t="s">
        <v>51</v>
      </c>
      <c r="X50" s="32">
        <f t="shared" si="4"/>
        <v>8.5814093057706486E-2</v>
      </c>
      <c r="Z50" s="38">
        <f t="shared" si="9"/>
        <v>0</v>
      </c>
      <c r="AC50" s="36">
        <v>0.125</v>
      </c>
      <c r="AL50" t="str">
        <f t="shared" si="10"/>
        <v>Doctor Round Delay/Report Delay</v>
      </c>
      <c r="AM50" t="str">
        <f t="shared" si="11"/>
        <v>No</v>
      </c>
      <c r="AN50" t="str">
        <f t="shared" si="12"/>
        <v>Emergency</v>
      </c>
      <c r="AO50" t="str">
        <f t="shared" si="13"/>
        <v>ICU</v>
      </c>
    </row>
    <row r="51" spans="1:41" x14ac:dyDescent="0.3">
      <c r="A51" s="21" t="str">
        <f t="shared" si="5"/>
        <v>UHID-00050</v>
      </c>
      <c r="B51" s="18">
        <v>50</v>
      </c>
      <c r="C51" s="10" t="s">
        <v>18</v>
      </c>
      <c r="D51" s="13" t="s">
        <v>27</v>
      </c>
      <c r="E51" s="13" t="s">
        <v>6</v>
      </c>
      <c r="F51" s="15">
        <v>46182.440426238398</v>
      </c>
      <c r="G51" s="4">
        <v>46182</v>
      </c>
      <c r="H51" s="1">
        <v>46182.7501917708</v>
      </c>
      <c r="I51" s="22">
        <v>46182</v>
      </c>
      <c r="J51" s="24">
        <f t="shared" si="0"/>
        <v>46182.673723558953</v>
      </c>
      <c r="K51" s="24">
        <f t="shared" si="1"/>
        <v>0.75019177079957444</v>
      </c>
      <c r="L51" s="29">
        <f t="shared" si="6"/>
        <v>46181</v>
      </c>
      <c r="M51" s="27" t="str">
        <f t="shared" si="7"/>
        <v>Normal</v>
      </c>
      <c r="N51" s="31">
        <f t="shared" si="2"/>
        <v>0</v>
      </c>
      <c r="O51" s="27"/>
      <c r="Q51" s="8">
        <v>0.21913627691597704</v>
      </c>
      <c r="R51" s="8" t="str">
        <f t="shared" si="3"/>
        <v>On Time</v>
      </c>
      <c r="S51" s="33">
        <v>1.8352370842486918</v>
      </c>
      <c r="T51" t="s">
        <v>30</v>
      </c>
      <c r="U51" s="3">
        <v>0</v>
      </c>
      <c r="V51" s="3" t="str">
        <f t="shared" si="8"/>
        <v/>
      </c>
      <c r="W51" s="3" t="s">
        <v>51</v>
      </c>
      <c r="X51" s="32">
        <f t="shared" si="4"/>
        <v>7.6468211846076883E-2</v>
      </c>
      <c r="Z51" s="38">
        <f t="shared" si="9"/>
        <v>0</v>
      </c>
      <c r="AC51" s="36">
        <v>0.125</v>
      </c>
      <c r="AL51" t="str">
        <f t="shared" si="10"/>
        <v>Normal</v>
      </c>
      <c r="AM51" t="str">
        <f t="shared" si="11"/>
        <v>No</v>
      </c>
      <c r="AN51" t="str">
        <f t="shared" si="12"/>
        <v>Emergency</v>
      </c>
      <c r="AO51" t="str">
        <f t="shared" si="13"/>
        <v>ICU</v>
      </c>
    </row>
    <row r="52" spans="1:41" x14ac:dyDescent="0.3">
      <c r="A52" s="21" t="str">
        <f t="shared" si="5"/>
        <v>UHID-00051</v>
      </c>
      <c r="B52" s="18">
        <v>59</v>
      </c>
      <c r="C52" s="10" t="s">
        <v>18</v>
      </c>
      <c r="D52" s="13" t="s">
        <v>27</v>
      </c>
      <c r="E52" s="13" t="s">
        <v>6</v>
      </c>
      <c r="F52" s="15">
        <v>46182.578117418998</v>
      </c>
      <c r="G52" s="4">
        <v>46182</v>
      </c>
      <c r="H52" s="1">
        <v>46182.763239571803</v>
      </c>
      <c r="I52" s="22">
        <v>46182</v>
      </c>
      <c r="J52" s="24">
        <f t="shared" si="0"/>
        <v>46182.558057408096</v>
      </c>
      <c r="K52" s="24">
        <f t="shared" si="1"/>
        <v>0.76323957180284197</v>
      </c>
      <c r="L52" s="29">
        <f t="shared" si="6"/>
        <v>46181</v>
      </c>
      <c r="M52" s="27" t="str">
        <f t="shared" si="7"/>
        <v>Medication Change</v>
      </c>
      <c r="N52" s="31">
        <f t="shared" si="2"/>
        <v>0</v>
      </c>
      <c r="O52" s="27"/>
      <c r="Q52" s="8">
        <v>0.3918146334117818</v>
      </c>
      <c r="R52" s="8" t="str">
        <f t="shared" si="3"/>
        <v>Major Delay</v>
      </c>
      <c r="S52" s="33">
        <v>1.9243719289309453</v>
      </c>
      <c r="T52" t="s">
        <v>31</v>
      </c>
      <c r="U52" s="3">
        <v>3</v>
      </c>
      <c r="V52" s="3" t="str">
        <f t="shared" si="8"/>
        <v>Normal</v>
      </c>
      <c r="W52" s="3" t="s">
        <v>50</v>
      </c>
      <c r="X52" s="32">
        <f t="shared" si="4"/>
        <v>0.20518216370692244</v>
      </c>
      <c r="Z52" s="38">
        <f t="shared" si="9"/>
        <v>8.0182163706922438E-2</v>
      </c>
      <c r="AC52" s="36">
        <v>0.125</v>
      </c>
      <c r="AL52" t="str">
        <f t="shared" si="10"/>
        <v>Medication Change</v>
      </c>
      <c r="AM52" t="str">
        <f t="shared" si="11"/>
        <v>No</v>
      </c>
      <c r="AN52" t="str">
        <f t="shared" si="12"/>
        <v>Emergency</v>
      </c>
      <c r="AO52" t="str">
        <f t="shared" si="13"/>
        <v>ICU</v>
      </c>
    </row>
    <row r="53" spans="1:41" x14ac:dyDescent="0.3">
      <c r="A53" s="21" t="str">
        <f t="shared" si="5"/>
        <v>UHID-00052</v>
      </c>
      <c r="B53" s="18">
        <v>48</v>
      </c>
      <c r="C53" s="10" t="s">
        <v>18</v>
      </c>
      <c r="D53" s="13" t="s">
        <v>27</v>
      </c>
      <c r="E53" s="13" t="s">
        <v>6</v>
      </c>
      <c r="F53" s="15">
        <v>46182.540600752298</v>
      </c>
      <c r="G53" s="4">
        <v>46182</v>
      </c>
      <c r="H53" s="1">
        <v>46182.821540833298</v>
      </c>
      <c r="I53" s="22">
        <v>46182</v>
      </c>
      <c r="J53" s="24">
        <f t="shared" si="0"/>
        <v>46182.766199169317</v>
      </c>
      <c r="K53" s="24">
        <f t="shared" si="1"/>
        <v>0.82154083329805871</v>
      </c>
      <c r="L53" s="29">
        <f t="shared" si="6"/>
        <v>46181</v>
      </c>
      <c r="M53" s="27" t="str">
        <f t="shared" si="7"/>
        <v>Normal</v>
      </c>
      <c r="N53" s="31">
        <f t="shared" si="2"/>
        <v>0</v>
      </c>
      <c r="O53" s="27"/>
      <c r="Q53" s="8">
        <v>9.319537335399819E-2</v>
      </c>
      <c r="R53" s="8" t="str">
        <f t="shared" si="3"/>
        <v>On Time</v>
      </c>
      <c r="S53" s="33">
        <v>1.3281999355445178</v>
      </c>
      <c r="T53" t="s">
        <v>30</v>
      </c>
      <c r="U53" s="3">
        <v>0</v>
      </c>
      <c r="V53" s="3" t="str">
        <f t="shared" si="8"/>
        <v/>
      </c>
      <c r="W53" s="3" t="s">
        <v>51</v>
      </c>
      <c r="X53" s="32">
        <f t="shared" si="4"/>
        <v>5.5341663981380407E-2</v>
      </c>
      <c r="Z53" s="38">
        <f t="shared" si="9"/>
        <v>0</v>
      </c>
      <c r="AC53" s="36">
        <v>0.125</v>
      </c>
      <c r="AL53" t="str">
        <f t="shared" si="10"/>
        <v>Normal</v>
      </c>
      <c r="AM53" t="str">
        <f t="shared" si="11"/>
        <v>No</v>
      </c>
      <c r="AN53" t="str">
        <f t="shared" si="12"/>
        <v>Elective</v>
      </c>
      <c r="AO53" t="str">
        <f t="shared" si="13"/>
        <v>ICU</v>
      </c>
    </row>
    <row r="54" spans="1:41" x14ac:dyDescent="0.3">
      <c r="A54" s="21" t="str">
        <f t="shared" si="5"/>
        <v>UHID-00053</v>
      </c>
      <c r="B54" s="18">
        <v>61</v>
      </c>
      <c r="C54" s="10" t="s">
        <v>18</v>
      </c>
      <c r="D54" s="13" t="s">
        <v>26</v>
      </c>
      <c r="E54" s="13" t="s">
        <v>6</v>
      </c>
      <c r="F54" s="15">
        <v>46182.4925390278</v>
      </c>
      <c r="G54" s="4">
        <v>46182</v>
      </c>
      <c r="H54" s="1">
        <v>46182.822858113403</v>
      </c>
      <c r="I54" s="22">
        <v>46182</v>
      </c>
      <c r="J54" s="24">
        <f t="shared" si="0"/>
        <v>46182.693389670079</v>
      </c>
      <c r="K54" s="24">
        <f t="shared" si="1"/>
        <v>0.82285811340261716</v>
      </c>
      <c r="L54" s="29">
        <f t="shared" si="6"/>
        <v>46181</v>
      </c>
      <c r="M54" s="27" t="str">
        <f t="shared" si="7"/>
        <v>TPA Approval Delay</v>
      </c>
      <c r="N54" s="31">
        <f t="shared" si="2"/>
        <v>0</v>
      </c>
      <c r="O54" s="27"/>
      <c r="Q54" s="8">
        <v>0.60883793307362211</v>
      </c>
      <c r="R54" s="8" t="str">
        <f t="shared" si="3"/>
        <v>Major Delay</v>
      </c>
      <c r="S54" s="33">
        <v>3.1072426396975592</v>
      </c>
      <c r="T54" t="s">
        <v>31</v>
      </c>
      <c r="U54" s="3">
        <v>0</v>
      </c>
      <c r="V54" s="3" t="str">
        <f t="shared" si="8"/>
        <v>Normal</v>
      </c>
      <c r="W54" s="3" t="s">
        <v>51</v>
      </c>
      <c r="X54" s="32">
        <f t="shared" si="4"/>
        <v>0.12946844332327601</v>
      </c>
      <c r="Z54" s="38">
        <f t="shared" si="9"/>
        <v>4.4684433232760057E-3</v>
      </c>
      <c r="AC54" s="36">
        <v>0.125</v>
      </c>
      <c r="AL54" t="str">
        <f t="shared" si="10"/>
        <v>TPA Approval Delay</v>
      </c>
      <c r="AM54" t="str">
        <f t="shared" si="11"/>
        <v>No</v>
      </c>
      <c r="AN54" t="str">
        <f t="shared" si="12"/>
        <v>Elective</v>
      </c>
      <c r="AO54" t="str">
        <f t="shared" si="13"/>
        <v>HDU</v>
      </c>
    </row>
    <row r="55" spans="1:41" x14ac:dyDescent="0.3">
      <c r="A55" s="21" t="str">
        <f t="shared" si="5"/>
        <v>UHID-00054</v>
      </c>
      <c r="B55" s="18">
        <v>56</v>
      </c>
      <c r="C55" s="10" t="s">
        <v>18</v>
      </c>
      <c r="D55" s="13" t="s">
        <v>27</v>
      </c>
      <c r="E55" s="13" t="s">
        <v>6</v>
      </c>
      <c r="F55" s="15">
        <v>46182.426464502299</v>
      </c>
      <c r="G55" s="4">
        <v>46182</v>
      </c>
      <c r="H55" s="1">
        <v>46182.862555601903</v>
      </c>
      <c r="I55" s="22">
        <v>46182</v>
      </c>
      <c r="J55" s="24">
        <f t="shared" si="0"/>
        <v>46182.779873156454</v>
      </c>
      <c r="K55" s="24">
        <f t="shared" si="1"/>
        <v>0.86255560190329561</v>
      </c>
      <c r="L55" s="29">
        <f t="shared" si="6"/>
        <v>46181</v>
      </c>
      <c r="M55" s="27" t="str">
        <f t="shared" si="7"/>
        <v>Normal</v>
      </c>
      <c r="N55" s="31">
        <f t="shared" si="2"/>
        <v>0</v>
      </c>
      <c r="O55" s="27"/>
      <c r="Q55" s="8">
        <v>0.37252205904808922</v>
      </c>
      <c r="R55" s="8" t="str">
        <f t="shared" si="3"/>
        <v>On Time</v>
      </c>
      <c r="S55" s="33">
        <v>1.9843786908376873</v>
      </c>
      <c r="T55" t="s">
        <v>31</v>
      </c>
      <c r="U55" s="3">
        <v>0</v>
      </c>
      <c r="V55" s="3" t="str">
        <f t="shared" si="8"/>
        <v>Normal</v>
      </c>
      <c r="W55" s="3" t="s">
        <v>51</v>
      </c>
      <c r="X55" s="32">
        <f t="shared" si="4"/>
        <v>8.2682445448881481E-2</v>
      </c>
      <c r="Z55" s="38">
        <f t="shared" si="9"/>
        <v>0</v>
      </c>
      <c r="AC55" s="36">
        <v>0.125</v>
      </c>
      <c r="AL55" t="str">
        <f t="shared" si="10"/>
        <v>Normal</v>
      </c>
      <c r="AM55" t="str">
        <f t="shared" si="11"/>
        <v>No</v>
      </c>
      <c r="AN55" t="str">
        <f t="shared" si="12"/>
        <v>Elective</v>
      </c>
      <c r="AO55" t="str">
        <f t="shared" si="13"/>
        <v>HDU</v>
      </c>
    </row>
    <row r="56" spans="1:41" x14ac:dyDescent="0.3">
      <c r="A56" s="21" t="str">
        <f t="shared" si="5"/>
        <v>UHID-00055</v>
      </c>
      <c r="B56" s="18">
        <v>34</v>
      </c>
      <c r="C56" s="10" t="s">
        <v>18</v>
      </c>
      <c r="D56" s="13" t="s">
        <v>27</v>
      </c>
      <c r="E56" s="13" t="s">
        <v>6</v>
      </c>
      <c r="F56" s="15">
        <v>46182.679735532402</v>
      </c>
      <c r="G56" s="4">
        <v>46182</v>
      </c>
      <c r="H56" s="1">
        <v>46182.863257442099</v>
      </c>
      <c r="I56" s="22">
        <v>46182</v>
      </c>
      <c r="J56" s="24">
        <f t="shared" si="0"/>
        <v>46182.685476752486</v>
      </c>
      <c r="K56" s="24">
        <f t="shared" si="1"/>
        <v>0.86325744209898403</v>
      </c>
      <c r="L56" s="29">
        <f t="shared" si="6"/>
        <v>46181</v>
      </c>
      <c r="M56" s="27" t="str">
        <f t="shared" si="7"/>
        <v>Medication Change</v>
      </c>
      <c r="N56" s="31">
        <f t="shared" si="2"/>
        <v>0</v>
      </c>
      <c r="O56" s="27"/>
      <c r="Q56" s="8">
        <v>0.18614591443991602</v>
      </c>
      <c r="R56" s="8" t="str">
        <f t="shared" si="3"/>
        <v>Major Delay</v>
      </c>
      <c r="S56" s="33">
        <v>1.2667365506831527</v>
      </c>
      <c r="T56" t="s">
        <v>30</v>
      </c>
      <c r="U56" s="3">
        <v>3</v>
      </c>
      <c r="V56" s="3" t="str">
        <f t="shared" si="8"/>
        <v/>
      </c>
      <c r="W56" s="3" t="s">
        <v>50</v>
      </c>
      <c r="X56" s="32">
        <f t="shared" si="4"/>
        <v>0.17778068961342797</v>
      </c>
      <c r="Z56" s="38">
        <f t="shared" si="9"/>
        <v>5.2780689613427967E-2</v>
      </c>
      <c r="AC56" s="36">
        <v>0.125</v>
      </c>
      <c r="AL56" t="str">
        <f t="shared" si="10"/>
        <v>Medication Change</v>
      </c>
      <c r="AM56" t="str">
        <f t="shared" si="11"/>
        <v>No</v>
      </c>
      <c r="AN56" t="str">
        <f t="shared" si="12"/>
        <v>Elective</v>
      </c>
      <c r="AO56" t="str">
        <f t="shared" si="13"/>
        <v>General Ward</v>
      </c>
    </row>
    <row r="57" spans="1:41" x14ac:dyDescent="0.3">
      <c r="A57" s="21" t="str">
        <f t="shared" si="5"/>
        <v>UHID-00056</v>
      </c>
      <c r="B57" s="18">
        <v>61</v>
      </c>
      <c r="C57" s="10" t="s">
        <v>17</v>
      </c>
      <c r="D57" s="13" t="s">
        <v>26</v>
      </c>
      <c r="E57" s="13" t="s">
        <v>6</v>
      </c>
      <c r="F57" s="15">
        <v>46175.6601980208</v>
      </c>
      <c r="G57" s="4">
        <v>46175</v>
      </c>
      <c r="H57" s="1">
        <v>46182.7230070023</v>
      </c>
      <c r="I57" s="22">
        <v>46182</v>
      </c>
      <c r="J57" s="24">
        <f t="shared" si="0"/>
        <v>46182.557755242386</v>
      </c>
      <c r="K57" s="24">
        <f t="shared" si="1"/>
        <v>0.72300700229970971</v>
      </c>
      <c r="L57" s="29">
        <f t="shared" si="6"/>
        <v>46181</v>
      </c>
      <c r="M57" s="27" t="str">
        <f t="shared" si="7"/>
        <v>TPA Approval Delay</v>
      </c>
      <c r="N57" s="31">
        <f t="shared" si="2"/>
        <v>7</v>
      </c>
      <c r="O57" s="27"/>
      <c r="Q57" s="8">
        <v>0.61515243124103358</v>
      </c>
      <c r="R57" s="8" t="str">
        <f t="shared" si="3"/>
        <v>Major Delay</v>
      </c>
      <c r="S57" s="33">
        <v>3.9660422379490825</v>
      </c>
      <c r="T57" t="s">
        <v>31</v>
      </c>
      <c r="U57" s="3">
        <v>0</v>
      </c>
      <c r="V57" s="3" t="str">
        <f t="shared" si="8"/>
        <v>Normal</v>
      </c>
      <c r="W57" s="3" t="s">
        <v>51</v>
      </c>
      <c r="X57" s="32">
        <f t="shared" si="4"/>
        <v>0.16525175991409924</v>
      </c>
      <c r="Z57" s="38">
        <f t="shared" si="9"/>
        <v>4.0251759914099239E-2</v>
      </c>
      <c r="AC57" s="36">
        <v>0.125</v>
      </c>
      <c r="AL57" t="str">
        <f t="shared" si="10"/>
        <v>TPA Approval Delay</v>
      </c>
      <c r="AM57" t="str">
        <f t="shared" si="11"/>
        <v>No</v>
      </c>
      <c r="AN57" t="str">
        <f t="shared" si="12"/>
        <v>Elective</v>
      </c>
      <c r="AO57" t="str">
        <f t="shared" si="13"/>
        <v>ICU</v>
      </c>
    </row>
    <row r="58" spans="1:41" x14ac:dyDescent="0.3">
      <c r="A58" s="21" t="str">
        <f t="shared" si="5"/>
        <v>UHID-00057</v>
      </c>
      <c r="B58" s="18">
        <v>20</v>
      </c>
      <c r="C58" s="10" t="s">
        <v>18</v>
      </c>
      <c r="D58" s="13" t="s">
        <v>27</v>
      </c>
      <c r="E58" s="13" t="s">
        <v>6</v>
      </c>
      <c r="F58" s="15">
        <v>46182.239392256903</v>
      </c>
      <c r="G58" s="4">
        <v>46182</v>
      </c>
      <c r="H58" s="1">
        <v>46183.560478344902</v>
      </c>
      <c r="I58" s="22">
        <v>46183</v>
      </c>
      <c r="J58" s="24">
        <f t="shared" si="0"/>
        <v>46183.429327234793</v>
      </c>
      <c r="K58" s="24">
        <f t="shared" si="1"/>
        <v>0.5604783449016395</v>
      </c>
      <c r="L58" s="29">
        <f t="shared" si="6"/>
        <v>46182</v>
      </c>
      <c r="M58" s="27" t="str">
        <f t="shared" si="7"/>
        <v>Medication Change</v>
      </c>
      <c r="N58" s="31">
        <f t="shared" si="2"/>
        <v>1</v>
      </c>
      <c r="O58" s="27"/>
      <c r="Q58" s="8">
        <v>0.11000845245060054</v>
      </c>
      <c r="R58" s="8" t="str">
        <f t="shared" si="3"/>
        <v>Major Delay</v>
      </c>
      <c r="S58" s="33">
        <v>1.147626642611987</v>
      </c>
      <c r="T58" t="s">
        <v>30</v>
      </c>
      <c r="U58" s="3">
        <v>2</v>
      </c>
      <c r="V58" s="3" t="str">
        <f t="shared" si="8"/>
        <v/>
      </c>
      <c r="W58" s="3" t="s">
        <v>50</v>
      </c>
      <c r="X58" s="32">
        <f t="shared" si="4"/>
        <v>0.13115111010847613</v>
      </c>
      <c r="Z58" s="38">
        <f t="shared" si="9"/>
        <v>6.1511101084761322E-3</v>
      </c>
      <c r="AC58" s="36">
        <v>0.125</v>
      </c>
      <c r="AL58" t="str">
        <f t="shared" si="10"/>
        <v>Medication Change</v>
      </c>
      <c r="AM58" t="str">
        <f t="shared" si="11"/>
        <v>No</v>
      </c>
      <c r="AN58" t="str">
        <f t="shared" si="12"/>
        <v>Elective</v>
      </c>
      <c r="AO58" t="str">
        <f t="shared" si="13"/>
        <v>General Ward</v>
      </c>
    </row>
    <row r="59" spans="1:41" x14ac:dyDescent="0.3">
      <c r="A59" s="21" t="str">
        <f t="shared" si="5"/>
        <v>UHID-00058</v>
      </c>
      <c r="B59" s="18">
        <v>69</v>
      </c>
      <c r="C59" s="10" t="s">
        <v>18</v>
      </c>
      <c r="D59" s="13" t="s">
        <v>27</v>
      </c>
      <c r="E59" s="13" t="s">
        <v>6</v>
      </c>
      <c r="F59" s="15">
        <v>46183.492088437502</v>
      </c>
      <c r="G59" s="4">
        <v>46183</v>
      </c>
      <c r="H59" s="1">
        <v>46183.662665694399</v>
      </c>
      <c r="I59" s="22">
        <v>46183</v>
      </c>
      <c r="J59" s="24">
        <f t="shared" si="0"/>
        <v>46183.582114913261</v>
      </c>
      <c r="K59" s="24">
        <f t="shared" si="1"/>
        <v>0.66266569439903833</v>
      </c>
      <c r="L59" s="29">
        <f t="shared" si="6"/>
        <v>46182</v>
      </c>
      <c r="M59" s="27" t="str">
        <f t="shared" si="7"/>
        <v>Normal</v>
      </c>
      <c r="N59" s="31">
        <f t="shared" si="2"/>
        <v>0</v>
      </c>
      <c r="O59" s="27"/>
      <c r="Q59" s="8">
        <v>0.31927934207513942</v>
      </c>
      <c r="R59" s="8" t="str">
        <f t="shared" si="3"/>
        <v>On Time</v>
      </c>
      <c r="S59" s="33">
        <v>1.933218747268278</v>
      </c>
      <c r="T59" t="s">
        <v>30</v>
      </c>
      <c r="U59" s="3">
        <v>0</v>
      </c>
      <c r="V59" s="3" t="str">
        <f t="shared" si="8"/>
        <v/>
      </c>
      <c r="W59" s="3" t="s">
        <v>51</v>
      </c>
      <c r="X59" s="32">
        <f t="shared" si="4"/>
        <v>8.0550781138299499E-2</v>
      </c>
      <c r="Z59" s="38">
        <f t="shared" si="9"/>
        <v>0</v>
      </c>
      <c r="AC59" s="36">
        <v>0.125</v>
      </c>
      <c r="AL59" t="str">
        <f t="shared" si="10"/>
        <v>Normal</v>
      </c>
      <c r="AM59" t="str">
        <f t="shared" si="11"/>
        <v>No</v>
      </c>
      <c r="AN59" t="str">
        <f t="shared" si="12"/>
        <v>Elective</v>
      </c>
      <c r="AO59" t="str">
        <f t="shared" si="13"/>
        <v>General Ward</v>
      </c>
    </row>
    <row r="60" spans="1:41" x14ac:dyDescent="0.3">
      <c r="A60" s="21" t="str">
        <f t="shared" si="5"/>
        <v>UHID-00059</v>
      </c>
      <c r="B60" s="18">
        <v>60</v>
      </c>
      <c r="C60" s="10" t="s">
        <v>18</v>
      </c>
      <c r="D60" s="13" t="s">
        <v>26</v>
      </c>
      <c r="E60" s="13" t="s">
        <v>6</v>
      </c>
      <c r="F60" s="15">
        <v>46179.0605120486</v>
      </c>
      <c r="G60" s="4">
        <v>46179</v>
      </c>
      <c r="H60" s="1">
        <v>46183.671533946799</v>
      </c>
      <c r="I60" s="22">
        <v>46183</v>
      </c>
      <c r="J60" s="24">
        <f t="shared" si="0"/>
        <v>46183.526791682074</v>
      </c>
      <c r="K60" s="24">
        <f t="shared" si="1"/>
        <v>0.67153394679917255</v>
      </c>
      <c r="L60" s="29">
        <f t="shared" si="6"/>
        <v>46182</v>
      </c>
      <c r="M60" s="27" t="str">
        <f t="shared" si="7"/>
        <v>TPA Approval Delay</v>
      </c>
      <c r="N60" s="31">
        <f t="shared" si="2"/>
        <v>4</v>
      </c>
      <c r="O60" s="27"/>
      <c r="Q60" s="8">
        <v>0.52091326098162649</v>
      </c>
      <c r="R60" s="8" t="str">
        <f t="shared" si="3"/>
        <v>Major Delay</v>
      </c>
      <c r="S60" s="33">
        <v>3.4738143534453374</v>
      </c>
      <c r="T60" t="s">
        <v>31</v>
      </c>
      <c r="U60" s="3">
        <v>0</v>
      </c>
      <c r="V60" s="3" t="str">
        <f t="shared" si="8"/>
        <v>Normal</v>
      </c>
      <c r="W60" s="3" t="s">
        <v>51</v>
      </c>
      <c r="X60" s="32">
        <f t="shared" si="4"/>
        <v>0.14474226472520968</v>
      </c>
      <c r="Z60" s="38">
        <f t="shared" si="9"/>
        <v>1.9742264725209679E-2</v>
      </c>
      <c r="AC60" s="36">
        <v>0.125</v>
      </c>
      <c r="AL60" t="str">
        <f t="shared" si="10"/>
        <v>TPA Approval Delay</v>
      </c>
      <c r="AM60" t="str">
        <f t="shared" si="11"/>
        <v>No</v>
      </c>
      <c r="AN60" t="str">
        <f t="shared" si="12"/>
        <v>Emergency</v>
      </c>
      <c r="AO60" t="str">
        <f t="shared" si="13"/>
        <v>ICU</v>
      </c>
    </row>
    <row r="61" spans="1:41" x14ac:dyDescent="0.3">
      <c r="A61" s="21" t="str">
        <f t="shared" si="5"/>
        <v>UHID-00060</v>
      </c>
      <c r="B61" s="18">
        <v>62</v>
      </c>
      <c r="C61" s="10" t="s">
        <v>18</v>
      </c>
      <c r="D61" s="13" t="s">
        <v>28</v>
      </c>
      <c r="E61" s="13" t="s">
        <v>6</v>
      </c>
      <c r="F61" s="15">
        <v>46183.620096770799</v>
      </c>
      <c r="G61" s="4">
        <v>46183</v>
      </c>
      <c r="H61" s="1">
        <v>46183.841705231498</v>
      </c>
      <c r="I61" s="22">
        <v>46183</v>
      </c>
      <c r="J61" s="24">
        <f t="shared" si="0"/>
        <v>46183.606303822693</v>
      </c>
      <c r="K61" s="24">
        <f t="shared" si="1"/>
        <v>0.84170523149805376</v>
      </c>
      <c r="L61" s="29">
        <f t="shared" si="6"/>
        <v>46182</v>
      </c>
      <c r="M61" s="27" t="str">
        <f t="shared" si="7"/>
        <v>Health Deterioration</v>
      </c>
      <c r="N61" s="31">
        <f t="shared" si="2"/>
        <v>0</v>
      </c>
      <c r="O61" s="27"/>
      <c r="Q61" s="8">
        <v>0.92237889287274855</v>
      </c>
      <c r="R61" s="8" t="str">
        <f t="shared" si="3"/>
        <v>Critical Delay</v>
      </c>
      <c r="S61" s="33">
        <v>2.6496338113836928</v>
      </c>
      <c r="T61" t="s">
        <v>31</v>
      </c>
      <c r="U61" s="3">
        <v>3</v>
      </c>
      <c r="V61" s="3" t="str">
        <f t="shared" si="8"/>
        <v>Normal</v>
      </c>
      <c r="W61" s="3" t="s">
        <v>50</v>
      </c>
      <c r="X61" s="32">
        <f t="shared" si="4"/>
        <v>0.23540140880504623</v>
      </c>
      <c r="Z61" s="38">
        <f t="shared" si="9"/>
        <v>0.11040140880504623</v>
      </c>
      <c r="AC61" s="36">
        <v>0.125</v>
      </c>
      <c r="AL61" t="str">
        <f t="shared" si="10"/>
        <v>Health Deterioration</v>
      </c>
      <c r="AM61" t="str">
        <f t="shared" si="11"/>
        <v>No</v>
      </c>
      <c r="AN61" t="str">
        <f t="shared" si="12"/>
        <v>Emergency</v>
      </c>
      <c r="AO61" t="str">
        <f t="shared" si="13"/>
        <v>ICU</v>
      </c>
    </row>
    <row r="62" spans="1:41" x14ac:dyDescent="0.3">
      <c r="A62" s="21" t="str">
        <f t="shared" si="5"/>
        <v>UHID-00061</v>
      </c>
      <c r="B62" s="18">
        <v>68</v>
      </c>
      <c r="C62" s="10" t="s">
        <v>18</v>
      </c>
      <c r="D62" s="13" t="s">
        <v>27</v>
      </c>
      <c r="E62" s="13" t="s">
        <v>6</v>
      </c>
      <c r="F62" s="15">
        <v>46179.963549583299</v>
      </c>
      <c r="G62" s="4">
        <v>46179</v>
      </c>
      <c r="H62" s="1">
        <v>46183.803501157403</v>
      </c>
      <c r="I62" s="22">
        <v>46183</v>
      </c>
      <c r="J62" s="24">
        <f t="shared" si="0"/>
        <v>46183.579078381546</v>
      </c>
      <c r="K62" s="24">
        <f t="shared" si="1"/>
        <v>0.80350115740293404</v>
      </c>
      <c r="L62" s="29">
        <f t="shared" si="6"/>
        <v>46182</v>
      </c>
      <c r="M62" s="27" t="str">
        <f t="shared" si="7"/>
        <v>Health Deterioration</v>
      </c>
      <c r="N62" s="31">
        <f t="shared" si="2"/>
        <v>4</v>
      </c>
      <c r="O62" s="27"/>
      <c r="Q62" s="8">
        <v>0.43754051120341075</v>
      </c>
      <c r="R62" s="8" t="str">
        <f t="shared" si="3"/>
        <v>Critical Delay</v>
      </c>
      <c r="S62" s="33">
        <v>1.3861466205086386</v>
      </c>
      <c r="T62" t="s">
        <v>31</v>
      </c>
      <c r="U62" s="3">
        <v>4</v>
      </c>
      <c r="V62" s="3" t="str">
        <f t="shared" si="8"/>
        <v>Normal</v>
      </c>
      <c r="W62" s="3" t="s">
        <v>50</v>
      </c>
      <c r="X62" s="32">
        <f t="shared" si="4"/>
        <v>0.22442277585651027</v>
      </c>
      <c r="Z62" s="38">
        <f t="shared" si="9"/>
        <v>9.942277585651027E-2</v>
      </c>
      <c r="AC62" s="36">
        <v>0.125</v>
      </c>
      <c r="AL62" t="str">
        <f t="shared" si="10"/>
        <v>Health Deterioration</v>
      </c>
      <c r="AM62" t="str">
        <f t="shared" si="11"/>
        <v>Yes</v>
      </c>
      <c r="AN62" t="str">
        <f t="shared" si="12"/>
        <v>Emergency</v>
      </c>
      <c r="AO62" t="str">
        <f t="shared" si="13"/>
        <v>ICU</v>
      </c>
    </row>
    <row r="63" spans="1:41" x14ac:dyDescent="0.3">
      <c r="A63" s="21" t="str">
        <f t="shared" si="5"/>
        <v>UHID-00062</v>
      </c>
      <c r="B63" s="18">
        <v>47</v>
      </c>
      <c r="C63" s="10" t="s">
        <v>18</v>
      </c>
      <c r="D63" s="13" t="s">
        <v>27</v>
      </c>
      <c r="E63" s="13" t="s">
        <v>6</v>
      </c>
      <c r="F63" s="15">
        <v>46182.0585581829</v>
      </c>
      <c r="G63" s="4">
        <v>46182</v>
      </c>
      <c r="H63" s="1">
        <v>46184.543785300899</v>
      </c>
      <c r="I63" s="22">
        <v>46184</v>
      </c>
      <c r="J63" s="24">
        <f t="shared" si="0"/>
        <v>46184.500922855259</v>
      </c>
      <c r="K63" s="24">
        <f t="shared" si="1"/>
        <v>0.54378530089888955</v>
      </c>
      <c r="L63" s="29">
        <f t="shared" si="6"/>
        <v>46183</v>
      </c>
      <c r="M63" s="27" t="str">
        <f t="shared" si="7"/>
        <v>Normal</v>
      </c>
      <c r="N63" s="31">
        <f t="shared" si="2"/>
        <v>2</v>
      </c>
      <c r="O63" s="27"/>
      <c r="Q63" s="8">
        <v>0.48535368448683236</v>
      </c>
      <c r="R63" s="8" t="str">
        <f t="shared" si="3"/>
        <v>On Time</v>
      </c>
      <c r="S63" s="33">
        <v>1.0286986954193504</v>
      </c>
      <c r="T63" t="s">
        <v>31</v>
      </c>
      <c r="U63" s="3">
        <v>0</v>
      </c>
      <c r="V63" s="3" t="str">
        <f t="shared" si="8"/>
        <v>Normal</v>
      </c>
      <c r="W63" s="3" t="s">
        <v>51</v>
      </c>
      <c r="X63" s="32">
        <f t="shared" si="4"/>
        <v>4.2862445639912039E-2</v>
      </c>
      <c r="Z63" s="38">
        <f t="shared" si="9"/>
        <v>0</v>
      </c>
      <c r="AC63" s="36">
        <v>0.125</v>
      </c>
      <c r="AL63" t="str">
        <f t="shared" si="10"/>
        <v>Normal</v>
      </c>
      <c r="AM63" t="str">
        <f t="shared" si="11"/>
        <v>No</v>
      </c>
      <c r="AN63" t="str">
        <f t="shared" si="12"/>
        <v>Elective</v>
      </c>
      <c r="AO63" t="str">
        <f t="shared" si="13"/>
        <v>ICU</v>
      </c>
    </row>
    <row r="64" spans="1:41" x14ac:dyDescent="0.3">
      <c r="A64" s="21" t="str">
        <f t="shared" si="5"/>
        <v>UHID-00063</v>
      </c>
      <c r="B64" s="18">
        <v>62</v>
      </c>
      <c r="C64" s="10" t="s">
        <v>17</v>
      </c>
      <c r="D64" s="13" t="s">
        <v>27</v>
      </c>
      <c r="E64" s="13" t="s">
        <v>6</v>
      </c>
      <c r="F64" s="15">
        <v>46183.628227256901</v>
      </c>
      <c r="G64" s="4">
        <v>46183</v>
      </c>
      <c r="H64" s="1">
        <v>46184.694488865702</v>
      </c>
      <c r="I64" s="22">
        <v>46184</v>
      </c>
      <c r="J64" s="24">
        <f t="shared" si="0"/>
        <v>46184.529437719517</v>
      </c>
      <c r="K64" s="24">
        <f t="shared" si="1"/>
        <v>0.69448886570171453</v>
      </c>
      <c r="L64" s="29">
        <f t="shared" si="6"/>
        <v>46183</v>
      </c>
      <c r="M64" s="27" t="str">
        <f t="shared" si="7"/>
        <v>Medication Change</v>
      </c>
      <c r="N64" s="31">
        <f t="shared" si="2"/>
        <v>1</v>
      </c>
      <c r="O64" s="27"/>
      <c r="Q64" s="8">
        <v>0.35212992251771269</v>
      </c>
      <c r="R64" s="8" t="str">
        <f t="shared" si="3"/>
        <v>Major Delay</v>
      </c>
      <c r="S64" s="33">
        <v>1.9612275083789825</v>
      </c>
      <c r="T64" t="s">
        <v>31</v>
      </c>
      <c r="U64" s="3">
        <v>2</v>
      </c>
      <c r="V64" s="3" t="str">
        <f t="shared" si="8"/>
        <v>Normal</v>
      </c>
      <c r="W64" s="3" t="s">
        <v>50</v>
      </c>
      <c r="X64" s="32">
        <f t="shared" si="4"/>
        <v>0.16505114618485095</v>
      </c>
      <c r="Z64" s="38">
        <f t="shared" si="9"/>
        <v>4.005114618485095E-2</v>
      </c>
      <c r="AC64" s="36">
        <v>0.125</v>
      </c>
      <c r="AL64" t="str">
        <f t="shared" si="10"/>
        <v>Medication Change</v>
      </c>
      <c r="AM64" t="str">
        <f t="shared" si="11"/>
        <v>No</v>
      </c>
      <c r="AN64" t="str">
        <f t="shared" si="12"/>
        <v>Elective</v>
      </c>
      <c r="AO64" t="str">
        <f t="shared" si="13"/>
        <v>HDU</v>
      </c>
    </row>
    <row r="65" spans="1:41" x14ac:dyDescent="0.3">
      <c r="A65" s="21" t="str">
        <f t="shared" si="5"/>
        <v>UHID-00064</v>
      </c>
      <c r="B65" s="18">
        <v>73</v>
      </c>
      <c r="C65" s="10" t="s">
        <v>17</v>
      </c>
      <c r="D65" s="13" t="s">
        <v>27</v>
      </c>
      <c r="E65" s="13" t="s">
        <v>6</v>
      </c>
      <c r="F65" s="15">
        <v>46182.760056655097</v>
      </c>
      <c r="G65" s="4">
        <v>46182</v>
      </c>
      <c r="H65" s="1">
        <v>46184.646751562497</v>
      </c>
      <c r="I65" s="22">
        <v>46184</v>
      </c>
      <c r="J65" s="24">
        <f t="shared" si="0"/>
        <v>46184.441915545482</v>
      </c>
      <c r="K65" s="24">
        <f t="shared" si="1"/>
        <v>0.64675156249722932</v>
      </c>
      <c r="L65" s="29">
        <f t="shared" si="6"/>
        <v>46183</v>
      </c>
      <c r="M65" s="27" t="str">
        <f t="shared" si="7"/>
        <v>Medication Change</v>
      </c>
      <c r="N65" s="31">
        <f t="shared" si="2"/>
        <v>2</v>
      </c>
      <c r="O65" s="27"/>
      <c r="Q65" s="8">
        <v>0.4641942256702779</v>
      </c>
      <c r="R65" s="8" t="str">
        <f t="shared" si="3"/>
        <v>Major Delay</v>
      </c>
      <c r="S65" s="33">
        <v>1.91606440832614</v>
      </c>
      <c r="T65" t="s">
        <v>31</v>
      </c>
      <c r="U65" s="3">
        <v>3</v>
      </c>
      <c r="V65" s="3" t="str">
        <f t="shared" si="8"/>
        <v>Normal</v>
      </c>
      <c r="W65" s="3" t="s">
        <v>50</v>
      </c>
      <c r="X65" s="32">
        <f t="shared" si="4"/>
        <v>0.20483601701562293</v>
      </c>
      <c r="Z65" s="38">
        <f t="shared" si="9"/>
        <v>7.9836017015622929E-2</v>
      </c>
      <c r="AC65" s="36">
        <v>0.125</v>
      </c>
      <c r="AL65" t="str">
        <f t="shared" si="10"/>
        <v>Medication Change</v>
      </c>
      <c r="AM65" t="str">
        <f t="shared" si="11"/>
        <v>No</v>
      </c>
      <c r="AN65" t="str">
        <f t="shared" si="12"/>
        <v>Elective</v>
      </c>
      <c r="AO65" t="str">
        <f t="shared" si="13"/>
        <v>HDU</v>
      </c>
    </row>
    <row r="66" spans="1:41" x14ac:dyDescent="0.3">
      <c r="A66" s="21" t="str">
        <f t="shared" si="5"/>
        <v>UHID-00065</v>
      </c>
      <c r="B66" s="18">
        <v>64</v>
      </c>
      <c r="C66" s="10" t="s">
        <v>18</v>
      </c>
      <c r="D66" s="13" t="s">
        <v>27</v>
      </c>
      <c r="E66" s="13" t="s">
        <v>6</v>
      </c>
      <c r="F66" s="15">
        <v>46175.967025208301</v>
      </c>
      <c r="G66" s="4">
        <v>46175</v>
      </c>
      <c r="H66" s="1">
        <v>46184.607154791702</v>
      </c>
      <c r="I66" s="22">
        <v>46184</v>
      </c>
      <c r="J66" s="24">
        <f t="shared" ref="J66:J129" si="14">I66+K66-((S66+U66)/24)</f>
        <v>46184.159857796345</v>
      </c>
      <c r="K66" s="24">
        <f t="shared" ref="K66:K129" si="15">MOD(H66,1)</f>
        <v>0.60715479170175968</v>
      </c>
      <c r="L66" s="29">
        <f t="shared" si="6"/>
        <v>46183</v>
      </c>
      <c r="M66" s="27" t="str">
        <f t="shared" ref="M66:M129" si="16">IF(X66="","",IF(X66&lt;=TIME(2,0,0),"Normal",IF(X66&lt;=TIME(3,0,0),IF(D66="CASH","Bill Settlement Delay","Doctor Round Delay/Report Delay"),IF(X66&lt;=TIME(5,0,0),IF(D66="TPA","TPA Approval Delay","Medication Change"),IF(D66="TPA","Health Deterioration/TPA Approval Delay","Health Deterioration")))))</f>
        <v>Health Deterioration</v>
      </c>
      <c r="N66" s="31">
        <f t="shared" ref="N66:N129" si="17">I66-G66</f>
        <v>9</v>
      </c>
      <c r="O66" s="27"/>
      <c r="Q66" s="8">
        <v>0.11479802444079357</v>
      </c>
      <c r="R66" s="8" t="str">
        <f t="shared" ref="R66:R129" si="18">IF(X66="","",IF(X66&lt;=TIME(2,0,0),"On Time",IF(X66&lt;=TIME(3,0,0),"Minor Delay",IF(X66&lt;=TIME(5,0,0),"Major Delay","Critical Delay"))))</f>
        <v>Critical Delay</v>
      </c>
      <c r="S66" s="33">
        <v>1.7351278885862946</v>
      </c>
      <c r="T66" t="s">
        <v>30</v>
      </c>
      <c r="U66" s="3">
        <v>9</v>
      </c>
      <c r="V66" s="3" t="str">
        <f t="shared" si="8"/>
        <v/>
      </c>
      <c r="W66" s="3" t="s">
        <v>52</v>
      </c>
      <c r="X66" s="32">
        <f t="shared" ref="X66:X129" si="19">MOD(K66-J66,1)</f>
        <v>0.44729699535673717</v>
      </c>
      <c r="Z66" s="38">
        <f t="shared" si="9"/>
        <v>0.32229699535673717</v>
      </c>
      <c r="AC66" s="36">
        <v>0.125</v>
      </c>
      <c r="AL66" t="str">
        <f t="shared" si="10"/>
        <v>Health Deterioration</v>
      </c>
      <c r="AM66" t="str">
        <f t="shared" si="11"/>
        <v>No</v>
      </c>
      <c r="AN66" t="str">
        <f t="shared" si="12"/>
        <v>Elective</v>
      </c>
      <c r="AO66" t="str">
        <f t="shared" si="13"/>
        <v>ICU</v>
      </c>
    </row>
    <row r="67" spans="1:41" x14ac:dyDescent="0.3">
      <c r="A67" s="21" t="str">
        <f t="shared" ref="A67:A130" si="20">"UHID-"&amp;TEXT(ROW(A67)-1,"00000")</f>
        <v>UHID-00066</v>
      </c>
      <c r="B67" s="18">
        <v>57</v>
      </c>
      <c r="C67" s="10" t="s">
        <v>18</v>
      </c>
      <c r="D67" s="13" t="s">
        <v>28</v>
      </c>
      <c r="E67" s="13" t="s">
        <v>6</v>
      </c>
      <c r="F67" s="15">
        <v>46183.333529305601</v>
      </c>
      <c r="G67" s="4">
        <v>46183</v>
      </c>
      <c r="H67" s="1">
        <v>46183.675087650503</v>
      </c>
      <c r="I67" s="22">
        <v>46183</v>
      </c>
      <c r="J67" s="24">
        <f t="shared" si="14"/>
        <v>46183.577475772254</v>
      </c>
      <c r="K67" s="24">
        <f t="shared" si="15"/>
        <v>0.6750876505029737</v>
      </c>
      <c r="L67" s="29">
        <f t="shared" ref="L67:L130" si="21">IF(J67&gt;MOD(H67,1),INT(H67)-1,INT(H67))</f>
        <v>46182</v>
      </c>
      <c r="M67" s="27" t="str">
        <f t="shared" si="16"/>
        <v>Doctor Round Delay/Report Delay</v>
      </c>
      <c r="N67" s="31">
        <f t="shared" si="17"/>
        <v>0</v>
      </c>
      <c r="O67" s="27"/>
      <c r="Q67" s="8">
        <v>0.87842964624488362</v>
      </c>
      <c r="R67" s="8" t="str">
        <f t="shared" si="18"/>
        <v>Minor Delay</v>
      </c>
      <c r="S67" s="33">
        <v>2.3426850780449677</v>
      </c>
      <c r="T67" t="s">
        <v>31</v>
      </c>
      <c r="U67" s="3">
        <v>0</v>
      </c>
      <c r="V67" s="3" t="str">
        <f t="shared" ref="V67:V130" si="22">IF(T67="NO","Normal","")</f>
        <v>Normal</v>
      </c>
      <c r="W67" s="3" t="s">
        <v>51</v>
      </c>
      <c r="X67" s="32">
        <f t="shared" si="19"/>
        <v>9.761187824915396E-2</v>
      </c>
      <c r="Z67" s="38">
        <f t="shared" ref="Z67:Z130" si="23">IF(X67 &gt; TIME(3,0,0), X67 - TIME(3,0,0), 0)</f>
        <v>0</v>
      </c>
      <c r="AC67" s="36">
        <v>0.125</v>
      </c>
      <c r="AL67" t="str">
        <f t="shared" ref="AL67:AL130" si="24">IF(X67="","",IF(X67&lt;=TIME(2,0,0),"Normal",IF(X67&lt;=TIME(3,0,0),IF(D67="CASH","Bill Settlement Delay","Doctor Round Delay/Report Delay"),IF(Z67&lt;=TIME(2,0,0),IF(D67="TPA","TPA Approval Delay","Medication Change"),IF(D67="TPA","Health Deterioration/TPA Approval Delay","Health Deterioration")))))</f>
        <v>Doctor Round Delay/Report Delay</v>
      </c>
      <c r="AM67" t="str">
        <f t="shared" ref="AM67:AM130" si="25">IF(OR(AND(B67&gt;65, R67="Critical Delay"), N67&gt;10), "Yes", "No")</f>
        <v>No</v>
      </c>
      <c r="AN67" t="str">
        <f t="shared" ref="AN67:AN130" si="26">IF(E67="Cardiology &amp; Cardiothoracic", IF(MOD(ROW(),10)&lt;3, "Emergency", "Elective"), IF(E67="Neurology &amp; Neurosurgery", IF(MOD(ROW(),10)&lt;4, "Emergency", "Elective"), IF(D67="COR", IF(MOD(ROW(),20)&lt;7, "Emergency", "Elective"), IF(OR(R67="Critical Delay", N67&gt;=7), "Emergency", "Elective"))))</f>
        <v>Elective</v>
      </c>
      <c r="AO67" t="str">
        <f t="shared" ref="AO67:AO130" si="27">IF(OR(N67&gt;6, AND(E67="Cardiology &amp; Cardiothoracic", MOD(ROW(),10)&lt;4), AND(E67="Neurology &amp; Neurosurgery", MOD(ROW(),10)&lt;6)), "ICU", IF(OR(N67&gt;3, AND(E67="Cardiology &amp; Cardiothoracic", MOD(ROW(),10)&lt;6), E67="Neurology &amp; Neurosurgery"), "HDU", "General Ward"))</f>
        <v>General Ward</v>
      </c>
    </row>
    <row r="68" spans="1:41" x14ac:dyDescent="0.3">
      <c r="A68" s="21" t="str">
        <f t="shared" si="20"/>
        <v>UHID-00067</v>
      </c>
      <c r="B68" s="18">
        <v>64</v>
      </c>
      <c r="C68" s="10" t="s">
        <v>17</v>
      </c>
      <c r="D68" s="13" t="s">
        <v>26</v>
      </c>
      <c r="E68" s="13" t="s">
        <v>6</v>
      </c>
      <c r="F68" s="15">
        <v>46181.594218726903</v>
      </c>
      <c r="G68" s="4">
        <v>46181</v>
      </c>
      <c r="H68" s="1">
        <v>46184.618440879603</v>
      </c>
      <c r="I68" s="22">
        <v>46184</v>
      </c>
      <c r="J68" s="24">
        <f t="shared" si="14"/>
        <v>46184.4648331926</v>
      </c>
      <c r="K68" s="24">
        <f t="shared" si="15"/>
        <v>0.61844087960344041</v>
      </c>
      <c r="L68" s="29">
        <f t="shared" si="21"/>
        <v>46183</v>
      </c>
      <c r="M68" s="27" t="str">
        <f t="shared" si="16"/>
        <v>TPA Approval Delay</v>
      </c>
      <c r="N68" s="31">
        <f t="shared" si="17"/>
        <v>3</v>
      </c>
      <c r="O68" s="27"/>
      <c r="Q68" s="8">
        <v>0.58050177789960133</v>
      </c>
      <c r="R68" s="8" t="str">
        <f t="shared" si="18"/>
        <v>Major Delay</v>
      </c>
      <c r="S68" s="33">
        <v>3.6865844881124867</v>
      </c>
      <c r="T68" t="s">
        <v>31</v>
      </c>
      <c r="U68" s="3">
        <v>0</v>
      </c>
      <c r="V68" s="3" t="str">
        <f t="shared" si="22"/>
        <v>Normal</v>
      </c>
      <c r="W68" s="3" t="s">
        <v>51</v>
      </c>
      <c r="X68" s="32">
        <f t="shared" si="19"/>
        <v>0.15360768700338667</v>
      </c>
      <c r="Z68" s="38">
        <f t="shared" si="23"/>
        <v>2.8607687003386673E-2</v>
      </c>
      <c r="AC68" s="36">
        <v>0.125</v>
      </c>
      <c r="AL68" t="str">
        <f t="shared" si="24"/>
        <v>TPA Approval Delay</v>
      </c>
      <c r="AM68" t="str">
        <f t="shared" si="25"/>
        <v>No</v>
      </c>
      <c r="AN68" t="str">
        <f t="shared" si="26"/>
        <v>Elective</v>
      </c>
      <c r="AO68" t="str">
        <f t="shared" si="27"/>
        <v>General Ward</v>
      </c>
    </row>
    <row r="69" spans="1:41" x14ac:dyDescent="0.3">
      <c r="A69" s="21" t="str">
        <f t="shared" si="20"/>
        <v>UHID-00068</v>
      </c>
      <c r="B69" s="18">
        <v>58</v>
      </c>
      <c r="C69" s="10" t="s">
        <v>18</v>
      </c>
      <c r="D69" s="13" t="s">
        <v>27</v>
      </c>
      <c r="E69" s="13" t="s">
        <v>6</v>
      </c>
      <c r="F69" s="15">
        <v>46181.830331388897</v>
      </c>
      <c r="G69" s="4">
        <v>46181</v>
      </c>
      <c r="H69" s="1">
        <v>46184.518109536999</v>
      </c>
      <c r="I69" s="22">
        <v>46184</v>
      </c>
      <c r="J69" s="24">
        <f t="shared" si="14"/>
        <v>46184.441896279095</v>
      </c>
      <c r="K69" s="24">
        <f t="shared" si="15"/>
        <v>0.51810953699896345</v>
      </c>
      <c r="L69" s="29">
        <f t="shared" si="21"/>
        <v>46183</v>
      </c>
      <c r="M69" s="27" t="str">
        <f t="shared" si="16"/>
        <v>Normal</v>
      </c>
      <c r="N69" s="31">
        <f t="shared" si="17"/>
        <v>3</v>
      </c>
      <c r="O69" s="27"/>
      <c r="Q69" s="8">
        <v>0.35233809881191314</v>
      </c>
      <c r="R69" s="8" t="str">
        <f t="shared" si="18"/>
        <v>On Time</v>
      </c>
      <c r="S69" s="33">
        <v>1.8291181897646624</v>
      </c>
      <c r="T69" t="s">
        <v>31</v>
      </c>
      <c r="U69" s="3">
        <v>0</v>
      </c>
      <c r="V69" s="3" t="str">
        <f t="shared" si="22"/>
        <v>Normal</v>
      </c>
      <c r="W69" s="3" t="s">
        <v>51</v>
      </c>
      <c r="X69" s="32">
        <f t="shared" si="19"/>
        <v>7.6213257903873455E-2</v>
      </c>
      <c r="Z69" s="38">
        <f t="shared" si="23"/>
        <v>0</v>
      </c>
      <c r="AC69" s="36">
        <v>0.125</v>
      </c>
      <c r="AL69" t="str">
        <f t="shared" si="24"/>
        <v>Normal</v>
      </c>
      <c r="AM69" t="str">
        <f t="shared" si="25"/>
        <v>No</v>
      </c>
      <c r="AN69" t="str">
        <f t="shared" si="26"/>
        <v>Elective</v>
      </c>
      <c r="AO69" t="str">
        <f t="shared" si="27"/>
        <v>General Ward</v>
      </c>
    </row>
    <row r="70" spans="1:41" x14ac:dyDescent="0.3">
      <c r="A70" s="21" t="str">
        <f t="shared" si="20"/>
        <v>UHID-00069</v>
      </c>
      <c r="B70" s="18">
        <v>58</v>
      </c>
      <c r="C70" s="10" t="s">
        <v>18</v>
      </c>
      <c r="D70" s="13" t="s">
        <v>26</v>
      </c>
      <c r="E70" s="13" t="s">
        <v>6</v>
      </c>
      <c r="F70" s="15">
        <v>46184.4992985301</v>
      </c>
      <c r="G70" s="4">
        <v>46184</v>
      </c>
      <c r="H70" s="1">
        <v>46184.757317812502</v>
      </c>
      <c r="I70" s="22">
        <v>46184</v>
      </c>
      <c r="J70" s="24">
        <f t="shared" si="14"/>
        <v>46184.434424067775</v>
      </c>
      <c r="K70" s="24">
        <f t="shared" si="15"/>
        <v>0.75731781250215136</v>
      </c>
      <c r="L70" s="29">
        <f t="shared" si="21"/>
        <v>46183</v>
      </c>
      <c r="M70" s="27" t="str">
        <f t="shared" si="16"/>
        <v>Health Deterioration/TPA Approval Delay</v>
      </c>
      <c r="N70" s="31">
        <f t="shared" si="17"/>
        <v>0</v>
      </c>
      <c r="O70" s="27"/>
      <c r="Q70" s="8">
        <v>0.62658857778214216</v>
      </c>
      <c r="R70" s="8" t="str">
        <f t="shared" si="18"/>
        <v>Critical Delay</v>
      </c>
      <c r="S70" s="33">
        <v>3.7494498733746404</v>
      </c>
      <c r="T70" t="s">
        <v>31</v>
      </c>
      <c r="U70" s="3">
        <v>4</v>
      </c>
      <c r="V70" s="3" t="str">
        <f t="shared" si="22"/>
        <v>Normal</v>
      </c>
      <c r="W70" s="3" t="s">
        <v>50</v>
      </c>
      <c r="X70" s="32">
        <f t="shared" si="19"/>
        <v>0.32289374472748023</v>
      </c>
      <c r="Z70" s="38">
        <f t="shared" si="23"/>
        <v>0.19789374472748023</v>
      </c>
      <c r="AC70" s="36">
        <v>0.125</v>
      </c>
      <c r="AL70" t="str">
        <f t="shared" si="24"/>
        <v>Health Deterioration/TPA Approval Delay</v>
      </c>
      <c r="AM70" t="str">
        <f t="shared" si="25"/>
        <v>No</v>
      </c>
      <c r="AN70" t="str">
        <f t="shared" si="26"/>
        <v>Emergency</v>
      </c>
      <c r="AO70" t="str">
        <f t="shared" si="27"/>
        <v>ICU</v>
      </c>
    </row>
    <row r="71" spans="1:41" x14ac:dyDescent="0.3">
      <c r="A71" s="21" t="str">
        <f t="shared" si="20"/>
        <v>UHID-00070</v>
      </c>
      <c r="B71" s="18">
        <v>70</v>
      </c>
      <c r="C71" s="10" t="s">
        <v>18</v>
      </c>
      <c r="D71" s="13" t="s">
        <v>26</v>
      </c>
      <c r="E71" s="13" t="s">
        <v>6</v>
      </c>
      <c r="F71" s="15">
        <v>46184.424685300903</v>
      </c>
      <c r="G71" s="4">
        <v>46184</v>
      </c>
      <c r="H71" s="1">
        <v>46184.757570856498</v>
      </c>
      <c r="I71" s="22">
        <v>46184</v>
      </c>
      <c r="J71" s="24">
        <f t="shared" si="14"/>
        <v>46184.603551236491</v>
      </c>
      <c r="K71" s="24">
        <f t="shared" si="15"/>
        <v>0.7575708564982051</v>
      </c>
      <c r="L71" s="29">
        <f t="shared" si="21"/>
        <v>46183</v>
      </c>
      <c r="M71" s="27" t="str">
        <f t="shared" si="16"/>
        <v>TPA Approval Delay</v>
      </c>
      <c r="N71" s="31">
        <f t="shared" si="17"/>
        <v>0</v>
      </c>
      <c r="O71" s="27"/>
      <c r="Q71" s="8">
        <v>0.68445314150007686</v>
      </c>
      <c r="R71" s="8" t="str">
        <f t="shared" si="18"/>
        <v>Major Delay</v>
      </c>
      <c r="S71" s="33">
        <v>3.696470880210474</v>
      </c>
      <c r="T71" t="s">
        <v>31</v>
      </c>
      <c r="U71" s="3">
        <v>0</v>
      </c>
      <c r="V71" s="3" t="str">
        <f t="shared" si="22"/>
        <v>Normal</v>
      </c>
      <c r="W71" s="3" t="s">
        <v>51</v>
      </c>
      <c r="X71" s="32">
        <f t="shared" si="19"/>
        <v>0.1540196200076025</v>
      </c>
      <c r="Z71" s="38">
        <f t="shared" si="23"/>
        <v>2.9019620007602498E-2</v>
      </c>
      <c r="AC71" s="36">
        <v>0.125</v>
      </c>
      <c r="AL71" t="str">
        <f t="shared" si="24"/>
        <v>TPA Approval Delay</v>
      </c>
      <c r="AM71" t="str">
        <f t="shared" si="25"/>
        <v>No</v>
      </c>
      <c r="AN71" t="str">
        <f t="shared" si="26"/>
        <v>Emergency</v>
      </c>
      <c r="AO71" t="str">
        <f t="shared" si="27"/>
        <v>ICU</v>
      </c>
    </row>
    <row r="72" spans="1:41" x14ac:dyDescent="0.3">
      <c r="A72" s="21" t="str">
        <f t="shared" si="20"/>
        <v>UHID-00071</v>
      </c>
      <c r="B72" s="18">
        <v>62</v>
      </c>
      <c r="C72" s="10" t="s">
        <v>18</v>
      </c>
      <c r="D72" s="13" t="s">
        <v>27</v>
      </c>
      <c r="E72" s="13" t="s">
        <v>6</v>
      </c>
      <c r="F72" s="15">
        <v>46184.396827997698</v>
      </c>
      <c r="G72" s="4">
        <v>46184</v>
      </c>
      <c r="H72" s="1">
        <v>46184.762826585596</v>
      </c>
      <c r="I72" s="22">
        <v>46184</v>
      </c>
      <c r="J72" s="24">
        <f t="shared" si="14"/>
        <v>46184.528323600949</v>
      </c>
      <c r="K72" s="24">
        <f t="shared" si="15"/>
        <v>0.76282658559648553</v>
      </c>
      <c r="L72" s="29">
        <f t="shared" si="21"/>
        <v>46183</v>
      </c>
      <c r="M72" s="27" t="str">
        <f t="shared" si="16"/>
        <v>Health Deterioration</v>
      </c>
      <c r="N72" s="31">
        <f t="shared" si="17"/>
        <v>0</v>
      </c>
      <c r="O72" s="27"/>
      <c r="Q72" s="8">
        <v>0.35694112926975963</v>
      </c>
      <c r="R72" s="8" t="str">
        <f t="shared" si="18"/>
        <v>Critical Delay</v>
      </c>
      <c r="S72" s="33">
        <v>1.6280716315938952</v>
      </c>
      <c r="T72" t="s">
        <v>31</v>
      </c>
      <c r="U72" s="3">
        <v>4</v>
      </c>
      <c r="V72" s="3" t="str">
        <f t="shared" si="22"/>
        <v>Normal</v>
      </c>
      <c r="W72" s="3" t="s">
        <v>50</v>
      </c>
      <c r="X72" s="32">
        <f t="shared" si="19"/>
        <v>0.23450298464740627</v>
      </c>
      <c r="Z72" s="38">
        <f t="shared" si="23"/>
        <v>0.10950298464740627</v>
      </c>
      <c r="AC72" s="36">
        <v>0.125</v>
      </c>
      <c r="AL72" t="str">
        <f t="shared" si="24"/>
        <v>Health Deterioration</v>
      </c>
      <c r="AM72" t="str">
        <f t="shared" si="25"/>
        <v>No</v>
      </c>
      <c r="AN72" t="str">
        <f t="shared" si="26"/>
        <v>Emergency</v>
      </c>
      <c r="AO72" t="str">
        <f t="shared" si="27"/>
        <v>ICU</v>
      </c>
    </row>
    <row r="73" spans="1:41" x14ac:dyDescent="0.3">
      <c r="A73" s="21" t="str">
        <f t="shared" si="20"/>
        <v>UHID-00072</v>
      </c>
      <c r="B73" s="18">
        <v>70</v>
      </c>
      <c r="C73" s="10" t="s">
        <v>18</v>
      </c>
      <c r="D73" s="13" t="s">
        <v>27</v>
      </c>
      <c r="E73" s="13" t="s">
        <v>6</v>
      </c>
      <c r="F73" s="15">
        <v>46184.555105185202</v>
      </c>
      <c r="G73" s="4">
        <v>46184</v>
      </c>
      <c r="H73" s="1">
        <v>46184.756320277796</v>
      </c>
      <c r="I73" s="22">
        <v>46184</v>
      </c>
      <c r="J73" s="24">
        <f t="shared" si="14"/>
        <v>46184.56520990577</v>
      </c>
      <c r="K73" s="24">
        <f t="shared" si="15"/>
        <v>0.75632027779647615</v>
      </c>
      <c r="L73" s="29">
        <f t="shared" si="21"/>
        <v>46183</v>
      </c>
      <c r="M73" s="27" t="str">
        <f t="shared" si="16"/>
        <v>Medication Change</v>
      </c>
      <c r="N73" s="31">
        <f t="shared" si="17"/>
        <v>0</v>
      </c>
      <c r="O73" s="27"/>
      <c r="Q73" s="8">
        <v>0.11212917569196068</v>
      </c>
      <c r="R73" s="8" t="str">
        <f t="shared" si="18"/>
        <v>Major Delay</v>
      </c>
      <c r="S73" s="33">
        <v>1.5866489287267296</v>
      </c>
      <c r="T73" t="s">
        <v>30</v>
      </c>
      <c r="U73" s="3">
        <v>3</v>
      </c>
      <c r="V73" s="3" t="str">
        <f t="shared" si="22"/>
        <v/>
      </c>
      <c r="W73" s="3" t="s">
        <v>50</v>
      </c>
      <c r="X73" s="32">
        <f t="shared" si="19"/>
        <v>0.19111037202674197</v>
      </c>
      <c r="Z73" s="38">
        <f t="shared" si="23"/>
        <v>6.611037202674197E-2</v>
      </c>
      <c r="AC73" s="36">
        <v>0.125</v>
      </c>
      <c r="AL73" t="str">
        <f t="shared" si="24"/>
        <v>Medication Change</v>
      </c>
      <c r="AM73" t="str">
        <f t="shared" si="25"/>
        <v>No</v>
      </c>
      <c r="AN73" t="str">
        <f t="shared" si="26"/>
        <v>Elective</v>
      </c>
      <c r="AO73" t="str">
        <f t="shared" si="27"/>
        <v>ICU</v>
      </c>
    </row>
    <row r="74" spans="1:41" x14ac:dyDescent="0.3">
      <c r="A74" s="21" t="str">
        <f t="shared" si="20"/>
        <v>UHID-00073</v>
      </c>
      <c r="B74" s="18">
        <v>28</v>
      </c>
      <c r="C74" s="10" t="s">
        <v>17</v>
      </c>
      <c r="D74" s="13" t="s">
        <v>27</v>
      </c>
      <c r="E74" s="13" t="s">
        <v>6</v>
      </c>
      <c r="F74" s="15">
        <v>46182.622319027803</v>
      </c>
      <c r="G74" s="4">
        <v>46182</v>
      </c>
      <c r="H74" s="1">
        <v>46185.485416666699</v>
      </c>
      <c r="I74" s="22">
        <v>46185</v>
      </c>
      <c r="J74" s="24">
        <f t="shared" si="14"/>
        <v>46185.429191400312</v>
      </c>
      <c r="K74" s="24">
        <f t="shared" si="15"/>
        <v>0.48541666669916594</v>
      </c>
      <c r="L74" s="29">
        <f t="shared" si="21"/>
        <v>46184</v>
      </c>
      <c r="M74" s="27" t="str">
        <f t="shared" si="16"/>
        <v>Normal</v>
      </c>
      <c r="N74" s="31">
        <f t="shared" si="17"/>
        <v>3</v>
      </c>
      <c r="O74" s="27"/>
      <c r="Q74" s="8">
        <v>5.7165724553718711E-2</v>
      </c>
      <c r="R74" s="8" t="str">
        <f t="shared" si="18"/>
        <v>On Time</v>
      </c>
      <c r="S74" s="33">
        <v>1.3494063932163589</v>
      </c>
      <c r="T74" t="s">
        <v>30</v>
      </c>
      <c r="U74" s="3">
        <v>0</v>
      </c>
      <c r="V74" s="3" t="str">
        <f t="shared" si="22"/>
        <v/>
      </c>
      <c r="W74" s="3" t="s">
        <v>51</v>
      </c>
      <c r="X74" s="32">
        <f t="shared" si="19"/>
        <v>5.6225266387627926E-2</v>
      </c>
      <c r="Z74" s="38">
        <f t="shared" si="23"/>
        <v>0</v>
      </c>
      <c r="AC74" s="36">
        <v>0.125</v>
      </c>
      <c r="AL74" t="str">
        <f t="shared" si="24"/>
        <v>Normal</v>
      </c>
      <c r="AM74" t="str">
        <f t="shared" si="25"/>
        <v>No</v>
      </c>
      <c r="AN74" t="str">
        <f t="shared" si="26"/>
        <v>Elective</v>
      </c>
      <c r="AO74" t="str">
        <f t="shared" si="27"/>
        <v>HDU</v>
      </c>
    </row>
    <row r="75" spans="1:41" x14ac:dyDescent="0.3">
      <c r="A75" s="21" t="str">
        <f t="shared" si="20"/>
        <v>UHID-00074</v>
      </c>
      <c r="B75" s="18">
        <v>63</v>
      </c>
      <c r="C75" s="10" t="s">
        <v>18</v>
      </c>
      <c r="D75" s="13" t="s">
        <v>26</v>
      </c>
      <c r="E75" s="13" t="s">
        <v>6</v>
      </c>
      <c r="F75" s="15">
        <v>46184.413237141198</v>
      </c>
      <c r="G75" s="4">
        <v>46184</v>
      </c>
      <c r="H75" s="1">
        <v>46185.627615983802</v>
      </c>
      <c r="I75" s="22">
        <v>46185</v>
      </c>
      <c r="J75" s="24">
        <f t="shared" si="14"/>
        <v>46185.488355853871</v>
      </c>
      <c r="K75" s="24">
        <f t="shared" si="15"/>
        <v>0.62761598380166106</v>
      </c>
      <c r="L75" s="29">
        <f t="shared" si="21"/>
        <v>46184</v>
      </c>
      <c r="M75" s="27" t="str">
        <f t="shared" si="16"/>
        <v>TPA Approval Delay</v>
      </c>
      <c r="N75" s="31">
        <f t="shared" si="17"/>
        <v>1</v>
      </c>
      <c r="O75" s="27"/>
      <c r="Q75" s="8">
        <v>0.50303925664450133</v>
      </c>
      <c r="R75" s="8" t="str">
        <f t="shared" si="18"/>
        <v>Major Delay</v>
      </c>
      <c r="S75" s="33">
        <v>3.3422431182597543</v>
      </c>
      <c r="T75" t="s">
        <v>31</v>
      </c>
      <c r="U75" s="3">
        <v>0</v>
      </c>
      <c r="V75" s="3" t="str">
        <f t="shared" si="22"/>
        <v>Normal</v>
      </c>
      <c r="W75" s="3" t="s">
        <v>51</v>
      </c>
      <c r="X75" s="32">
        <f t="shared" si="19"/>
        <v>0.1392601299303351</v>
      </c>
      <c r="Z75" s="38">
        <f t="shared" si="23"/>
        <v>1.4260129930335097E-2</v>
      </c>
      <c r="AC75" s="36">
        <v>0.125</v>
      </c>
      <c r="AL75" t="str">
        <f t="shared" si="24"/>
        <v>TPA Approval Delay</v>
      </c>
      <c r="AM75" t="str">
        <f t="shared" si="25"/>
        <v>No</v>
      </c>
      <c r="AN75" t="str">
        <f t="shared" si="26"/>
        <v>Elective</v>
      </c>
      <c r="AO75" t="str">
        <f t="shared" si="27"/>
        <v>HDU</v>
      </c>
    </row>
    <row r="76" spans="1:41" x14ac:dyDescent="0.3">
      <c r="A76" s="21" t="str">
        <f t="shared" si="20"/>
        <v>UHID-00075</v>
      </c>
      <c r="B76" s="18">
        <v>43</v>
      </c>
      <c r="C76" s="10" t="s">
        <v>18</v>
      </c>
      <c r="D76" s="13" t="s">
        <v>28</v>
      </c>
      <c r="E76" s="13" t="s">
        <v>6</v>
      </c>
      <c r="F76" s="15">
        <v>46185.574356539299</v>
      </c>
      <c r="G76" s="4">
        <v>46185</v>
      </c>
      <c r="H76" s="1">
        <v>46185.824489999999</v>
      </c>
      <c r="I76" s="22">
        <v>46185</v>
      </c>
      <c r="J76" s="24">
        <f t="shared" si="14"/>
        <v>46185.723455629755</v>
      </c>
      <c r="K76" s="24">
        <f t="shared" si="15"/>
        <v>0.82448999999905936</v>
      </c>
      <c r="L76" s="29">
        <f t="shared" si="21"/>
        <v>46184</v>
      </c>
      <c r="M76" s="27" t="str">
        <f t="shared" si="16"/>
        <v>Doctor Round Delay/Report Delay</v>
      </c>
      <c r="N76" s="31">
        <f t="shared" si="17"/>
        <v>0</v>
      </c>
      <c r="O76" s="27"/>
      <c r="Q76" s="8">
        <v>0.96585777988486032</v>
      </c>
      <c r="R76" s="8" t="str">
        <f t="shared" si="18"/>
        <v>Minor Delay</v>
      </c>
      <c r="S76" s="33">
        <v>2.4248248857632708</v>
      </c>
      <c r="T76" t="s">
        <v>31</v>
      </c>
      <c r="U76" s="3">
        <v>0</v>
      </c>
      <c r="V76" s="3" t="str">
        <f t="shared" si="22"/>
        <v>Normal</v>
      </c>
      <c r="W76" s="3" t="s">
        <v>51</v>
      </c>
      <c r="X76" s="32">
        <f t="shared" si="19"/>
        <v>0.10103437024372397</v>
      </c>
      <c r="Z76" s="38">
        <f t="shared" si="23"/>
        <v>0</v>
      </c>
      <c r="AC76" s="36">
        <v>0.125</v>
      </c>
      <c r="AL76" t="str">
        <f t="shared" si="24"/>
        <v>Doctor Round Delay/Report Delay</v>
      </c>
      <c r="AM76" t="str">
        <f t="shared" si="25"/>
        <v>No</v>
      </c>
      <c r="AN76" t="str">
        <f t="shared" si="26"/>
        <v>Elective</v>
      </c>
      <c r="AO76" t="str">
        <f t="shared" si="27"/>
        <v>General Ward</v>
      </c>
    </row>
    <row r="77" spans="1:41" x14ac:dyDescent="0.3">
      <c r="A77" s="21" t="str">
        <f t="shared" si="20"/>
        <v>UHID-00076</v>
      </c>
      <c r="B77" s="18">
        <v>46</v>
      </c>
      <c r="C77" s="10" t="s">
        <v>18</v>
      </c>
      <c r="D77" s="13" t="s">
        <v>27</v>
      </c>
      <c r="E77" s="13" t="s">
        <v>6</v>
      </c>
      <c r="F77" s="15">
        <v>46185.392316759302</v>
      </c>
      <c r="G77" s="4">
        <v>46185</v>
      </c>
      <c r="H77" s="1">
        <v>46185.653538483799</v>
      </c>
      <c r="I77" s="22">
        <v>46185</v>
      </c>
      <c r="J77" s="24">
        <f t="shared" si="14"/>
        <v>46185.611840582351</v>
      </c>
      <c r="K77" s="24">
        <f t="shared" si="15"/>
        <v>0.65353848379891133</v>
      </c>
      <c r="L77" s="29">
        <f t="shared" si="21"/>
        <v>46184</v>
      </c>
      <c r="M77" s="27" t="str">
        <f t="shared" si="16"/>
        <v>Normal</v>
      </c>
      <c r="N77" s="31">
        <f t="shared" si="17"/>
        <v>0</v>
      </c>
      <c r="O77" s="27"/>
      <c r="Q77" s="8">
        <v>0.48224798911085398</v>
      </c>
      <c r="R77" s="8" t="str">
        <f t="shared" si="18"/>
        <v>On Time</v>
      </c>
      <c r="S77" s="33">
        <v>1.0007496347202527</v>
      </c>
      <c r="T77" t="s">
        <v>31</v>
      </c>
      <c r="U77" s="3">
        <v>0</v>
      </c>
      <c r="V77" s="3" t="str">
        <f t="shared" si="22"/>
        <v>Normal</v>
      </c>
      <c r="W77" s="3" t="s">
        <v>51</v>
      </c>
      <c r="X77" s="32">
        <f t="shared" si="19"/>
        <v>4.1697901448060293E-2</v>
      </c>
      <c r="Z77" s="38">
        <f t="shared" si="23"/>
        <v>0</v>
      </c>
      <c r="AC77" s="36">
        <v>0.125</v>
      </c>
      <c r="AL77" t="str">
        <f t="shared" si="24"/>
        <v>Normal</v>
      </c>
      <c r="AM77" t="str">
        <f t="shared" si="25"/>
        <v>No</v>
      </c>
      <c r="AN77" t="str">
        <f t="shared" si="26"/>
        <v>Elective</v>
      </c>
      <c r="AO77" t="str">
        <f t="shared" si="27"/>
        <v>General Ward</v>
      </c>
    </row>
    <row r="78" spans="1:41" x14ac:dyDescent="0.3">
      <c r="A78" s="21" t="str">
        <f t="shared" si="20"/>
        <v>UHID-00077</v>
      </c>
      <c r="B78" s="18">
        <v>64</v>
      </c>
      <c r="C78" s="10" t="s">
        <v>17</v>
      </c>
      <c r="D78" s="13" t="s">
        <v>27</v>
      </c>
      <c r="E78" s="13" t="s">
        <v>6</v>
      </c>
      <c r="F78" s="15">
        <v>46184.884463125003</v>
      </c>
      <c r="G78" s="4">
        <v>46184</v>
      </c>
      <c r="H78" s="1">
        <v>46185.5982576389</v>
      </c>
      <c r="I78" s="22">
        <v>46185</v>
      </c>
      <c r="J78" s="24">
        <f t="shared" si="14"/>
        <v>46185.156151656396</v>
      </c>
      <c r="K78" s="24">
        <f t="shared" si="15"/>
        <v>0.59825763889966765</v>
      </c>
      <c r="L78" s="29">
        <f t="shared" si="21"/>
        <v>46184</v>
      </c>
      <c r="M78" s="27" t="str">
        <f t="shared" si="16"/>
        <v>Health Deterioration</v>
      </c>
      <c r="N78" s="31">
        <f t="shared" si="17"/>
        <v>1</v>
      </c>
      <c r="O78" s="27"/>
      <c r="Q78" s="8">
        <v>0.30930149775918758</v>
      </c>
      <c r="R78" s="8" t="str">
        <f t="shared" si="18"/>
        <v>Critical Delay</v>
      </c>
      <c r="S78" s="33">
        <v>1.6105435800066752</v>
      </c>
      <c r="T78" t="s">
        <v>30</v>
      </c>
      <c r="U78" s="3">
        <v>9</v>
      </c>
      <c r="V78" s="3" t="str">
        <f t="shared" si="22"/>
        <v/>
      </c>
      <c r="W78" s="3" t="s">
        <v>52</v>
      </c>
      <c r="X78" s="32">
        <f t="shared" si="19"/>
        <v>0.4421059825035627</v>
      </c>
      <c r="Z78" s="38">
        <f t="shared" si="23"/>
        <v>0.3171059825035627</v>
      </c>
      <c r="AC78" s="36">
        <v>0.125</v>
      </c>
      <c r="AL78" t="str">
        <f t="shared" si="24"/>
        <v>Health Deterioration</v>
      </c>
      <c r="AM78" t="str">
        <f t="shared" si="25"/>
        <v>No</v>
      </c>
      <c r="AN78" t="str">
        <f t="shared" si="26"/>
        <v>Elective</v>
      </c>
      <c r="AO78" t="str">
        <f t="shared" si="27"/>
        <v>General Ward</v>
      </c>
    </row>
    <row r="79" spans="1:41" x14ac:dyDescent="0.3">
      <c r="A79" s="21" t="str">
        <f t="shared" si="20"/>
        <v>UHID-00078</v>
      </c>
      <c r="B79" s="18">
        <v>33</v>
      </c>
      <c r="C79" s="10" t="s">
        <v>17</v>
      </c>
      <c r="D79" s="13" t="s">
        <v>27</v>
      </c>
      <c r="E79" s="13" t="s">
        <v>6</v>
      </c>
      <c r="F79" s="15">
        <v>46184.507754340302</v>
      </c>
      <c r="G79" s="4">
        <v>46184</v>
      </c>
      <c r="H79" s="1">
        <v>46186.548652905098</v>
      </c>
      <c r="I79" s="22">
        <v>46186</v>
      </c>
      <c r="J79" s="24">
        <f t="shared" si="14"/>
        <v>46186.50348083381</v>
      </c>
      <c r="K79" s="24">
        <f t="shared" si="15"/>
        <v>0.54865290509769693</v>
      </c>
      <c r="L79" s="29">
        <f t="shared" si="21"/>
        <v>46185</v>
      </c>
      <c r="M79" s="27" t="str">
        <f t="shared" si="16"/>
        <v>Normal</v>
      </c>
      <c r="N79" s="31">
        <f t="shared" si="17"/>
        <v>2</v>
      </c>
      <c r="O79" s="27"/>
      <c r="Q79" s="8">
        <v>0.30161226468237468</v>
      </c>
      <c r="R79" s="8" t="str">
        <f t="shared" si="18"/>
        <v>On Time</v>
      </c>
      <c r="S79" s="33">
        <v>1.0841297108408416</v>
      </c>
      <c r="T79" t="s">
        <v>30</v>
      </c>
      <c r="U79" s="3">
        <v>0</v>
      </c>
      <c r="V79" s="3" t="str">
        <f t="shared" si="22"/>
        <v/>
      </c>
      <c r="W79" s="3" t="s">
        <v>51</v>
      </c>
      <c r="X79" s="32">
        <f t="shared" si="19"/>
        <v>4.5172071288106963E-2</v>
      </c>
      <c r="Z79" s="38">
        <f t="shared" si="23"/>
        <v>0</v>
      </c>
      <c r="AC79" s="36">
        <v>0.125</v>
      </c>
      <c r="AL79" t="str">
        <f t="shared" si="24"/>
        <v>Normal</v>
      </c>
      <c r="AM79" t="str">
        <f t="shared" si="25"/>
        <v>No</v>
      </c>
      <c r="AN79" t="str">
        <f t="shared" si="26"/>
        <v>Elective</v>
      </c>
      <c r="AO79" t="str">
        <f t="shared" si="27"/>
        <v>General Ward</v>
      </c>
    </row>
    <row r="80" spans="1:41" x14ac:dyDescent="0.3">
      <c r="A80" s="21" t="str">
        <f t="shared" si="20"/>
        <v>UHID-00079</v>
      </c>
      <c r="B80" s="18">
        <v>85</v>
      </c>
      <c r="C80" s="10" t="s">
        <v>17</v>
      </c>
      <c r="D80" s="13" t="s">
        <v>27</v>
      </c>
      <c r="E80" s="13" t="s">
        <v>6</v>
      </c>
      <c r="F80" s="15">
        <v>46183.795318391203</v>
      </c>
      <c r="G80" s="4">
        <v>46183</v>
      </c>
      <c r="H80" s="1">
        <v>46186.603153645803</v>
      </c>
      <c r="I80" s="22">
        <v>46186</v>
      </c>
      <c r="J80" s="24">
        <f t="shared" si="14"/>
        <v>46186.53278823015</v>
      </c>
      <c r="K80" s="24">
        <f t="shared" si="15"/>
        <v>0.60315364580310415</v>
      </c>
      <c r="L80" s="29">
        <f t="shared" si="21"/>
        <v>46185</v>
      </c>
      <c r="M80" s="27" t="str">
        <f t="shared" si="16"/>
        <v>Normal</v>
      </c>
      <c r="N80" s="31">
        <f t="shared" si="17"/>
        <v>3</v>
      </c>
      <c r="O80" s="27"/>
      <c r="Q80" s="8">
        <v>0.47336502996457686</v>
      </c>
      <c r="R80" s="8" t="str">
        <f t="shared" si="18"/>
        <v>On Time</v>
      </c>
      <c r="S80" s="33">
        <v>1.6887699757355383</v>
      </c>
      <c r="T80" t="s">
        <v>31</v>
      </c>
      <c r="U80" s="3">
        <v>0</v>
      </c>
      <c r="V80" s="3" t="str">
        <f t="shared" si="22"/>
        <v>Normal</v>
      </c>
      <c r="W80" s="3" t="s">
        <v>51</v>
      </c>
      <c r="X80" s="32">
        <f t="shared" si="19"/>
        <v>7.0365415653213859E-2</v>
      </c>
      <c r="Z80" s="38">
        <f t="shared" si="23"/>
        <v>0</v>
      </c>
      <c r="AC80" s="36">
        <v>0.125</v>
      </c>
      <c r="AL80" t="str">
        <f t="shared" si="24"/>
        <v>Normal</v>
      </c>
      <c r="AM80" t="str">
        <f t="shared" si="25"/>
        <v>No</v>
      </c>
      <c r="AN80" t="str">
        <f t="shared" si="26"/>
        <v>Emergency</v>
      </c>
      <c r="AO80" t="str">
        <f t="shared" si="27"/>
        <v>ICU</v>
      </c>
    </row>
    <row r="81" spans="1:41" x14ac:dyDescent="0.3">
      <c r="A81" s="21" t="str">
        <f t="shared" si="20"/>
        <v>UHID-00080</v>
      </c>
      <c r="B81" s="18">
        <v>54</v>
      </c>
      <c r="C81" s="10" t="s">
        <v>18</v>
      </c>
      <c r="D81" s="13" t="s">
        <v>27</v>
      </c>
      <c r="E81" s="13" t="s">
        <v>6</v>
      </c>
      <c r="F81" s="15">
        <v>46181.698153969897</v>
      </c>
      <c r="G81" s="4">
        <v>46181</v>
      </c>
      <c r="H81" s="1">
        <v>46186.636311423601</v>
      </c>
      <c r="I81" s="22">
        <v>46186</v>
      </c>
      <c r="J81" s="24">
        <f t="shared" si="14"/>
        <v>46186.553474161992</v>
      </c>
      <c r="K81" s="24">
        <f t="shared" si="15"/>
        <v>0.63631142360100057</v>
      </c>
      <c r="L81" s="29">
        <f t="shared" si="21"/>
        <v>46185</v>
      </c>
      <c r="M81" s="27" t="str">
        <f t="shared" si="16"/>
        <v>Normal</v>
      </c>
      <c r="N81" s="31">
        <f t="shared" si="17"/>
        <v>5</v>
      </c>
      <c r="O81" s="27"/>
      <c r="Q81" s="8">
        <v>0.36263126663157141</v>
      </c>
      <c r="R81" s="8" t="str">
        <f t="shared" si="18"/>
        <v>On Time</v>
      </c>
      <c r="S81" s="33">
        <v>1.9880942786549243</v>
      </c>
      <c r="T81" t="s">
        <v>31</v>
      </c>
      <c r="U81" s="3">
        <v>0</v>
      </c>
      <c r="V81" s="3" t="str">
        <f t="shared" si="22"/>
        <v>Normal</v>
      </c>
      <c r="W81" s="3" t="s">
        <v>51</v>
      </c>
      <c r="X81" s="32">
        <f t="shared" si="19"/>
        <v>8.2837261608801782E-2</v>
      </c>
      <c r="Z81" s="38">
        <f t="shared" si="23"/>
        <v>0</v>
      </c>
      <c r="AC81" s="36">
        <v>0.125</v>
      </c>
      <c r="AL81" t="str">
        <f t="shared" si="24"/>
        <v>Normal</v>
      </c>
      <c r="AM81" t="str">
        <f t="shared" si="25"/>
        <v>No</v>
      </c>
      <c r="AN81" t="str">
        <f t="shared" si="26"/>
        <v>Emergency</v>
      </c>
      <c r="AO81" t="str">
        <f t="shared" si="27"/>
        <v>ICU</v>
      </c>
    </row>
    <row r="82" spans="1:41" x14ac:dyDescent="0.3">
      <c r="A82" s="21" t="str">
        <f t="shared" si="20"/>
        <v>UHID-00081</v>
      </c>
      <c r="B82" s="18">
        <v>72</v>
      </c>
      <c r="C82" s="10" t="s">
        <v>18</v>
      </c>
      <c r="D82" s="13" t="s">
        <v>27</v>
      </c>
      <c r="E82" s="13" t="s">
        <v>6</v>
      </c>
      <c r="F82" s="15">
        <v>46184.468747905099</v>
      </c>
      <c r="G82" s="4">
        <v>46184</v>
      </c>
      <c r="H82" s="1">
        <v>46186.549492349499</v>
      </c>
      <c r="I82" s="22">
        <v>46186</v>
      </c>
      <c r="J82" s="24">
        <f t="shared" si="14"/>
        <v>46186.321492818708</v>
      </c>
      <c r="K82" s="24">
        <f t="shared" si="15"/>
        <v>0.54949234949890524</v>
      </c>
      <c r="L82" s="29">
        <f t="shared" si="21"/>
        <v>46185</v>
      </c>
      <c r="M82" s="27" t="str">
        <f t="shared" si="16"/>
        <v>Health Deterioration</v>
      </c>
      <c r="N82" s="31">
        <f t="shared" si="17"/>
        <v>2</v>
      </c>
      <c r="O82" s="27"/>
      <c r="Q82" s="8">
        <v>7.9569770265223161E-3</v>
      </c>
      <c r="R82" s="8" t="str">
        <f t="shared" si="18"/>
        <v>Critical Delay</v>
      </c>
      <c r="S82" s="33">
        <v>1.4719887389359421</v>
      </c>
      <c r="T82" t="s">
        <v>30</v>
      </c>
      <c r="U82" s="3">
        <v>4</v>
      </c>
      <c r="V82" s="3" t="str">
        <f t="shared" si="22"/>
        <v/>
      </c>
      <c r="W82" s="3" t="s">
        <v>50</v>
      </c>
      <c r="X82" s="32">
        <f t="shared" si="19"/>
        <v>0.22799953079083934</v>
      </c>
      <c r="Z82" s="38">
        <f t="shared" si="23"/>
        <v>0.10299953079083934</v>
      </c>
      <c r="AC82" s="36">
        <v>0.125</v>
      </c>
      <c r="AL82" t="str">
        <f t="shared" si="24"/>
        <v>Health Deterioration</v>
      </c>
      <c r="AM82" t="str">
        <f t="shared" si="25"/>
        <v>Yes</v>
      </c>
      <c r="AN82" t="str">
        <f t="shared" si="26"/>
        <v>Emergency</v>
      </c>
      <c r="AO82" t="str">
        <f t="shared" si="27"/>
        <v>ICU</v>
      </c>
    </row>
    <row r="83" spans="1:41" x14ac:dyDescent="0.3">
      <c r="A83" s="21" t="str">
        <f t="shared" si="20"/>
        <v>UHID-00082</v>
      </c>
      <c r="B83" s="18">
        <v>73</v>
      </c>
      <c r="C83" s="10" t="s">
        <v>18</v>
      </c>
      <c r="D83" s="13" t="s">
        <v>27</v>
      </c>
      <c r="E83" s="13" t="s">
        <v>6</v>
      </c>
      <c r="F83" s="15">
        <v>46179.755381782401</v>
      </c>
      <c r="G83" s="4">
        <v>46179</v>
      </c>
      <c r="H83" s="1">
        <v>46186.573892442102</v>
      </c>
      <c r="I83" s="22">
        <v>46186</v>
      </c>
      <c r="J83" s="24">
        <f t="shared" si="14"/>
        <v>46186.523685150139</v>
      </c>
      <c r="K83" s="24">
        <f t="shared" si="15"/>
        <v>0.57389244210207835</v>
      </c>
      <c r="L83" s="29">
        <f t="shared" si="21"/>
        <v>46185</v>
      </c>
      <c r="M83" s="27" t="str">
        <f t="shared" si="16"/>
        <v>Normal</v>
      </c>
      <c r="N83" s="31">
        <f t="shared" si="17"/>
        <v>7</v>
      </c>
      <c r="O83" s="27"/>
      <c r="Q83" s="8">
        <v>0.49671691212503444</v>
      </c>
      <c r="R83" s="8" t="str">
        <f t="shared" si="18"/>
        <v>On Time</v>
      </c>
      <c r="S83" s="33">
        <v>1.2049750070809035</v>
      </c>
      <c r="T83" t="s">
        <v>31</v>
      </c>
      <c r="U83" s="3">
        <v>0</v>
      </c>
      <c r="V83" s="3" t="str">
        <f t="shared" si="22"/>
        <v>Normal</v>
      </c>
      <c r="W83" s="3" t="s">
        <v>51</v>
      </c>
      <c r="X83" s="32">
        <f t="shared" si="19"/>
        <v>5.0207291962578893E-2</v>
      </c>
      <c r="Z83" s="38">
        <f t="shared" si="23"/>
        <v>0</v>
      </c>
      <c r="AC83" s="36">
        <v>0.125</v>
      </c>
      <c r="AL83" t="str">
        <f t="shared" si="24"/>
        <v>Normal</v>
      </c>
      <c r="AM83" t="str">
        <f t="shared" si="25"/>
        <v>No</v>
      </c>
      <c r="AN83" t="str">
        <f t="shared" si="26"/>
        <v>Elective</v>
      </c>
      <c r="AO83" t="str">
        <f t="shared" si="27"/>
        <v>ICU</v>
      </c>
    </row>
    <row r="84" spans="1:41" x14ac:dyDescent="0.3">
      <c r="A84" s="21" t="str">
        <f t="shared" si="20"/>
        <v>UHID-00083</v>
      </c>
      <c r="B84" s="18">
        <v>65</v>
      </c>
      <c r="C84" s="10" t="s">
        <v>17</v>
      </c>
      <c r="D84" s="13" t="s">
        <v>26</v>
      </c>
      <c r="E84" s="13" t="s">
        <v>6</v>
      </c>
      <c r="F84" s="15">
        <v>46185.850681840297</v>
      </c>
      <c r="G84" s="4">
        <v>46185</v>
      </c>
      <c r="H84" s="1">
        <v>46186.790074224496</v>
      </c>
      <c r="I84" s="22">
        <v>46186</v>
      </c>
      <c r="J84" s="24">
        <f t="shared" si="14"/>
        <v>46186.661251308826</v>
      </c>
      <c r="K84" s="24">
        <f t="shared" si="15"/>
        <v>0.79007422449649312</v>
      </c>
      <c r="L84" s="29">
        <f t="shared" si="21"/>
        <v>46185</v>
      </c>
      <c r="M84" s="27" t="str">
        <f t="shared" si="16"/>
        <v>TPA Approval Delay</v>
      </c>
      <c r="N84" s="31">
        <f t="shared" si="17"/>
        <v>1</v>
      </c>
      <c r="O84" s="27"/>
      <c r="Q84" s="8">
        <v>0.76209194833064309</v>
      </c>
      <c r="R84" s="8" t="str">
        <f t="shared" si="18"/>
        <v>Major Delay</v>
      </c>
      <c r="S84" s="33">
        <v>3.0917499760397771</v>
      </c>
      <c r="T84" t="s">
        <v>31</v>
      </c>
      <c r="U84" s="3">
        <v>0</v>
      </c>
      <c r="V84" s="3" t="str">
        <f t="shared" si="22"/>
        <v>Normal</v>
      </c>
      <c r="W84" s="3" t="s">
        <v>51</v>
      </c>
      <c r="X84" s="32">
        <f t="shared" si="19"/>
        <v>0.12882291567075299</v>
      </c>
      <c r="Z84" s="38">
        <f t="shared" si="23"/>
        <v>3.822915670752991E-3</v>
      </c>
      <c r="AC84" s="36">
        <v>0.125</v>
      </c>
      <c r="AL84" t="str">
        <f t="shared" si="24"/>
        <v>TPA Approval Delay</v>
      </c>
      <c r="AM84" t="str">
        <f t="shared" si="25"/>
        <v>No</v>
      </c>
      <c r="AN84" t="str">
        <f t="shared" si="26"/>
        <v>Elective</v>
      </c>
      <c r="AO84" t="str">
        <f t="shared" si="27"/>
        <v>HDU</v>
      </c>
    </row>
    <row r="85" spans="1:41" x14ac:dyDescent="0.3">
      <c r="A85" s="21" t="str">
        <f t="shared" si="20"/>
        <v>UHID-00084</v>
      </c>
      <c r="B85" s="18">
        <v>67</v>
      </c>
      <c r="C85" s="10" t="s">
        <v>18</v>
      </c>
      <c r="D85" s="13" t="s">
        <v>28</v>
      </c>
      <c r="E85" s="13" t="s">
        <v>6</v>
      </c>
      <c r="F85" s="15">
        <v>46186.663082580999</v>
      </c>
      <c r="G85" s="4">
        <v>46186</v>
      </c>
      <c r="H85" s="1">
        <v>46186.8095696991</v>
      </c>
      <c r="I85" s="22">
        <v>46186</v>
      </c>
      <c r="J85" s="24">
        <f t="shared" si="14"/>
        <v>46186.699571650192</v>
      </c>
      <c r="K85" s="24">
        <f t="shared" si="15"/>
        <v>0.80956969910039334</v>
      </c>
      <c r="L85" s="29">
        <f t="shared" si="21"/>
        <v>46185</v>
      </c>
      <c r="M85" s="27" t="str">
        <f t="shared" si="16"/>
        <v>Doctor Round Delay/Report Delay</v>
      </c>
      <c r="N85" s="31">
        <f t="shared" si="17"/>
        <v>0</v>
      </c>
      <c r="O85" s="27"/>
      <c r="Q85" s="8">
        <v>0.9891091820607637</v>
      </c>
      <c r="R85" s="8" t="str">
        <f t="shared" si="18"/>
        <v>Minor Delay</v>
      </c>
      <c r="S85" s="33">
        <v>2.6399531737810378</v>
      </c>
      <c r="T85" t="s">
        <v>31</v>
      </c>
      <c r="U85" s="3">
        <v>0</v>
      </c>
      <c r="V85" s="3" t="str">
        <f t="shared" si="22"/>
        <v>Normal</v>
      </c>
      <c r="W85" s="3" t="s">
        <v>51</v>
      </c>
      <c r="X85" s="32">
        <f t="shared" si="19"/>
        <v>0.10999804890889209</v>
      </c>
      <c r="Z85" s="38">
        <f t="shared" si="23"/>
        <v>0</v>
      </c>
      <c r="AC85" s="36">
        <v>0.125</v>
      </c>
      <c r="AL85" t="str">
        <f t="shared" si="24"/>
        <v>Doctor Round Delay/Report Delay</v>
      </c>
      <c r="AM85" t="str">
        <f t="shared" si="25"/>
        <v>No</v>
      </c>
      <c r="AN85" t="str">
        <f t="shared" si="26"/>
        <v>Elective</v>
      </c>
      <c r="AO85" t="str">
        <f t="shared" si="27"/>
        <v>HDU</v>
      </c>
    </row>
    <row r="86" spans="1:41" x14ac:dyDescent="0.3">
      <c r="A86" s="21" t="str">
        <f t="shared" si="20"/>
        <v>UHID-00085</v>
      </c>
      <c r="B86" s="18">
        <v>62</v>
      </c>
      <c r="C86" s="10" t="s">
        <v>18</v>
      </c>
      <c r="D86" s="13" t="s">
        <v>27</v>
      </c>
      <c r="E86" s="13" t="s">
        <v>6</v>
      </c>
      <c r="F86" s="15">
        <v>46185.411816446802</v>
      </c>
      <c r="G86" s="4">
        <v>46185</v>
      </c>
      <c r="H86" s="1">
        <v>46186.567871041698</v>
      </c>
      <c r="I86" s="22">
        <v>46186</v>
      </c>
      <c r="J86" s="24">
        <f t="shared" si="14"/>
        <v>46186.500557882719</v>
      </c>
      <c r="K86" s="24">
        <f t="shared" si="15"/>
        <v>0.56787104169779923</v>
      </c>
      <c r="L86" s="29">
        <f t="shared" si="21"/>
        <v>46185</v>
      </c>
      <c r="M86" s="27" t="str">
        <f t="shared" si="16"/>
        <v>Normal</v>
      </c>
      <c r="N86" s="31">
        <f t="shared" si="17"/>
        <v>1</v>
      </c>
      <c r="O86" s="27"/>
      <c r="Q86" s="8">
        <v>0.11039443194613285</v>
      </c>
      <c r="R86" s="8" t="str">
        <f t="shared" si="18"/>
        <v>On Time</v>
      </c>
      <c r="S86" s="33">
        <v>1.6155158155812397</v>
      </c>
      <c r="T86" t="s">
        <v>30</v>
      </c>
      <c r="U86" s="3">
        <v>0</v>
      </c>
      <c r="V86" s="3" t="str">
        <f t="shared" si="22"/>
        <v/>
      </c>
      <c r="W86" s="3" t="s">
        <v>51</v>
      </c>
      <c r="X86" s="32">
        <f t="shared" si="19"/>
        <v>6.7313158979231957E-2</v>
      </c>
      <c r="Z86" s="38">
        <f t="shared" si="23"/>
        <v>0</v>
      </c>
      <c r="AC86" s="36">
        <v>0.125</v>
      </c>
      <c r="AL86" t="str">
        <f t="shared" si="24"/>
        <v>Normal</v>
      </c>
      <c r="AM86" t="str">
        <f t="shared" si="25"/>
        <v>No</v>
      </c>
      <c r="AN86" t="str">
        <f t="shared" si="26"/>
        <v>Elective</v>
      </c>
      <c r="AO86" t="str">
        <f t="shared" si="27"/>
        <v>General Ward</v>
      </c>
    </row>
    <row r="87" spans="1:41" x14ac:dyDescent="0.3">
      <c r="A87" s="21" t="str">
        <f t="shared" si="20"/>
        <v>UHID-00086</v>
      </c>
      <c r="B87" s="18">
        <v>57</v>
      </c>
      <c r="C87" s="10" t="s">
        <v>18</v>
      </c>
      <c r="D87" s="13" t="s">
        <v>27</v>
      </c>
      <c r="E87" s="13" t="s">
        <v>6</v>
      </c>
      <c r="F87" s="15">
        <v>46185.499421330998</v>
      </c>
      <c r="G87" s="4">
        <v>46185</v>
      </c>
      <c r="H87" s="1">
        <v>46187.593122824102</v>
      </c>
      <c r="I87" s="22">
        <v>46187</v>
      </c>
      <c r="J87" s="24">
        <f t="shared" si="14"/>
        <v>46187.357825866718</v>
      </c>
      <c r="K87" s="24">
        <f t="shared" si="15"/>
        <v>0.59312282410246553</v>
      </c>
      <c r="L87" s="29">
        <f t="shared" si="21"/>
        <v>46186</v>
      </c>
      <c r="M87" s="27" t="str">
        <f t="shared" si="16"/>
        <v>Health Deterioration</v>
      </c>
      <c r="N87" s="31">
        <f t="shared" si="17"/>
        <v>2</v>
      </c>
      <c r="O87" s="27"/>
      <c r="Q87" s="8">
        <v>0.19388855599919819</v>
      </c>
      <c r="R87" s="8" t="str">
        <f t="shared" si="18"/>
        <v>Critical Delay</v>
      </c>
      <c r="S87" s="33">
        <v>1.6471269772227792</v>
      </c>
      <c r="T87" t="s">
        <v>30</v>
      </c>
      <c r="U87" s="3">
        <v>4</v>
      </c>
      <c r="V87" s="3" t="str">
        <f t="shared" si="22"/>
        <v/>
      </c>
      <c r="W87" s="3" t="s">
        <v>50</v>
      </c>
      <c r="X87" s="32">
        <f t="shared" si="19"/>
        <v>0.23529695738398004</v>
      </c>
      <c r="Z87" s="38">
        <f t="shared" si="23"/>
        <v>0.11029695738398004</v>
      </c>
      <c r="AC87" s="36">
        <v>0.125</v>
      </c>
      <c r="AL87" t="str">
        <f t="shared" si="24"/>
        <v>Health Deterioration</v>
      </c>
      <c r="AM87" t="str">
        <f t="shared" si="25"/>
        <v>No</v>
      </c>
      <c r="AN87" t="str">
        <f t="shared" si="26"/>
        <v>Elective</v>
      </c>
      <c r="AO87" t="str">
        <f t="shared" si="27"/>
        <v>General Ward</v>
      </c>
    </row>
    <row r="88" spans="1:41" x14ac:dyDescent="0.3">
      <c r="A88" s="21" t="str">
        <f t="shared" si="20"/>
        <v>UHID-00087</v>
      </c>
      <c r="B88" s="18">
        <v>64</v>
      </c>
      <c r="C88" s="10" t="s">
        <v>17</v>
      </c>
      <c r="D88" s="13" t="s">
        <v>26</v>
      </c>
      <c r="E88" s="13" t="s">
        <v>6</v>
      </c>
      <c r="F88" s="15">
        <v>46185.767651608803</v>
      </c>
      <c r="G88" s="4">
        <v>46185</v>
      </c>
      <c r="H88" s="1">
        <v>46187.637623113398</v>
      </c>
      <c r="I88" s="22">
        <v>46187</v>
      </c>
      <c r="J88" s="24">
        <f t="shared" si="14"/>
        <v>46187.471669950457</v>
      </c>
      <c r="K88" s="24">
        <f t="shared" si="15"/>
        <v>0.63762311339814914</v>
      </c>
      <c r="L88" s="29">
        <f t="shared" si="21"/>
        <v>46186</v>
      </c>
      <c r="M88" s="27" t="str">
        <f t="shared" si="16"/>
        <v>TPA Approval Delay</v>
      </c>
      <c r="N88" s="31">
        <f t="shared" si="17"/>
        <v>2</v>
      </c>
      <c r="O88" s="27"/>
      <c r="Q88" s="8">
        <v>0.56327866387719738</v>
      </c>
      <c r="R88" s="8" t="str">
        <f t="shared" si="18"/>
        <v>Major Delay</v>
      </c>
      <c r="S88" s="33">
        <v>3.9828759105779499</v>
      </c>
      <c r="T88" t="s">
        <v>31</v>
      </c>
      <c r="U88" s="3">
        <v>0</v>
      </c>
      <c r="V88" s="3" t="str">
        <f t="shared" si="22"/>
        <v>Normal</v>
      </c>
      <c r="W88" s="3" t="s">
        <v>51</v>
      </c>
      <c r="X88" s="32">
        <f t="shared" si="19"/>
        <v>0.16595316294115037</v>
      </c>
      <c r="Z88" s="38">
        <f t="shared" si="23"/>
        <v>4.0953162941150367E-2</v>
      </c>
      <c r="AC88" s="36">
        <v>0.125</v>
      </c>
      <c r="AL88" t="str">
        <f t="shared" si="24"/>
        <v>TPA Approval Delay</v>
      </c>
      <c r="AM88" t="str">
        <f t="shared" si="25"/>
        <v>No</v>
      </c>
      <c r="AN88" t="str">
        <f t="shared" si="26"/>
        <v>Elective</v>
      </c>
      <c r="AO88" t="str">
        <f t="shared" si="27"/>
        <v>General Ward</v>
      </c>
    </row>
    <row r="89" spans="1:41" x14ac:dyDescent="0.3">
      <c r="A89" s="21" t="str">
        <f t="shared" si="20"/>
        <v>UHID-00088</v>
      </c>
      <c r="B89" s="18">
        <v>65</v>
      </c>
      <c r="C89" s="10" t="s">
        <v>18</v>
      </c>
      <c r="D89" s="13" t="s">
        <v>27</v>
      </c>
      <c r="E89" s="13" t="s">
        <v>6</v>
      </c>
      <c r="F89" s="15">
        <v>46185.147867963002</v>
      </c>
      <c r="G89" s="4">
        <v>46185</v>
      </c>
      <c r="H89" s="1">
        <v>46187.545804791698</v>
      </c>
      <c r="I89" s="22">
        <v>46187</v>
      </c>
      <c r="J89" s="24">
        <f t="shared" si="14"/>
        <v>46187.470653950673</v>
      </c>
      <c r="K89" s="24">
        <f t="shared" si="15"/>
        <v>0.54580479169817409</v>
      </c>
      <c r="L89" s="29">
        <f t="shared" si="21"/>
        <v>46186</v>
      </c>
      <c r="M89" s="27" t="str">
        <f t="shared" si="16"/>
        <v>Normal</v>
      </c>
      <c r="N89" s="31">
        <f t="shared" si="17"/>
        <v>2</v>
      </c>
      <c r="O89" s="27"/>
      <c r="Q89" s="8">
        <v>0.2568176314057411</v>
      </c>
      <c r="R89" s="8" t="str">
        <f t="shared" si="18"/>
        <v>On Time</v>
      </c>
      <c r="S89" s="33">
        <v>1.80362018466547</v>
      </c>
      <c r="T89" t="s">
        <v>30</v>
      </c>
      <c r="U89" s="3">
        <v>0</v>
      </c>
      <c r="V89" s="3" t="str">
        <f t="shared" si="22"/>
        <v/>
      </c>
      <c r="W89" s="3" t="s">
        <v>51</v>
      </c>
      <c r="X89" s="32">
        <f t="shared" si="19"/>
        <v>7.51508410248789E-2</v>
      </c>
      <c r="Z89" s="38">
        <f t="shared" si="23"/>
        <v>0</v>
      </c>
      <c r="AC89" s="36">
        <v>0.125</v>
      </c>
      <c r="AL89" t="str">
        <f t="shared" si="24"/>
        <v>Normal</v>
      </c>
      <c r="AM89" t="str">
        <f t="shared" si="25"/>
        <v>No</v>
      </c>
      <c r="AN89" t="str">
        <f t="shared" si="26"/>
        <v>Elective</v>
      </c>
      <c r="AO89" t="str">
        <f t="shared" si="27"/>
        <v>General Ward</v>
      </c>
    </row>
    <row r="90" spans="1:41" x14ac:dyDescent="0.3">
      <c r="A90" s="21" t="str">
        <f t="shared" si="20"/>
        <v>UHID-00089</v>
      </c>
      <c r="B90" s="18">
        <v>69</v>
      </c>
      <c r="C90" s="10" t="s">
        <v>18</v>
      </c>
      <c r="D90" s="13" t="s">
        <v>26</v>
      </c>
      <c r="E90" s="13" t="s">
        <v>6</v>
      </c>
      <c r="F90" s="15">
        <v>46181.765872962998</v>
      </c>
      <c r="G90" s="4">
        <v>46181</v>
      </c>
      <c r="H90" s="1">
        <v>46187.541360219897</v>
      </c>
      <c r="I90" s="22">
        <v>46187</v>
      </c>
      <c r="J90" s="24">
        <f t="shared" si="14"/>
        <v>46187.133374765181</v>
      </c>
      <c r="K90" s="24">
        <f t="shared" si="15"/>
        <v>0.54136021989688743</v>
      </c>
      <c r="L90" s="29">
        <f t="shared" si="21"/>
        <v>46186</v>
      </c>
      <c r="M90" s="27" t="str">
        <f t="shared" si="16"/>
        <v>Health Deterioration/TPA Approval Delay</v>
      </c>
      <c r="N90" s="31">
        <f t="shared" si="17"/>
        <v>6</v>
      </c>
      <c r="O90" s="27"/>
      <c r="Q90" s="8">
        <v>0.66088021352190029</v>
      </c>
      <c r="R90" s="8" t="str">
        <f t="shared" si="18"/>
        <v>Critical Delay</v>
      </c>
      <c r="S90" s="33">
        <v>3.7916509131203648</v>
      </c>
      <c r="T90" t="s">
        <v>31</v>
      </c>
      <c r="U90" s="3">
        <v>6</v>
      </c>
      <c r="V90" s="3" t="str">
        <f t="shared" si="22"/>
        <v>Normal</v>
      </c>
      <c r="W90" s="3" t="s">
        <v>52</v>
      </c>
      <c r="X90" s="32">
        <f t="shared" si="19"/>
        <v>0.40798545471625403</v>
      </c>
      <c r="Z90" s="38">
        <f t="shared" si="23"/>
        <v>0.28298545471625403</v>
      </c>
      <c r="AC90" s="36">
        <v>0.125</v>
      </c>
      <c r="AL90" t="str">
        <f t="shared" si="24"/>
        <v>Health Deterioration/TPA Approval Delay</v>
      </c>
      <c r="AM90" t="str">
        <f t="shared" si="25"/>
        <v>Yes</v>
      </c>
      <c r="AN90" t="str">
        <f t="shared" si="26"/>
        <v>Emergency</v>
      </c>
      <c r="AO90" t="str">
        <f t="shared" si="27"/>
        <v>ICU</v>
      </c>
    </row>
    <row r="91" spans="1:41" x14ac:dyDescent="0.3">
      <c r="A91" s="21" t="str">
        <f t="shared" si="20"/>
        <v>UHID-00090</v>
      </c>
      <c r="B91" s="18">
        <v>41</v>
      </c>
      <c r="C91" s="10" t="s">
        <v>18</v>
      </c>
      <c r="D91" s="13" t="s">
        <v>26</v>
      </c>
      <c r="E91" s="13" t="s">
        <v>6</v>
      </c>
      <c r="F91" s="15">
        <v>46187.083361354198</v>
      </c>
      <c r="G91" s="4">
        <v>46187</v>
      </c>
      <c r="H91" s="1">
        <v>46187.420222164299</v>
      </c>
      <c r="I91" s="22">
        <v>46187</v>
      </c>
      <c r="J91" s="24">
        <f t="shared" si="14"/>
        <v>46187.20407606021</v>
      </c>
      <c r="K91" s="24">
        <f t="shared" si="15"/>
        <v>0.42022216429904802</v>
      </c>
      <c r="L91" s="29">
        <f t="shared" si="21"/>
        <v>46186</v>
      </c>
      <c r="M91" s="27" t="str">
        <f t="shared" si="16"/>
        <v>Health Deterioration/TPA Approval Delay</v>
      </c>
      <c r="N91" s="31">
        <f t="shared" si="17"/>
        <v>0</v>
      </c>
      <c r="O91" s="27"/>
      <c r="Q91" s="8">
        <v>0.81852081666812071</v>
      </c>
      <c r="R91" s="8" t="str">
        <f t="shared" si="18"/>
        <v>Critical Delay</v>
      </c>
      <c r="S91" s="33">
        <v>3.1875064980521501</v>
      </c>
      <c r="T91" t="s">
        <v>31</v>
      </c>
      <c r="U91" s="3">
        <v>2</v>
      </c>
      <c r="V91" s="3" t="str">
        <f t="shared" si="22"/>
        <v>Normal</v>
      </c>
      <c r="W91" s="3" t="s">
        <v>50</v>
      </c>
      <c r="X91" s="32">
        <f t="shared" si="19"/>
        <v>0.21614610408869339</v>
      </c>
      <c r="Z91" s="38">
        <f t="shared" si="23"/>
        <v>9.1146104088693392E-2</v>
      </c>
      <c r="AC91" s="36">
        <v>0.125</v>
      </c>
      <c r="AL91" t="str">
        <f t="shared" si="24"/>
        <v>Health Deterioration/TPA Approval Delay</v>
      </c>
      <c r="AM91" t="str">
        <f t="shared" si="25"/>
        <v>No</v>
      </c>
      <c r="AN91" t="str">
        <f t="shared" si="26"/>
        <v>Emergency</v>
      </c>
      <c r="AO91" t="str">
        <f t="shared" si="27"/>
        <v>ICU</v>
      </c>
    </row>
    <row r="92" spans="1:41" x14ac:dyDescent="0.3">
      <c r="A92" s="21" t="str">
        <f t="shared" si="20"/>
        <v>UHID-00091</v>
      </c>
      <c r="B92" s="18">
        <v>62</v>
      </c>
      <c r="C92" s="10" t="s">
        <v>18</v>
      </c>
      <c r="D92" s="13" t="s">
        <v>27</v>
      </c>
      <c r="E92" s="13" t="s">
        <v>6</v>
      </c>
      <c r="F92" s="15">
        <v>46186.470176863397</v>
      </c>
      <c r="G92" s="4">
        <v>46186</v>
      </c>
      <c r="H92" s="1">
        <v>46188.600099976902</v>
      </c>
      <c r="I92" s="22">
        <v>46188</v>
      </c>
      <c r="J92" s="24">
        <f t="shared" si="14"/>
        <v>46188.527527052553</v>
      </c>
      <c r="K92" s="24">
        <f t="shared" si="15"/>
        <v>0.60009997690212913</v>
      </c>
      <c r="L92" s="29">
        <f t="shared" si="21"/>
        <v>46187</v>
      </c>
      <c r="M92" s="27" t="str">
        <f t="shared" si="16"/>
        <v>Normal</v>
      </c>
      <c r="N92" s="31">
        <f t="shared" si="17"/>
        <v>2</v>
      </c>
      <c r="O92" s="27"/>
      <c r="Q92" s="8">
        <v>0.23764613787761613</v>
      </c>
      <c r="R92" s="8" t="str">
        <f t="shared" si="18"/>
        <v>On Time</v>
      </c>
      <c r="S92" s="33">
        <v>1.7417501843813565</v>
      </c>
      <c r="T92" t="s">
        <v>30</v>
      </c>
      <c r="U92" s="3">
        <v>0</v>
      </c>
      <c r="V92" s="3" t="str">
        <f t="shared" si="22"/>
        <v/>
      </c>
      <c r="W92" s="3" t="s">
        <v>51</v>
      </c>
      <c r="X92" s="32">
        <f t="shared" si="19"/>
        <v>7.2572924349515233E-2</v>
      </c>
      <c r="Z92" s="38">
        <f t="shared" si="23"/>
        <v>0</v>
      </c>
      <c r="AC92" s="36">
        <v>0.125</v>
      </c>
      <c r="AL92" t="str">
        <f t="shared" si="24"/>
        <v>Normal</v>
      </c>
      <c r="AM92" t="str">
        <f t="shared" si="25"/>
        <v>No</v>
      </c>
      <c r="AN92" t="str">
        <f t="shared" si="26"/>
        <v>Emergency</v>
      </c>
      <c r="AO92" t="str">
        <f t="shared" si="27"/>
        <v>ICU</v>
      </c>
    </row>
    <row r="93" spans="1:41" x14ac:dyDescent="0.3">
      <c r="A93" s="21" t="str">
        <f t="shared" si="20"/>
        <v>UHID-00092</v>
      </c>
      <c r="B93" s="18">
        <v>66</v>
      </c>
      <c r="C93" s="10" t="s">
        <v>18</v>
      </c>
      <c r="D93" s="13" t="s">
        <v>27</v>
      </c>
      <c r="E93" s="13" t="s">
        <v>6</v>
      </c>
      <c r="F93" s="15">
        <v>46186.983199166702</v>
      </c>
      <c r="G93" s="4">
        <v>46186</v>
      </c>
      <c r="H93" s="1">
        <v>46188.624732743097</v>
      </c>
      <c r="I93" s="22">
        <v>46188</v>
      </c>
      <c r="J93" s="24">
        <f t="shared" si="14"/>
        <v>46188.305039495157</v>
      </c>
      <c r="K93" s="24">
        <f t="shared" si="15"/>
        <v>0.624732743097411</v>
      </c>
      <c r="L93" s="29">
        <f t="shared" si="21"/>
        <v>46187</v>
      </c>
      <c r="M93" s="27" t="str">
        <f t="shared" si="16"/>
        <v>Health Deterioration</v>
      </c>
      <c r="N93" s="31">
        <f t="shared" si="17"/>
        <v>2</v>
      </c>
      <c r="O93" s="27"/>
      <c r="Q93" s="8">
        <v>5.9412348606934007E-2</v>
      </c>
      <c r="R93" s="8" t="str">
        <f t="shared" si="18"/>
        <v>Critical Delay</v>
      </c>
      <c r="S93" s="33">
        <v>1.6726379505231264</v>
      </c>
      <c r="T93" t="s">
        <v>30</v>
      </c>
      <c r="U93" s="3">
        <v>6</v>
      </c>
      <c r="V93" s="3" t="str">
        <f t="shared" si="22"/>
        <v/>
      </c>
      <c r="W93" s="3" t="s">
        <v>52</v>
      </c>
      <c r="X93" s="32">
        <f t="shared" si="19"/>
        <v>0.31969324794044951</v>
      </c>
      <c r="Z93" s="38">
        <f t="shared" si="23"/>
        <v>0.19469324794044951</v>
      </c>
      <c r="AC93" s="36">
        <v>0.125</v>
      </c>
      <c r="AL93" t="str">
        <f t="shared" si="24"/>
        <v>Health Deterioration</v>
      </c>
      <c r="AM93" t="str">
        <f t="shared" si="25"/>
        <v>Yes</v>
      </c>
      <c r="AN93" t="str">
        <f t="shared" si="26"/>
        <v>Elective</v>
      </c>
      <c r="AO93" t="str">
        <f t="shared" si="27"/>
        <v>ICU</v>
      </c>
    </row>
    <row r="94" spans="1:41" x14ac:dyDescent="0.3">
      <c r="A94" s="21" t="str">
        <f t="shared" si="20"/>
        <v>UHID-00093</v>
      </c>
      <c r="B94" s="18">
        <v>59</v>
      </c>
      <c r="C94" s="10" t="s">
        <v>18</v>
      </c>
      <c r="D94" s="13" t="s">
        <v>27</v>
      </c>
      <c r="E94" s="13" t="s">
        <v>6</v>
      </c>
      <c r="F94" s="15">
        <v>46186.489895173603</v>
      </c>
      <c r="G94" s="4">
        <v>46186</v>
      </c>
      <c r="H94" s="1">
        <v>46188.511887893503</v>
      </c>
      <c r="I94" s="22">
        <v>46188</v>
      </c>
      <c r="J94" s="24">
        <f t="shared" si="14"/>
        <v>46188.443350400041</v>
      </c>
      <c r="K94" s="24">
        <f t="shared" si="15"/>
        <v>0.51188789350271691</v>
      </c>
      <c r="L94" s="29">
        <f t="shared" si="21"/>
        <v>46187</v>
      </c>
      <c r="M94" s="27" t="str">
        <f t="shared" si="16"/>
        <v>Normal</v>
      </c>
      <c r="N94" s="31">
        <f t="shared" si="17"/>
        <v>2</v>
      </c>
      <c r="O94" s="27"/>
      <c r="Q94" s="8">
        <v>0.42601173515936286</v>
      </c>
      <c r="R94" s="8" t="str">
        <f t="shared" si="18"/>
        <v>On Time</v>
      </c>
      <c r="S94" s="33">
        <v>1.6448998430002022</v>
      </c>
      <c r="T94" t="s">
        <v>31</v>
      </c>
      <c r="U94" s="3">
        <v>0</v>
      </c>
      <c r="V94" s="3" t="str">
        <f t="shared" si="22"/>
        <v>Normal</v>
      </c>
      <c r="W94" s="3" t="s">
        <v>51</v>
      </c>
      <c r="X94" s="32">
        <f t="shared" si="19"/>
        <v>6.853749346191762E-2</v>
      </c>
      <c r="Z94" s="38">
        <f t="shared" si="23"/>
        <v>0</v>
      </c>
      <c r="AC94" s="36">
        <v>0.125</v>
      </c>
      <c r="AL94" t="str">
        <f t="shared" si="24"/>
        <v>Normal</v>
      </c>
      <c r="AM94" t="str">
        <f t="shared" si="25"/>
        <v>No</v>
      </c>
      <c r="AN94" t="str">
        <f t="shared" si="26"/>
        <v>Elective</v>
      </c>
      <c r="AO94" t="str">
        <f t="shared" si="27"/>
        <v>HDU</v>
      </c>
    </row>
    <row r="95" spans="1:41" x14ac:dyDescent="0.3">
      <c r="A95" s="21" t="str">
        <f t="shared" si="20"/>
        <v>UHID-00094</v>
      </c>
      <c r="B95" s="18">
        <v>67</v>
      </c>
      <c r="C95" s="10" t="s">
        <v>18</v>
      </c>
      <c r="D95" s="13" t="s">
        <v>26</v>
      </c>
      <c r="E95" s="13" t="s">
        <v>6</v>
      </c>
      <c r="F95" s="15">
        <v>46188.456277986101</v>
      </c>
      <c r="G95" s="4">
        <v>46188</v>
      </c>
      <c r="H95" s="1">
        <v>46188.725449155099</v>
      </c>
      <c r="I95" s="22">
        <v>46188</v>
      </c>
      <c r="J95" s="24">
        <f t="shared" si="14"/>
        <v>46188.580356681567</v>
      </c>
      <c r="K95" s="24">
        <f t="shared" si="15"/>
        <v>0.72544915509934071</v>
      </c>
      <c r="L95" s="29">
        <f t="shared" si="21"/>
        <v>46187</v>
      </c>
      <c r="M95" s="27" t="str">
        <f t="shared" si="16"/>
        <v>TPA Approval Delay</v>
      </c>
      <c r="N95" s="31">
        <f t="shared" si="17"/>
        <v>0</v>
      </c>
      <c r="O95" s="27"/>
      <c r="Q95" s="8">
        <v>0.6784780685248738</v>
      </c>
      <c r="R95" s="8" t="str">
        <f t="shared" si="18"/>
        <v>Major Delay</v>
      </c>
      <c r="S95" s="33">
        <v>3.4822193648593838</v>
      </c>
      <c r="T95" t="s">
        <v>31</v>
      </c>
      <c r="U95" s="3">
        <v>0</v>
      </c>
      <c r="V95" s="3" t="str">
        <f t="shared" si="22"/>
        <v>Normal</v>
      </c>
      <c r="W95" s="3" t="s">
        <v>51</v>
      </c>
      <c r="X95" s="32">
        <f t="shared" si="19"/>
        <v>0.14509247353271348</v>
      </c>
      <c r="Z95" s="38">
        <f t="shared" si="23"/>
        <v>2.0092473532713484E-2</v>
      </c>
      <c r="AC95" s="36">
        <v>0.125</v>
      </c>
      <c r="AL95" t="str">
        <f t="shared" si="24"/>
        <v>TPA Approval Delay</v>
      </c>
      <c r="AM95" t="str">
        <f t="shared" si="25"/>
        <v>No</v>
      </c>
      <c r="AN95" t="str">
        <f t="shared" si="26"/>
        <v>Elective</v>
      </c>
      <c r="AO95" t="str">
        <f t="shared" si="27"/>
        <v>HDU</v>
      </c>
    </row>
    <row r="96" spans="1:41" x14ac:dyDescent="0.3">
      <c r="A96" s="21" t="str">
        <f t="shared" si="20"/>
        <v>UHID-00095</v>
      </c>
      <c r="B96" s="18">
        <v>55</v>
      </c>
      <c r="C96" s="10" t="s">
        <v>17</v>
      </c>
      <c r="D96" s="13" t="s">
        <v>26</v>
      </c>
      <c r="E96" s="13" t="s">
        <v>6</v>
      </c>
      <c r="F96" s="15">
        <v>46184.196609432896</v>
      </c>
      <c r="G96" s="4">
        <v>46184</v>
      </c>
      <c r="H96" s="1">
        <v>46188.6930896181</v>
      </c>
      <c r="I96" s="22">
        <v>46188</v>
      </c>
      <c r="J96" s="24">
        <f t="shared" si="14"/>
        <v>46188.531204814462</v>
      </c>
      <c r="K96" s="24">
        <f t="shared" si="15"/>
        <v>0.69308961810020264</v>
      </c>
      <c r="L96" s="29">
        <f t="shared" si="21"/>
        <v>46187</v>
      </c>
      <c r="M96" s="27" t="str">
        <f t="shared" si="16"/>
        <v>TPA Approval Delay</v>
      </c>
      <c r="N96" s="31">
        <f t="shared" si="17"/>
        <v>4</v>
      </c>
      <c r="O96" s="27"/>
      <c r="Q96" s="8">
        <v>0.70151896842238093</v>
      </c>
      <c r="R96" s="8" t="str">
        <f t="shared" si="18"/>
        <v>Major Delay</v>
      </c>
      <c r="S96" s="33">
        <v>3.8852352873130722</v>
      </c>
      <c r="T96" t="s">
        <v>31</v>
      </c>
      <c r="U96" s="3">
        <v>0</v>
      </c>
      <c r="V96" s="3" t="str">
        <f t="shared" si="22"/>
        <v>Normal</v>
      </c>
      <c r="W96" s="3" t="s">
        <v>51</v>
      </c>
      <c r="X96" s="32">
        <f t="shared" si="19"/>
        <v>0.161884803637804</v>
      </c>
      <c r="Z96" s="38">
        <f t="shared" si="23"/>
        <v>3.6884803637803998E-2</v>
      </c>
      <c r="AC96" s="36">
        <v>0.125</v>
      </c>
      <c r="AL96" t="str">
        <f t="shared" si="24"/>
        <v>TPA Approval Delay</v>
      </c>
      <c r="AM96" t="str">
        <f t="shared" si="25"/>
        <v>No</v>
      </c>
      <c r="AN96" t="str">
        <f t="shared" si="26"/>
        <v>Elective</v>
      </c>
      <c r="AO96" t="str">
        <f t="shared" si="27"/>
        <v>HDU</v>
      </c>
    </row>
    <row r="97" spans="1:41" x14ac:dyDescent="0.3">
      <c r="A97" s="21" t="str">
        <f t="shared" si="20"/>
        <v>UHID-00096</v>
      </c>
      <c r="B97" s="18">
        <v>70</v>
      </c>
      <c r="C97" s="10" t="s">
        <v>18</v>
      </c>
      <c r="D97" s="13" t="s">
        <v>27</v>
      </c>
      <c r="E97" s="13" t="s">
        <v>6</v>
      </c>
      <c r="F97" s="15">
        <v>46188.515304236098</v>
      </c>
      <c r="G97" s="4">
        <v>46188</v>
      </c>
      <c r="H97" s="1">
        <v>46188.766036400499</v>
      </c>
      <c r="I97" s="22">
        <v>46188</v>
      </c>
      <c r="J97" s="24">
        <f t="shared" si="14"/>
        <v>46188.711924313408</v>
      </c>
      <c r="K97" s="24">
        <f t="shared" si="15"/>
        <v>0.76603640049870592</v>
      </c>
      <c r="L97" s="29">
        <f t="shared" si="21"/>
        <v>46187</v>
      </c>
      <c r="M97" s="27" t="str">
        <f t="shared" si="16"/>
        <v>Normal</v>
      </c>
      <c r="N97" s="31">
        <f t="shared" si="17"/>
        <v>0</v>
      </c>
      <c r="O97" s="27"/>
      <c r="Q97" s="8">
        <v>0.44283439690440463</v>
      </c>
      <c r="R97" s="8" t="str">
        <f t="shared" si="18"/>
        <v>On Time</v>
      </c>
      <c r="S97" s="33">
        <v>1.2986900901384031</v>
      </c>
      <c r="T97" t="s">
        <v>31</v>
      </c>
      <c r="U97" s="3">
        <v>0</v>
      </c>
      <c r="V97" s="3" t="str">
        <f t="shared" si="22"/>
        <v>Normal</v>
      </c>
      <c r="W97" s="3" t="s">
        <v>51</v>
      </c>
      <c r="X97" s="32">
        <f t="shared" si="19"/>
        <v>5.4112087091198191E-2</v>
      </c>
      <c r="Z97" s="38">
        <f t="shared" si="23"/>
        <v>0</v>
      </c>
      <c r="AC97" s="36">
        <v>0.125</v>
      </c>
      <c r="AL97" t="str">
        <f t="shared" si="24"/>
        <v>Normal</v>
      </c>
      <c r="AM97" t="str">
        <f t="shared" si="25"/>
        <v>No</v>
      </c>
      <c r="AN97" t="str">
        <f t="shared" si="26"/>
        <v>Elective</v>
      </c>
      <c r="AO97" t="str">
        <f t="shared" si="27"/>
        <v>General Ward</v>
      </c>
    </row>
    <row r="98" spans="1:41" x14ac:dyDescent="0.3">
      <c r="A98" s="21" t="str">
        <f t="shared" si="20"/>
        <v>UHID-00097</v>
      </c>
      <c r="B98" s="18">
        <v>79</v>
      </c>
      <c r="C98" s="10" t="s">
        <v>18</v>
      </c>
      <c r="D98" s="13" t="s">
        <v>27</v>
      </c>
      <c r="E98" s="13" t="s">
        <v>6</v>
      </c>
      <c r="F98" s="15">
        <v>46183.843774131899</v>
      </c>
      <c r="G98" s="4">
        <v>46183</v>
      </c>
      <c r="H98" s="1">
        <v>46189.681959374997</v>
      </c>
      <c r="I98" s="22">
        <v>46189</v>
      </c>
      <c r="J98" s="24">
        <f t="shared" si="14"/>
        <v>46189.527651630102</v>
      </c>
      <c r="K98" s="24">
        <f t="shared" si="15"/>
        <v>0.68195937499694992</v>
      </c>
      <c r="L98" s="29">
        <f t="shared" si="21"/>
        <v>46188</v>
      </c>
      <c r="M98" s="27" t="str">
        <f t="shared" si="16"/>
        <v>Medication Change</v>
      </c>
      <c r="N98" s="31">
        <f t="shared" si="17"/>
        <v>6</v>
      </c>
      <c r="O98" s="27"/>
      <c r="Q98" s="8">
        <v>5.5885803349229435E-2</v>
      </c>
      <c r="R98" s="8" t="str">
        <f t="shared" si="18"/>
        <v>Major Delay</v>
      </c>
      <c r="S98" s="33">
        <v>1.7033858774260362</v>
      </c>
      <c r="T98" t="s">
        <v>30</v>
      </c>
      <c r="U98" s="3">
        <v>2</v>
      </c>
      <c r="V98" s="3" t="str">
        <f t="shared" si="22"/>
        <v/>
      </c>
      <c r="W98" s="3" t="s">
        <v>50</v>
      </c>
      <c r="X98" s="32">
        <f t="shared" si="19"/>
        <v>0.15430774489504984</v>
      </c>
      <c r="Z98" s="38">
        <f t="shared" si="23"/>
        <v>2.9307744895049836E-2</v>
      </c>
      <c r="AC98" s="36">
        <v>0.125</v>
      </c>
      <c r="AL98" t="str">
        <f t="shared" si="24"/>
        <v>Medication Change</v>
      </c>
      <c r="AM98" t="str">
        <f t="shared" si="25"/>
        <v>No</v>
      </c>
      <c r="AN98" t="str">
        <f t="shared" si="26"/>
        <v>Elective</v>
      </c>
      <c r="AO98" t="str">
        <f t="shared" si="27"/>
        <v>HDU</v>
      </c>
    </row>
    <row r="99" spans="1:41" x14ac:dyDescent="0.3">
      <c r="A99" s="21" t="str">
        <f t="shared" si="20"/>
        <v>UHID-00098</v>
      </c>
      <c r="B99" s="18">
        <v>61</v>
      </c>
      <c r="C99" s="10" t="s">
        <v>17</v>
      </c>
      <c r="D99" s="13" t="s">
        <v>26</v>
      </c>
      <c r="E99" s="13" t="s">
        <v>6</v>
      </c>
      <c r="F99" s="15">
        <v>46188.508970775503</v>
      </c>
      <c r="G99" s="4">
        <v>46188</v>
      </c>
      <c r="H99" s="1">
        <v>46188.7666986806</v>
      </c>
      <c r="I99" s="22">
        <v>46188</v>
      </c>
      <c r="J99" s="24">
        <f t="shared" si="14"/>
        <v>46188.616893899933</v>
      </c>
      <c r="K99" s="24">
        <f t="shared" si="15"/>
        <v>0.76669868059980217</v>
      </c>
      <c r="L99" s="29">
        <f t="shared" si="21"/>
        <v>46187</v>
      </c>
      <c r="M99" s="27" t="str">
        <f t="shared" si="16"/>
        <v>TPA Approval Delay</v>
      </c>
      <c r="N99" s="31">
        <f t="shared" si="17"/>
        <v>0</v>
      </c>
      <c r="O99" s="27"/>
      <c r="Q99" s="8">
        <v>0.51231177507995285</v>
      </c>
      <c r="R99" s="8" t="str">
        <f t="shared" si="18"/>
        <v>Major Delay</v>
      </c>
      <c r="S99" s="33">
        <v>3.5953147360025421</v>
      </c>
      <c r="T99" t="s">
        <v>31</v>
      </c>
      <c r="U99" s="3">
        <v>0</v>
      </c>
      <c r="V99" s="3" t="str">
        <f t="shared" si="22"/>
        <v>Normal</v>
      </c>
      <c r="W99" s="3" t="s">
        <v>51</v>
      </c>
      <c r="X99" s="32">
        <f t="shared" si="19"/>
        <v>0.14980478066718206</v>
      </c>
      <c r="Z99" s="38">
        <f t="shared" si="23"/>
        <v>2.4804780667182058E-2</v>
      </c>
      <c r="AC99" s="36">
        <v>0.125</v>
      </c>
      <c r="AL99" t="str">
        <f t="shared" si="24"/>
        <v>TPA Approval Delay</v>
      </c>
      <c r="AM99" t="str">
        <f t="shared" si="25"/>
        <v>No</v>
      </c>
      <c r="AN99" t="str">
        <f t="shared" si="26"/>
        <v>Elective</v>
      </c>
      <c r="AO99" t="str">
        <f t="shared" si="27"/>
        <v>General Ward</v>
      </c>
    </row>
    <row r="100" spans="1:41" x14ac:dyDescent="0.3">
      <c r="A100" s="21" t="str">
        <f t="shared" si="20"/>
        <v>UHID-00099</v>
      </c>
      <c r="B100" s="18">
        <v>58</v>
      </c>
      <c r="C100" s="10" t="s">
        <v>17</v>
      </c>
      <c r="D100" s="13" t="s">
        <v>27</v>
      </c>
      <c r="E100" s="13" t="s">
        <v>6</v>
      </c>
      <c r="F100" s="15">
        <v>46185.647828761597</v>
      </c>
      <c r="G100" s="4">
        <v>46185</v>
      </c>
      <c r="H100" s="1">
        <v>46189.576610081</v>
      </c>
      <c r="I100" s="22">
        <v>46189</v>
      </c>
      <c r="J100" s="24">
        <f t="shared" si="14"/>
        <v>46189.273520511553</v>
      </c>
      <c r="K100" s="24">
        <f t="shared" si="15"/>
        <v>0.57661008099967148</v>
      </c>
      <c r="L100" s="29">
        <f t="shared" si="21"/>
        <v>46188</v>
      </c>
      <c r="M100" s="27" t="str">
        <f t="shared" si="16"/>
        <v>Health Deterioration</v>
      </c>
      <c r="N100" s="31">
        <f t="shared" si="17"/>
        <v>4</v>
      </c>
      <c r="O100" s="27"/>
      <c r="Q100" s="8">
        <v>0.33352501023508097</v>
      </c>
      <c r="R100" s="8" t="str">
        <f t="shared" si="18"/>
        <v>Critical Delay</v>
      </c>
      <c r="S100" s="33">
        <v>1.2741496666795824</v>
      </c>
      <c r="T100" t="s">
        <v>30</v>
      </c>
      <c r="U100" s="3">
        <v>6</v>
      </c>
      <c r="V100" s="3" t="str">
        <f t="shared" si="22"/>
        <v/>
      </c>
      <c r="W100" s="3" t="s">
        <v>52</v>
      </c>
      <c r="X100" s="32">
        <f t="shared" si="19"/>
        <v>0.30308956944645615</v>
      </c>
      <c r="Z100" s="38">
        <f t="shared" si="23"/>
        <v>0.17808956944645615</v>
      </c>
      <c r="AC100" s="36">
        <v>0.125</v>
      </c>
      <c r="AL100" t="str">
        <f t="shared" si="24"/>
        <v>Health Deterioration</v>
      </c>
      <c r="AM100" t="str">
        <f t="shared" si="25"/>
        <v>No</v>
      </c>
      <c r="AN100" t="str">
        <f t="shared" si="26"/>
        <v>Emergency</v>
      </c>
      <c r="AO100" t="str">
        <f t="shared" si="27"/>
        <v>ICU</v>
      </c>
    </row>
    <row r="101" spans="1:41" x14ac:dyDescent="0.3">
      <c r="A101" s="21" t="str">
        <f t="shared" si="20"/>
        <v>UHID-00100</v>
      </c>
      <c r="B101" s="18">
        <v>63</v>
      </c>
      <c r="C101" s="10" t="s">
        <v>18</v>
      </c>
      <c r="D101" s="13" t="s">
        <v>27</v>
      </c>
      <c r="E101" s="13" t="s">
        <v>6</v>
      </c>
      <c r="F101" s="15">
        <v>46189.582863842603</v>
      </c>
      <c r="G101" s="4">
        <v>46189</v>
      </c>
      <c r="H101" s="1">
        <v>46189.752138460703</v>
      </c>
      <c r="I101" s="22">
        <v>46189</v>
      </c>
      <c r="J101" s="24">
        <f t="shared" si="14"/>
        <v>46189.705311551443</v>
      </c>
      <c r="K101" s="24">
        <f t="shared" si="15"/>
        <v>0.75213846070255386</v>
      </c>
      <c r="L101" s="29">
        <f t="shared" si="21"/>
        <v>46188</v>
      </c>
      <c r="M101" s="27" t="str">
        <f t="shared" si="16"/>
        <v>Normal</v>
      </c>
      <c r="N101" s="31">
        <f t="shared" si="17"/>
        <v>0</v>
      </c>
      <c r="O101" s="27"/>
      <c r="Q101" s="8">
        <v>0.40283982755305492</v>
      </c>
      <c r="R101" s="8" t="str">
        <f t="shared" si="18"/>
        <v>On Time</v>
      </c>
      <c r="S101" s="33">
        <v>1.123845822192489</v>
      </c>
      <c r="T101" t="s">
        <v>31</v>
      </c>
      <c r="U101" s="3">
        <v>0</v>
      </c>
      <c r="V101" s="3" t="str">
        <f t="shared" si="22"/>
        <v>Normal</v>
      </c>
      <c r="W101" s="3" t="s">
        <v>51</v>
      </c>
      <c r="X101" s="32">
        <f t="shared" si="19"/>
        <v>4.6826909259834792E-2</v>
      </c>
      <c r="Z101" s="38">
        <f t="shared" si="23"/>
        <v>0</v>
      </c>
      <c r="AC101" s="36">
        <v>0.125</v>
      </c>
      <c r="AL101" t="str">
        <f t="shared" si="24"/>
        <v>Normal</v>
      </c>
      <c r="AM101" t="str">
        <f t="shared" si="25"/>
        <v>No</v>
      </c>
      <c r="AN101" t="str">
        <f t="shared" si="26"/>
        <v>Emergency</v>
      </c>
      <c r="AO101" t="str">
        <f t="shared" si="27"/>
        <v>ICU</v>
      </c>
    </row>
    <row r="102" spans="1:41" x14ac:dyDescent="0.3">
      <c r="A102" s="21" t="str">
        <f t="shared" si="20"/>
        <v>UHID-00101</v>
      </c>
      <c r="B102" s="18">
        <v>53</v>
      </c>
      <c r="C102" s="10" t="s">
        <v>18</v>
      </c>
      <c r="D102" s="13" t="s">
        <v>26</v>
      </c>
      <c r="E102" s="13" t="s">
        <v>6</v>
      </c>
      <c r="F102" s="15">
        <v>46187.048293379601</v>
      </c>
      <c r="G102" s="4">
        <v>46187</v>
      </c>
      <c r="H102" s="1">
        <v>46190.679360648202</v>
      </c>
      <c r="I102" s="22">
        <v>46190</v>
      </c>
      <c r="J102" s="24">
        <f t="shared" si="14"/>
        <v>46190.53964417462</v>
      </c>
      <c r="K102" s="24">
        <f t="shared" si="15"/>
        <v>0.67936064820241882</v>
      </c>
      <c r="L102" s="29">
        <f t="shared" si="21"/>
        <v>46189</v>
      </c>
      <c r="M102" s="27" t="str">
        <f t="shared" si="16"/>
        <v>TPA Approval Delay</v>
      </c>
      <c r="N102" s="31">
        <f t="shared" si="17"/>
        <v>3</v>
      </c>
      <c r="O102" s="27"/>
      <c r="Q102" s="8">
        <v>0.63104175989204425</v>
      </c>
      <c r="R102" s="8" t="str">
        <f t="shared" si="18"/>
        <v>Major Delay</v>
      </c>
      <c r="S102" s="33">
        <v>3.3531953659336704</v>
      </c>
      <c r="T102" t="s">
        <v>31</v>
      </c>
      <c r="U102" s="3">
        <v>0</v>
      </c>
      <c r="V102" s="3" t="str">
        <f t="shared" si="22"/>
        <v>Normal</v>
      </c>
      <c r="W102" s="3" t="s">
        <v>51</v>
      </c>
      <c r="X102" s="32">
        <f t="shared" si="19"/>
        <v>0.13971647358266637</v>
      </c>
      <c r="Z102" s="38">
        <f t="shared" si="23"/>
        <v>1.4716473582666367E-2</v>
      </c>
      <c r="AC102" s="36">
        <v>0.125</v>
      </c>
      <c r="AL102" t="str">
        <f t="shared" si="24"/>
        <v>TPA Approval Delay</v>
      </c>
      <c r="AM102" t="str">
        <f t="shared" si="25"/>
        <v>No</v>
      </c>
      <c r="AN102" t="str">
        <f t="shared" si="26"/>
        <v>Emergency</v>
      </c>
      <c r="AO102" t="str">
        <f t="shared" si="27"/>
        <v>ICU</v>
      </c>
    </row>
    <row r="103" spans="1:41" x14ac:dyDescent="0.3">
      <c r="A103" s="21" t="str">
        <f t="shared" si="20"/>
        <v>UHID-00102</v>
      </c>
      <c r="B103" s="18">
        <v>42</v>
      </c>
      <c r="C103" s="10" t="s">
        <v>17</v>
      </c>
      <c r="D103" s="13" t="s">
        <v>28</v>
      </c>
      <c r="E103" s="13" t="s">
        <v>6</v>
      </c>
      <c r="F103" s="15">
        <v>46188.842530428199</v>
      </c>
      <c r="G103" s="4">
        <v>46188</v>
      </c>
      <c r="H103" s="1">
        <v>46190.732009120402</v>
      </c>
      <c r="I103" s="22">
        <v>46190</v>
      </c>
      <c r="J103" s="24">
        <f t="shared" si="14"/>
        <v>46190.63614885298</v>
      </c>
      <c r="K103" s="24">
        <f t="shared" si="15"/>
        <v>0.73200912040192634</v>
      </c>
      <c r="L103" s="29">
        <f t="shared" si="21"/>
        <v>46189</v>
      </c>
      <c r="M103" s="27" t="str">
        <f t="shared" si="16"/>
        <v>Doctor Round Delay/Report Delay</v>
      </c>
      <c r="N103" s="31">
        <f t="shared" si="17"/>
        <v>2</v>
      </c>
      <c r="O103" s="27"/>
      <c r="Q103" s="8">
        <v>0.91498602065720624</v>
      </c>
      <c r="R103" s="8" t="str">
        <f t="shared" si="18"/>
        <v>Minor Delay</v>
      </c>
      <c r="S103" s="33">
        <v>2.3006464181399364</v>
      </c>
      <c r="T103" t="s">
        <v>31</v>
      </c>
      <c r="U103" s="3">
        <v>0</v>
      </c>
      <c r="V103" s="3" t="str">
        <f t="shared" si="22"/>
        <v>Normal</v>
      </c>
      <c r="W103" s="3" t="s">
        <v>51</v>
      </c>
      <c r="X103" s="32">
        <f t="shared" si="19"/>
        <v>9.586026742181275E-2</v>
      </c>
      <c r="Z103" s="38">
        <f t="shared" si="23"/>
        <v>0</v>
      </c>
      <c r="AC103" s="36">
        <v>0.125</v>
      </c>
      <c r="AL103" t="str">
        <f t="shared" si="24"/>
        <v>Doctor Round Delay/Report Delay</v>
      </c>
      <c r="AM103" t="str">
        <f t="shared" si="25"/>
        <v>No</v>
      </c>
      <c r="AN103" t="str">
        <f t="shared" si="26"/>
        <v>Elective</v>
      </c>
      <c r="AO103" t="str">
        <f t="shared" si="27"/>
        <v>ICU</v>
      </c>
    </row>
    <row r="104" spans="1:41" x14ac:dyDescent="0.3">
      <c r="A104" s="21" t="str">
        <f t="shared" si="20"/>
        <v>UHID-00103</v>
      </c>
      <c r="B104" s="18">
        <v>71</v>
      </c>
      <c r="C104" s="10" t="s">
        <v>17</v>
      </c>
      <c r="D104" s="13" t="s">
        <v>26</v>
      </c>
      <c r="E104" s="13" t="s">
        <v>6</v>
      </c>
      <c r="F104" s="15">
        <v>46189.465824803199</v>
      </c>
      <c r="G104" s="4">
        <v>46189</v>
      </c>
      <c r="H104" s="1">
        <v>46190.428071932904</v>
      </c>
      <c r="I104" s="22">
        <v>46190</v>
      </c>
      <c r="J104" s="24">
        <f t="shared" si="14"/>
        <v>46190.271927197464</v>
      </c>
      <c r="K104" s="24">
        <f t="shared" si="15"/>
        <v>0.42807193290354917</v>
      </c>
      <c r="L104" s="29">
        <f t="shared" si="21"/>
        <v>46189</v>
      </c>
      <c r="M104" s="27" t="str">
        <f t="shared" si="16"/>
        <v>TPA Approval Delay</v>
      </c>
      <c r="N104" s="31">
        <f t="shared" si="17"/>
        <v>1</v>
      </c>
      <c r="O104" s="27"/>
      <c r="Q104" s="8">
        <v>0.81695363236721164</v>
      </c>
      <c r="R104" s="8" t="str">
        <f t="shared" si="18"/>
        <v>Major Delay</v>
      </c>
      <c r="S104" s="33">
        <v>3.7474736505604946</v>
      </c>
      <c r="T104" t="s">
        <v>31</v>
      </c>
      <c r="U104" s="3">
        <v>0</v>
      </c>
      <c r="V104" s="3" t="str">
        <f t="shared" si="22"/>
        <v>Normal</v>
      </c>
      <c r="W104" s="3" t="s">
        <v>51</v>
      </c>
      <c r="X104" s="32">
        <f t="shared" si="19"/>
        <v>0.15614473543973872</v>
      </c>
      <c r="Z104" s="38">
        <f t="shared" si="23"/>
        <v>3.1144735439738724E-2</v>
      </c>
      <c r="AC104" s="36">
        <v>0.125</v>
      </c>
      <c r="AL104" t="str">
        <f t="shared" si="24"/>
        <v>TPA Approval Delay</v>
      </c>
      <c r="AM104" t="str">
        <f t="shared" si="25"/>
        <v>No</v>
      </c>
      <c r="AN104" t="str">
        <f t="shared" si="26"/>
        <v>Elective</v>
      </c>
      <c r="AO104" t="str">
        <f t="shared" si="27"/>
        <v>HDU</v>
      </c>
    </row>
    <row r="105" spans="1:41" x14ac:dyDescent="0.3">
      <c r="A105" s="21" t="str">
        <f t="shared" si="20"/>
        <v>UHID-00104</v>
      </c>
      <c r="B105" s="18">
        <v>58</v>
      </c>
      <c r="C105" s="10" t="s">
        <v>17</v>
      </c>
      <c r="D105" s="13" t="s">
        <v>28</v>
      </c>
      <c r="E105" s="13" t="s">
        <v>6</v>
      </c>
      <c r="F105" s="15">
        <v>46190.431353703701</v>
      </c>
      <c r="G105" s="4">
        <v>46190</v>
      </c>
      <c r="H105" s="1">
        <v>46190.713324189797</v>
      </c>
      <c r="I105" s="22">
        <v>46190</v>
      </c>
      <c r="J105" s="24">
        <f t="shared" si="14"/>
        <v>46190.451110696777</v>
      </c>
      <c r="K105" s="24">
        <f t="shared" si="15"/>
        <v>0.71332418979727663</v>
      </c>
      <c r="L105" s="29">
        <f t="shared" si="21"/>
        <v>46189</v>
      </c>
      <c r="M105" s="27" t="str">
        <f t="shared" si="16"/>
        <v>Health Deterioration</v>
      </c>
      <c r="N105" s="31">
        <f t="shared" si="17"/>
        <v>0</v>
      </c>
      <c r="O105" s="27"/>
      <c r="Q105" s="8">
        <v>0.90889630396629562</v>
      </c>
      <c r="R105" s="8" t="str">
        <f t="shared" si="18"/>
        <v>Critical Delay</v>
      </c>
      <c r="S105" s="33">
        <v>2.2931238324882948</v>
      </c>
      <c r="T105" t="s">
        <v>31</v>
      </c>
      <c r="U105" s="3">
        <v>4</v>
      </c>
      <c r="V105" s="3" t="str">
        <f t="shared" si="22"/>
        <v>Normal</v>
      </c>
      <c r="W105" s="3" t="s">
        <v>50</v>
      </c>
      <c r="X105" s="32">
        <f t="shared" si="19"/>
        <v>0.2622134930206812</v>
      </c>
      <c r="Z105" s="38">
        <f t="shared" si="23"/>
        <v>0.1372134930206812</v>
      </c>
      <c r="AC105" s="36">
        <v>0.125</v>
      </c>
      <c r="AL105" t="str">
        <f t="shared" si="24"/>
        <v>Health Deterioration</v>
      </c>
      <c r="AM105" t="str">
        <f t="shared" si="25"/>
        <v>No</v>
      </c>
      <c r="AN105" t="str">
        <f t="shared" si="26"/>
        <v>Elective</v>
      </c>
      <c r="AO105" t="str">
        <f t="shared" si="27"/>
        <v>HDU</v>
      </c>
    </row>
    <row r="106" spans="1:41" x14ac:dyDescent="0.3">
      <c r="A106" s="21" t="str">
        <f t="shared" si="20"/>
        <v>UHID-00105</v>
      </c>
      <c r="B106" s="18">
        <v>57</v>
      </c>
      <c r="C106" s="10" t="s">
        <v>18</v>
      </c>
      <c r="D106" s="13" t="s">
        <v>26</v>
      </c>
      <c r="E106" s="13" t="s">
        <v>6</v>
      </c>
      <c r="F106" s="15">
        <v>46190.375879131898</v>
      </c>
      <c r="G106" s="4">
        <v>46190</v>
      </c>
      <c r="H106" s="1">
        <v>46190.714154965302</v>
      </c>
      <c r="I106" s="22">
        <v>46190</v>
      </c>
      <c r="J106" s="24">
        <f t="shared" si="14"/>
        <v>46190.553910608658</v>
      </c>
      <c r="K106" s="24">
        <f t="shared" si="15"/>
        <v>0.71415496530244127</v>
      </c>
      <c r="L106" s="29">
        <f t="shared" si="21"/>
        <v>46189</v>
      </c>
      <c r="M106" s="27" t="str">
        <f t="shared" si="16"/>
        <v>TPA Approval Delay</v>
      </c>
      <c r="N106" s="31">
        <f t="shared" si="17"/>
        <v>0</v>
      </c>
      <c r="O106" s="27"/>
      <c r="Q106" s="8">
        <v>0.62809975729750667</v>
      </c>
      <c r="R106" s="8" t="str">
        <f t="shared" si="18"/>
        <v>Major Delay</v>
      </c>
      <c r="S106" s="33">
        <v>3.8458645593999341</v>
      </c>
      <c r="T106" t="s">
        <v>31</v>
      </c>
      <c r="U106" s="3">
        <v>0</v>
      </c>
      <c r="V106" s="3" t="str">
        <f t="shared" si="22"/>
        <v>Normal</v>
      </c>
      <c r="W106" s="3" t="s">
        <v>51</v>
      </c>
      <c r="X106" s="32">
        <f t="shared" si="19"/>
        <v>0.16024435664439807</v>
      </c>
      <c r="Z106" s="38">
        <f t="shared" si="23"/>
        <v>3.5244356644398067E-2</v>
      </c>
      <c r="AC106" s="36">
        <v>0.125</v>
      </c>
      <c r="AL106" t="str">
        <f t="shared" si="24"/>
        <v>TPA Approval Delay</v>
      </c>
      <c r="AM106" t="str">
        <f t="shared" si="25"/>
        <v>No</v>
      </c>
      <c r="AN106" t="str">
        <f t="shared" si="26"/>
        <v>Elective</v>
      </c>
      <c r="AO106" t="str">
        <f t="shared" si="27"/>
        <v>General Ward</v>
      </c>
    </row>
    <row r="107" spans="1:41" x14ac:dyDescent="0.3">
      <c r="A107" s="21" t="str">
        <f t="shared" si="20"/>
        <v>UHID-00106</v>
      </c>
      <c r="B107" s="18">
        <v>69</v>
      </c>
      <c r="C107" s="10" t="s">
        <v>18</v>
      </c>
      <c r="D107" s="13" t="s">
        <v>27</v>
      </c>
      <c r="E107" s="13" t="s">
        <v>6</v>
      </c>
      <c r="F107" s="15">
        <v>46186.550264328704</v>
      </c>
      <c r="G107" s="4">
        <v>46186</v>
      </c>
      <c r="H107" s="1">
        <v>46190.754953240699</v>
      </c>
      <c r="I107" s="22">
        <v>46190</v>
      </c>
      <c r="J107" s="24">
        <f t="shared" si="14"/>
        <v>46190.373874886573</v>
      </c>
      <c r="K107" s="24">
        <f t="shared" si="15"/>
        <v>0.75495324069925118</v>
      </c>
      <c r="L107" s="29">
        <f t="shared" si="21"/>
        <v>46189</v>
      </c>
      <c r="M107" s="27" t="str">
        <f t="shared" si="16"/>
        <v>Health Deterioration</v>
      </c>
      <c r="N107" s="31">
        <f t="shared" si="17"/>
        <v>4</v>
      </c>
      <c r="O107" s="27"/>
      <c r="Q107" s="8">
        <v>3.9142251668979888E-3</v>
      </c>
      <c r="R107" s="8" t="str">
        <f t="shared" si="18"/>
        <v>Critical Delay</v>
      </c>
      <c r="S107" s="33">
        <v>1.1458804990539262</v>
      </c>
      <c r="T107" t="s">
        <v>30</v>
      </c>
      <c r="U107" s="3">
        <v>8</v>
      </c>
      <c r="V107" s="3" t="str">
        <f t="shared" si="22"/>
        <v/>
      </c>
      <c r="W107" s="3" t="s">
        <v>52</v>
      </c>
      <c r="X107" s="32">
        <f t="shared" si="19"/>
        <v>0.38107835412665736</v>
      </c>
      <c r="Z107" s="38">
        <f t="shared" si="23"/>
        <v>0.25607835412665736</v>
      </c>
      <c r="AC107" s="36">
        <v>0.125</v>
      </c>
      <c r="AL107" t="str">
        <f t="shared" si="24"/>
        <v>Health Deterioration</v>
      </c>
      <c r="AM107" t="str">
        <f t="shared" si="25"/>
        <v>Yes</v>
      </c>
      <c r="AN107" t="str">
        <f t="shared" si="26"/>
        <v>Elective</v>
      </c>
      <c r="AO107" t="str">
        <f t="shared" si="27"/>
        <v>HDU</v>
      </c>
    </row>
    <row r="108" spans="1:41" x14ac:dyDescent="0.3">
      <c r="A108" s="21" t="str">
        <f t="shared" si="20"/>
        <v>UHID-00107</v>
      </c>
      <c r="B108" s="18">
        <v>63</v>
      </c>
      <c r="C108" s="10" t="s">
        <v>17</v>
      </c>
      <c r="D108" s="13" t="s">
        <v>26</v>
      </c>
      <c r="E108" s="13" t="s">
        <v>6</v>
      </c>
      <c r="F108" s="15">
        <v>46190.452249305599</v>
      </c>
      <c r="G108" s="4">
        <v>46190</v>
      </c>
      <c r="H108" s="1">
        <v>46190.804314710702</v>
      </c>
      <c r="I108" s="22">
        <v>46190</v>
      </c>
      <c r="J108" s="24">
        <f t="shared" si="14"/>
        <v>46190.667122620267</v>
      </c>
      <c r="K108" s="24">
        <f t="shared" si="15"/>
        <v>0.80431471070187399</v>
      </c>
      <c r="L108" s="29">
        <f t="shared" si="21"/>
        <v>46189</v>
      </c>
      <c r="M108" s="27" t="str">
        <f t="shared" si="16"/>
        <v>TPA Approval Delay</v>
      </c>
      <c r="N108" s="31">
        <f t="shared" si="17"/>
        <v>0</v>
      </c>
      <c r="O108" s="27"/>
      <c r="Q108" s="8">
        <v>0.63253628093040726</v>
      </c>
      <c r="R108" s="8" t="str">
        <f t="shared" si="18"/>
        <v>Major Delay</v>
      </c>
      <c r="S108" s="33">
        <v>3.2926101703554695</v>
      </c>
      <c r="T108" t="s">
        <v>31</v>
      </c>
      <c r="U108" s="3">
        <v>0</v>
      </c>
      <c r="V108" s="3" t="str">
        <f t="shared" si="22"/>
        <v>Normal</v>
      </c>
      <c r="W108" s="3" t="s">
        <v>51</v>
      </c>
      <c r="X108" s="32">
        <f t="shared" si="19"/>
        <v>0.13719209043483716</v>
      </c>
      <c r="Z108" s="38">
        <f t="shared" si="23"/>
        <v>1.2192090434837155E-2</v>
      </c>
      <c r="AC108" s="36">
        <v>0.125</v>
      </c>
      <c r="AL108" t="str">
        <f t="shared" si="24"/>
        <v>TPA Approval Delay</v>
      </c>
      <c r="AM108" t="str">
        <f t="shared" si="25"/>
        <v>No</v>
      </c>
      <c r="AN108" t="str">
        <f t="shared" si="26"/>
        <v>Elective</v>
      </c>
      <c r="AO108" t="str">
        <f t="shared" si="27"/>
        <v>General Ward</v>
      </c>
    </row>
    <row r="109" spans="1:41" x14ac:dyDescent="0.3">
      <c r="A109" s="21" t="str">
        <f t="shared" si="20"/>
        <v>UHID-00108</v>
      </c>
      <c r="B109" s="18">
        <v>71</v>
      </c>
      <c r="C109" s="10" t="s">
        <v>17</v>
      </c>
      <c r="D109" s="13" t="s">
        <v>26</v>
      </c>
      <c r="E109" s="13" t="s">
        <v>6</v>
      </c>
      <c r="F109" s="15">
        <v>46190.552551180597</v>
      </c>
      <c r="G109" s="4">
        <v>46190</v>
      </c>
      <c r="H109" s="1">
        <v>46191.602826215298</v>
      </c>
      <c r="I109" s="22">
        <v>46191</v>
      </c>
      <c r="J109" s="24">
        <f t="shared" si="14"/>
        <v>46191.440541456068</v>
      </c>
      <c r="K109" s="24">
        <f t="shared" si="15"/>
        <v>0.60282621529768221</v>
      </c>
      <c r="L109" s="29">
        <f t="shared" si="21"/>
        <v>46190</v>
      </c>
      <c r="M109" s="27" t="str">
        <f t="shared" si="16"/>
        <v>TPA Approval Delay</v>
      </c>
      <c r="N109" s="31">
        <f t="shared" si="17"/>
        <v>1</v>
      </c>
      <c r="O109" s="27"/>
      <c r="Q109" s="8">
        <v>0.58831263614554741</v>
      </c>
      <c r="R109" s="8" t="str">
        <f t="shared" si="18"/>
        <v>Major Delay</v>
      </c>
      <c r="S109" s="33">
        <v>3.8948342215837233</v>
      </c>
      <c r="T109" t="s">
        <v>31</v>
      </c>
      <c r="U109" s="3">
        <v>0</v>
      </c>
      <c r="V109" s="3" t="str">
        <f t="shared" si="22"/>
        <v>Normal</v>
      </c>
      <c r="W109" s="3" t="s">
        <v>51</v>
      </c>
      <c r="X109" s="32">
        <f t="shared" si="19"/>
        <v>0.16228475922980579</v>
      </c>
      <c r="Z109" s="38">
        <f t="shared" si="23"/>
        <v>3.7284759229805786E-2</v>
      </c>
      <c r="AC109" s="36">
        <v>0.125</v>
      </c>
      <c r="AL109" t="str">
        <f t="shared" si="24"/>
        <v>TPA Approval Delay</v>
      </c>
      <c r="AM109" t="str">
        <f t="shared" si="25"/>
        <v>No</v>
      </c>
      <c r="AN109" t="str">
        <f t="shared" si="26"/>
        <v>Elective</v>
      </c>
      <c r="AO109" t="str">
        <f t="shared" si="27"/>
        <v>General Ward</v>
      </c>
    </row>
    <row r="110" spans="1:41" x14ac:dyDescent="0.3">
      <c r="A110" s="21" t="str">
        <f t="shared" si="20"/>
        <v>UHID-00109</v>
      </c>
      <c r="B110" s="18">
        <v>74</v>
      </c>
      <c r="C110" s="10" t="s">
        <v>18</v>
      </c>
      <c r="D110" s="13" t="s">
        <v>26</v>
      </c>
      <c r="E110" s="13" t="s">
        <v>6</v>
      </c>
      <c r="F110" s="15">
        <v>46188.669867557903</v>
      </c>
      <c r="G110" s="4">
        <v>46188</v>
      </c>
      <c r="H110" s="1">
        <v>46191.601451238399</v>
      </c>
      <c r="I110" s="22">
        <v>46191</v>
      </c>
      <c r="J110" s="24">
        <f t="shared" si="14"/>
        <v>46191.45900065796</v>
      </c>
      <c r="K110" s="24">
        <f t="shared" si="15"/>
        <v>0.60145123839902226</v>
      </c>
      <c r="L110" s="29">
        <f t="shared" si="21"/>
        <v>46190</v>
      </c>
      <c r="M110" s="27" t="str">
        <f t="shared" si="16"/>
        <v>TPA Approval Delay</v>
      </c>
      <c r="N110" s="31">
        <f t="shared" si="17"/>
        <v>3</v>
      </c>
      <c r="O110" s="27"/>
      <c r="Q110" s="8">
        <v>0.68552279958603879</v>
      </c>
      <c r="R110" s="8" t="str">
        <f t="shared" si="18"/>
        <v>Major Delay</v>
      </c>
      <c r="S110" s="33">
        <v>3.4188139305068619</v>
      </c>
      <c r="T110" t="s">
        <v>31</v>
      </c>
      <c r="U110" s="3">
        <v>0</v>
      </c>
      <c r="V110" s="3" t="str">
        <f t="shared" si="22"/>
        <v>Normal</v>
      </c>
      <c r="W110" s="3" t="s">
        <v>51</v>
      </c>
      <c r="X110" s="32">
        <f t="shared" si="19"/>
        <v>0.14245058043889003</v>
      </c>
      <c r="Z110" s="38">
        <f t="shared" si="23"/>
        <v>1.7450580438890029E-2</v>
      </c>
      <c r="AC110" s="36">
        <v>0.125</v>
      </c>
      <c r="AL110" t="str">
        <f t="shared" si="24"/>
        <v>TPA Approval Delay</v>
      </c>
      <c r="AM110" t="str">
        <f t="shared" si="25"/>
        <v>No</v>
      </c>
      <c r="AN110" t="str">
        <f t="shared" si="26"/>
        <v>Emergency</v>
      </c>
      <c r="AO110" t="str">
        <f t="shared" si="27"/>
        <v>ICU</v>
      </c>
    </row>
    <row r="111" spans="1:41" x14ac:dyDescent="0.3">
      <c r="A111" s="21" t="str">
        <f t="shared" si="20"/>
        <v>UHID-00110</v>
      </c>
      <c r="B111" s="18">
        <v>62</v>
      </c>
      <c r="C111" s="10" t="s">
        <v>18</v>
      </c>
      <c r="D111" s="13" t="s">
        <v>28</v>
      </c>
      <c r="E111" s="13" t="s">
        <v>6</v>
      </c>
      <c r="F111" s="15">
        <v>46188.800446377303</v>
      </c>
      <c r="G111" s="4">
        <v>46188</v>
      </c>
      <c r="H111" s="1">
        <v>46191.577205833302</v>
      </c>
      <c r="I111" s="22">
        <v>46191</v>
      </c>
      <c r="J111" s="24">
        <f t="shared" si="14"/>
        <v>46191.458825940143</v>
      </c>
      <c r="K111" s="24">
        <f t="shared" si="15"/>
        <v>0.57720583330228692</v>
      </c>
      <c r="L111" s="29">
        <f t="shared" si="21"/>
        <v>46190</v>
      </c>
      <c r="M111" s="27" t="str">
        <f t="shared" si="16"/>
        <v>Doctor Round Delay/Report Delay</v>
      </c>
      <c r="N111" s="31">
        <f t="shared" si="17"/>
        <v>3</v>
      </c>
      <c r="O111" s="27"/>
      <c r="Q111" s="8">
        <v>0.86822384221517324</v>
      </c>
      <c r="R111" s="8" t="str">
        <f t="shared" si="18"/>
        <v>Minor Delay</v>
      </c>
      <c r="S111" s="33">
        <v>2.8411174357953737</v>
      </c>
      <c r="T111" t="s">
        <v>31</v>
      </c>
      <c r="U111" s="3">
        <v>0</v>
      </c>
      <c r="V111" s="3" t="str">
        <f t="shared" si="22"/>
        <v>Normal</v>
      </c>
      <c r="W111" s="3" t="s">
        <v>51</v>
      </c>
      <c r="X111" s="32">
        <f t="shared" si="19"/>
        <v>0.11837989315972663</v>
      </c>
      <c r="Z111" s="38">
        <f t="shared" si="23"/>
        <v>0</v>
      </c>
      <c r="AC111" s="36">
        <v>0.125</v>
      </c>
      <c r="AL111" t="str">
        <f t="shared" si="24"/>
        <v>Doctor Round Delay/Report Delay</v>
      </c>
      <c r="AM111" t="str">
        <f t="shared" si="25"/>
        <v>No</v>
      </c>
      <c r="AN111" t="str">
        <f t="shared" si="26"/>
        <v>Emergency</v>
      </c>
      <c r="AO111" t="str">
        <f t="shared" si="27"/>
        <v>ICU</v>
      </c>
    </row>
    <row r="112" spans="1:41" x14ac:dyDescent="0.3">
      <c r="A112" s="21" t="str">
        <f t="shared" si="20"/>
        <v>UHID-00111</v>
      </c>
      <c r="B112" s="18">
        <v>74</v>
      </c>
      <c r="C112" s="10" t="s">
        <v>18</v>
      </c>
      <c r="D112" s="13" t="s">
        <v>27</v>
      </c>
      <c r="E112" s="13" t="s">
        <v>6</v>
      </c>
      <c r="F112" s="15">
        <v>46187.675367326403</v>
      </c>
      <c r="G112" s="4">
        <v>46187</v>
      </c>
      <c r="H112" s="1">
        <v>46191.572263784699</v>
      </c>
      <c r="I112" s="22">
        <v>46191</v>
      </c>
      <c r="J112" s="24">
        <f t="shared" si="14"/>
        <v>46191.50641706372</v>
      </c>
      <c r="K112" s="24">
        <f t="shared" si="15"/>
        <v>0.5722637846993166</v>
      </c>
      <c r="L112" s="29">
        <f t="shared" si="21"/>
        <v>46190</v>
      </c>
      <c r="M112" s="27" t="str">
        <f t="shared" si="16"/>
        <v>Normal</v>
      </c>
      <c r="N112" s="31">
        <f t="shared" si="17"/>
        <v>4</v>
      </c>
      <c r="O112" s="27"/>
      <c r="Q112" s="8">
        <v>0.44709801639105362</v>
      </c>
      <c r="R112" s="8" t="str">
        <f t="shared" si="18"/>
        <v>On Time</v>
      </c>
      <c r="S112" s="33">
        <v>1.5803213035545425</v>
      </c>
      <c r="T112" t="s">
        <v>31</v>
      </c>
      <c r="U112" s="3">
        <v>0</v>
      </c>
      <c r="V112" s="3" t="str">
        <f t="shared" si="22"/>
        <v>Normal</v>
      </c>
      <c r="W112" s="3" t="s">
        <v>51</v>
      </c>
      <c r="X112" s="32">
        <f t="shared" si="19"/>
        <v>6.5846720979607198E-2</v>
      </c>
      <c r="Z112" s="38">
        <f t="shared" si="23"/>
        <v>0</v>
      </c>
      <c r="AC112" s="36">
        <v>0.125</v>
      </c>
      <c r="AL112" t="str">
        <f t="shared" si="24"/>
        <v>Normal</v>
      </c>
      <c r="AM112" t="str">
        <f t="shared" si="25"/>
        <v>No</v>
      </c>
      <c r="AN112" t="str">
        <f t="shared" si="26"/>
        <v>Emergency</v>
      </c>
      <c r="AO112" t="str">
        <f t="shared" si="27"/>
        <v>ICU</v>
      </c>
    </row>
    <row r="113" spans="1:41" x14ac:dyDescent="0.3">
      <c r="A113" s="21" t="str">
        <f t="shared" si="20"/>
        <v>UHID-00112</v>
      </c>
      <c r="B113" s="18">
        <v>76</v>
      </c>
      <c r="C113" s="10" t="s">
        <v>18</v>
      </c>
      <c r="D113" s="13" t="s">
        <v>27</v>
      </c>
      <c r="E113" s="13" t="s">
        <v>6</v>
      </c>
      <c r="F113" s="15">
        <v>46191.389174479198</v>
      </c>
      <c r="G113" s="4">
        <v>46191</v>
      </c>
      <c r="H113" s="1">
        <v>46191.692502268503</v>
      </c>
      <c r="I113" s="22">
        <v>46191</v>
      </c>
      <c r="J113" s="24">
        <f t="shared" si="14"/>
        <v>46191.516146354305</v>
      </c>
      <c r="K113" s="24">
        <f t="shared" si="15"/>
        <v>0.69250226850272156</v>
      </c>
      <c r="L113" s="29">
        <f t="shared" si="21"/>
        <v>46190</v>
      </c>
      <c r="M113" s="27" t="str">
        <f t="shared" si="16"/>
        <v>Medication Change</v>
      </c>
      <c r="N113" s="31">
        <f t="shared" si="17"/>
        <v>0</v>
      </c>
      <c r="O113" s="27"/>
      <c r="Q113" s="8">
        <v>3.979499471734238E-2</v>
      </c>
      <c r="R113" s="8" t="str">
        <f t="shared" si="18"/>
        <v>Major Delay</v>
      </c>
      <c r="S113" s="33">
        <v>1.2325419407818154</v>
      </c>
      <c r="T113" t="s">
        <v>30</v>
      </c>
      <c r="U113" s="3">
        <v>3</v>
      </c>
      <c r="V113" s="3" t="str">
        <f t="shared" si="22"/>
        <v/>
      </c>
      <c r="W113" s="3" t="s">
        <v>50</v>
      </c>
      <c r="X113" s="32">
        <f t="shared" si="19"/>
        <v>0.17635591419821139</v>
      </c>
      <c r="Z113" s="38">
        <f t="shared" si="23"/>
        <v>5.1355914198211394E-2</v>
      </c>
      <c r="AC113" s="36">
        <v>0.125</v>
      </c>
      <c r="AL113" t="str">
        <f t="shared" si="24"/>
        <v>Medication Change</v>
      </c>
      <c r="AM113" t="str">
        <f t="shared" si="25"/>
        <v>No</v>
      </c>
      <c r="AN113" t="str">
        <f t="shared" si="26"/>
        <v>Elective</v>
      </c>
      <c r="AO113" t="str">
        <f t="shared" si="27"/>
        <v>ICU</v>
      </c>
    </row>
    <row r="114" spans="1:41" x14ac:dyDescent="0.3">
      <c r="A114" s="21" t="str">
        <f t="shared" si="20"/>
        <v>UHID-00113</v>
      </c>
      <c r="B114" s="18">
        <v>33</v>
      </c>
      <c r="C114" s="10" t="s">
        <v>17</v>
      </c>
      <c r="D114" s="13" t="s">
        <v>27</v>
      </c>
      <c r="E114" s="13" t="s">
        <v>6</v>
      </c>
      <c r="F114" s="15">
        <v>46191.542564548603</v>
      </c>
      <c r="G114" s="4">
        <v>46191</v>
      </c>
      <c r="H114" s="1">
        <v>46191.975752152801</v>
      </c>
      <c r="I114" s="22">
        <v>46191</v>
      </c>
      <c r="J114" s="24">
        <f t="shared" si="14"/>
        <v>46191.800972010315</v>
      </c>
      <c r="K114" s="24">
        <f t="shared" si="15"/>
        <v>0.97575215280085104</v>
      </c>
      <c r="L114" s="29">
        <f t="shared" si="21"/>
        <v>46190</v>
      </c>
      <c r="M114" s="27" t="str">
        <f t="shared" si="16"/>
        <v>Medication Change</v>
      </c>
      <c r="N114" s="31">
        <f t="shared" si="17"/>
        <v>0</v>
      </c>
      <c r="O114" s="27"/>
      <c r="Q114" s="8">
        <v>7.9650660940567497E-2</v>
      </c>
      <c r="R114" s="8" t="str">
        <f t="shared" si="18"/>
        <v>Major Delay</v>
      </c>
      <c r="S114" s="33">
        <v>1.1947234196395931</v>
      </c>
      <c r="T114" t="s">
        <v>30</v>
      </c>
      <c r="U114" s="3">
        <v>3</v>
      </c>
      <c r="V114" s="3" t="str">
        <f t="shared" si="22"/>
        <v/>
      </c>
      <c r="W114" s="3" t="s">
        <v>50</v>
      </c>
      <c r="X114" s="32">
        <f t="shared" si="19"/>
        <v>0.17478014248627005</v>
      </c>
      <c r="Z114" s="38">
        <f t="shared" si="23"/>
        <v>4.9780142486270051E-2</v>
      </c>
      <c r="AC114" s="36">
        <v>0.125</v>
      </c>
      <c r="AL114" t="str">
        <f t="shared" si="24"/>
        <v>Medication Change</v>
      </c>
      <c r="AM114" t="str">
        <f t="shared" si="25"/>
        <v>No</v>
      </c>
      <c r="AN114" t="str">
        <f t="shared" si="26"/>
        <v>Elective</v>
      </c>
      <c r="AO114" t="str">
        <f t="shared" si="27"/>
        <v>HDU</v>
      </c>
    </row>
    <row r="115" spans="1:41" x14ac:dyDescent="0.3">
      <c r="A115" s="21" t="str">
        <f t="shared" si="20"/>
        <v>UHID-00114</v>
      </c>
      <c r="B115" s="18">
        <v>66</v>
      </c>
      <c r="C115" s="10" t="s">
        <v>18</v>
      </c>
      <c r="D115" s="13" t="s">
        <v>26</v>
      </c>
      <c r="E115" s="13" t="s">
        <v>6</v>
      </c>
      <c r="F115" s="15">
        <v>46190.630076388901</v>
      </c>
      <c r="G115" s="4">
        <v>46190</v>
      </c>
      <c r="H115" s="1">
        <v>46192.650848321799</v>
      </c>
      <c r="I115" s="22">
        <v>46192</v>
      </c>
      <c r="J115" s="24">
        <f t="shared" si="14"/>
        <v>46192.514835323578</v>
      </c>
      <c r="K115" s="24">
        <f t="shared" si="15"/>
        <v>0.65084832179854857</v>
      </c>
      <c r="L115" s="29">
        <f t="shared" si="21"/>
        <v>46191</v>
      </c>
      <c r="M115" s="27" t="str">
        <f t="shared" si="16"/>
        <v>TPA Approval Delay</v>
      </c>
      <c r="N115" s="31">
        <f t="shared" si="17"/>
        <v>2</v>
      </c>
      <c r="O115" s="27"/>
      <c r="Q115" s="8">
        <v>0.50094218919463573</v>
      </c>
      <c r="R115" s="8" t="str">
        <f t="shared" si="18"/>
        <v>Major Delay</v>
      </c>
      <c r="S115" s="33">
        <v>3.2643119572120778</v>
      </c>
      <c r="T115" t="s">
        <v>31</v>
      </c>
      <c r="U115" s="3">
        <v>0</v>
      </c>
      <c r="V115" s="3" t="str">
        <f t="shared" si="22"/>
        <v>Normal</v>
      </c>
      <c r="W115" s="3" t="s">
        <v>51</v>
      </c>
      <c r="X115" s="32">
        <f t="shared" si="19"/>
        <v>0.13601299822039437</v>
      </c>
      <c r="Z115" s="38">
        <f t="shared" si="23"/>
        <v>1.1012998220394365E-2</v>
      </c>
      <c r="AC115" s="36">
        <v>0.125</v>
      </c>
      <c r="AL115" t="str">
        <f t="shared" si="24"/>
        <v>TPA Approval Delay</v>
      </c>
      <c r="AM115" t="str">
        <f t="shared" si="25"/>
        <v>No</v>
      </c>
      <c r="AN115" t="str">
        <f t="shared" si="26"/>
        <v>Elective</v>
      </c>
      <c r="AO115" t="str">
        <f t="shared" si="27"/>
        <v>HDU</v>
      </c>
    </row>
    <row r="116" spans="1:41" x14ac:dyDescent="0.3">
      <c r="A116" s="21" t="str">
        <f t="shared" si="20"/>
        <v>UHID-00115</v>
      </c>
      <c r="B116" s="18">
        <v>21</v>
      </c>
      <c r="C116" s="10" t="s">
        <v>18</v>
      </c>
      <c r="D116" s="13" t="s">
        <v>27</v>
      </c>
      <c r="E116" s="13" t="s">
        <v>6</v>
      </c>
      <c r="F116" s="15">
        <v>46186.528672534703</v>
      </c>
      <c r="G116" s="4">
        <v>46186</v>
      </c>
      <c r="H116" s="1">
        <v>46192.781999722203</v>
      </c>
      <c r="I116" s="22">
        <v>46192</v>
      </c>
      <c r="J116" s="24">
        <f t="shared" si="14"/>
        <v>46192.606719975898</v>
      </c>
      <c r="K116" s="24">
        <f t="shared" si="15"/>
        <v>0.78199972220318159</v>
      </c>
      <c r="L116" s="29">
        <f t="shared" si="21"/>
        <v>46191</v>
      </c>
      <c r="M116" s="27" t="str">
        <f t="shared" si="16"/>
        <v>Medication Change</v>
      </c>
      <c r="N116" s="31">
        <f t="shared" si="17"/>
        <v>6</v>
      </c>
      <c r="O116" s="27"/>
      <c r="Q116" s="8">
        <v>0.47222154845511388</v>
      </c>
      <c r="R116" s="8" t="str">
        <f t="shared" si="18"/>
        <v>Major Delay</v>
      </c>
      <c r="S116" s="33">
        <v>1.2067139113573915</v>
      </c>
      <c r="T116" t="s">
        <v>31</v>
      </c>
      <c r="U116" s="3">
        <v>3</v>
      </c>
      <c r="V116" s="3" t="str">
        <f t="shared" si="22"/>
        <v>Normal</v>
      </c>
      <c r="W116" s="3" t="s">
        <v>50</v>
      </c>
      <c r="X116" s="32">
        <f t="shared" si="19"/>
        <v>0.17527974630502285</v>
      </c>
      <c r="Z116" s="38">
        <f t="shared" si="23"/>
        <v>5.0279746305022854E-2</v>
      </c>
      <c r="AC116" s="36">
        <v>0.125</v>
      </c>
      <c r="AL116" t="str">
        <f t="shared" si="24"/>
        <v>Medication Change</v>
      </c>
      <c r="AM116" t="str">
        <f t="shared" si="25"/>
        <v>No</v>
      </c>
      <c r="AN116" t="str">
        <f t="shared" si="26"/>
        <v>Elective</v>
      </c>
      <c r="AO116" t="str">
        <f t="shared" si="27"/>
        <v>HDU</v>
      </c>
    </row>
    <row r="117" spans="1:41" x14ac:dyDescent="0.3">
      <c r="A117" s="21" t="str">
        <f t="shared" si="20"/>
        <v>UHID-00116</v>
      </c>
      <c r="B117" s="18">
        <v>50</v>
      </c>
      <c r="C117" s="10" t="s">
        <v>18</v>
      </c>
      <c r="D117" s="13" t="s">
        <v>28</v>
      </c>
      <c r="E117" s="13" t="s">
        <v>6</v>
      </c>
      <c r="F117" s="15">
        <v>46186.6870082639</v>
      </c>
      <c r="G117" s="4">
        <v>46186</v>
      </c>
      <c r="H117" s="1">
        <v>46192.6064581713</v>
      </c>
      <c r="I117" s="22">
        <v>46192</v>
      </c>
      <c r="J117" s="24">
        <f t="shared" si="14"/>
        <v>46192.520269263441</v>
      </c>
      <c r="K117" s="24">
        <f t="shared" si="15"/>
        <v>0.60645817129989155</v>
      </c>
      <c r="L117" s="29">
        <f t="shared" si="21"/>
        <v>46191</v>
      </c>
      <c r="M117" s="27" t="str">
        <f t="shared" si="16"/>
        <v>Doctor Round Delay/Report Delay</v>
      </c>
      <c r="N117" s="31">
        <f t="shared" si="17"/>
        <v>6</v>
      </c>
      <c r="O117" s="27"/>
      <c r="Q117" s="8">
        <v>0.89262850951295525</v>
      </c>
      <c r="R117" s="8" t="str">
        <f t="shared" si="18"/>
        <v>Minor Delay</v>
      </c>
      <c r="S117" s="33">
        <v>2.0685337886663673</v>
      </c>
      <c r="T117" t="s">
        <v>31</v>
      </c>
      <c r="U117" s="3">
        <v>0</v>
      </c>
      <c r="V117" s="3" t="str">
        <f t="shared" si="22"/>
        <v>Normal</v>
      </c>
      <c r="W117" s="3" t="s">
        <v>51</v>
      </c>
      <c r="X117" s="32">
        <f t="shared" si="19"/>
        <v>8.6188907858741004E-2</v>
      </c>
      <c r="Z117" s="38">
        <f t="shared" si="23"/>
        <v>0</v>
      </c>
      <c r="AC117" s="36">
        <v>0.125</v>
      </c>
      <c r="AL117" t="str">
        <f t="shared" si="24"/>
        <v>Doctor Round Delay/Report Delay</v>
      </c>
      <c r="AM117" t="str">
        <f t="shared" si="25"/>
        <v>No</v>
      </c>
      <c r="AN117" t="str">
        <f t="shared" si="26"/>
        <v>Elective</v>
      </c>
      <c r="AO117" t="str">
        <f t="shared" si="27"/>
        <v>HDU</v>
      </c>
    </row>
    <row r="118" spans="1:41" x14ac:dyDescent="0.3">
      <c r="A118" s="21" t="str">
        <f t="shared" si="20"/>
        <v>UHID-00117</v>
      </c>
      <c r="B118" s="18">
        <v>73</v>
      </c>
      <c r="C118" s="10" t="s">
        <v>17</v>
      </c>
      <c r="D118" s="13" t="s">
        <v>26</v>
      </c>
      <c r="E118" s="13" t="s">
        <v>6</v>
      </c>
      <c r="F118" s="15">
        <v>46188.7589693056</v>
      </c>
      <c r="G118" s="4">
        <v>46188</v>
      </c>
      <c r="H118" s="1">
        <v>46192.501587916697</v>
      </c>
      <c r="I118" s="22">
        <v>46192</v>
      </c>
      <c r="J118" s="24">
        <f t="shared" si="14"/>
        <v>46192.346020222089</v>
      </c>
      <c r="K118" s="24">
        <f t="shared" si="15"/>
        <v>0.50158791669673519</v>
      </c>
      <c r="L118" s="29">
        <f t="shared" si="21"/>
        <v>46191</v>
      </c>
      <c r="M118" s="27" t="str">
        <f t="shared" si="16"/>
        <v>TPA Approval Delay</v>
      </c>
      <c r="N118" s="31">
        <f t="shared" si="17"/>
        <v>4</v>
      </c>
      <c r="O118" s="27"/>
      <c r="Q118" s="8">
        <v>0.84517801130331638</v>
      </c>
      <c r="R118" s="8" t="str">
        <f t="shared" si="18"/>
        <v>Major Delay</v>
      </c>
      <c r="S118" s="33">
        <v>3.7336246705533696</v>
      </c>
      <c r="T118" t="s">
        <v>31</v>
      </c>
      <c r="U118" s="3">
        <v>0</v>
      </c>
      <c r="V118" s="3" t="str">
        <f t="shared" si="22"/>
        <v>Normal</v>
      </c>
      <c r="W118" s="3" t="s">
        <v>51</v>
      </c>
      <c r="X118" s="32">
        <f t="shared" si="19"/>
        <v>0.15556769460818032</v>
      </c>
      <c r="Z118" s="38">
        <f t="shared" si="23"/>
        <v>3.0567694608180318E-2</v>
      </c>
      <c r="AC118" s="36">
        <v>0.125</v>
      </c>
      <c r="AL118" t="str">
        <f t="shared" si="24"/>
        <v>TPA Approval Delay</v>
      </c>
      <c r="AM118" t="str">
        <f t="shared" si="25"/>
        <v>No</v>
      </c>
      <c r="AN118" t="str">
        <f t="shared" si="26"/>
        <v>Elective</v>
      </c>
      <c r="AO118" t="str">
        <f t="shared" si="27"/>
        <v>HDU</v>
      </c>
    </row>
    <row r="119" spans="1:41" x14ac:dyDescent="0.3">
      <c r="A119" s="21" t="str">
        <f t="shared" si="20"/>
        <v>UHID-00118</v>
      </c>
      <c r="B119" s="18">
        <v>36</v>
      </c>
      <c r="C119" s="10" t="s">
        <v>18</v>
      </c>
      <c r="D119" s="13" t="s">
        <v>26</v>
      </c>
      <c r="E119" s="13" t="s">
        <v>6</v>
      </c>
      <c r="F119" s="15">
        <v>46191.683895810202</v>
      </c>
      <c r="G119" s="4">
        <v>46191</v>
      </c>
      <c r="H119" s="1">
        <v>46192.564726527802</v>
      </c>
      <c r="I119" s="22">
        <v>46192</v>
      </c>
      <c r="J119" s="24">
        <f t="shared" si="14"/>
        <v>46192.426902848289</v>
      </c>
      <c r="K119" s="24">
        <f t="shared" si="15"/>
        <v>0.56472652780212229</v>
      </c>
      <c r="L119" s="29">
        <f t="shared" si="21"/>
        <v>46191</v>
      </c>
      <c r="M119" s="27" t="str">
        <f t="shared" si="16"/>
        <v>TPA Approval Delay</v>
      </c>
      <c r="N119" s="31">
        <f t="shared" si="17"/>
        <v>1</v>
      </c>
      <c r="O119" s="27"/>
      <c r="Q119" s="8">
        <v>0.62584313927070834</v>
      </c>
      <c r="R119" s="8" t="str">
        <f t="shared" si="18"/>
        <v>Major Delay</v>
      </c>
      <c r="S119" s="33">
        <v>3.3077683082607754</v>
      </c>
      <c r="T119" t="s">
        <v>31</v>
      </c>
      <c r="U119" s="3">
        <v>0</v>
      </c>
      <c r="V119" s="3" t="str">
        <f t="shared" si="22"/>
        <v>Normal</v>
      </c>
      <c r="W119" s="3" t="s">
        <v>51</v>
      </c>
      <c r="X119" s="32">
        <f t="shared" si="19"/>
        <v>0.13782367951353081</v>
      </c>
      <c r="Z119" s="38">
        <f t="shared" si="23"/>
        <v>1.2823679513530806E-2</v>
      </c>
      <c r="AC119" s="36">
        <v>0.125</v>
      </c>
      <c r="AL119" t="str">
        <f t="shared" si="24"/>
        <v>TPA Approval Delay</v>
      </c>
      <c r="AM119" t="str">
        <f t="shared" si="25"/>
        <v>No</v>
      </c>
      <c r="AN119" t="str">
        <f t="shared" si="26"/>
        <v>Elective</v>
      </c>
      <c r="AO119" t="str">
        <f t="shared" si="27"/>
        <v>General Ward</v>
      </c>
    </row>
    <row r="120" spans="1:41" x14ac:dyDescent="0.3">
      <c r="A120" s="21" t="str">
        <f t="shared" si="20"/>
        <v>UHID-00119</v>
      </c>
      <c r="B120" s="18">
        <v>74</v>
      </c>
      <c r="C120" s="10" t="s">
        <v>18</v>
      </c>
      <c r="D120" s="13" t="s">
        <v>27</v>
      </c>
      <c r="E120" s="13" t="s">
        <v>6</v>
      </c>
      <c r="F120" s="15">
        <v>46191.7734910648</v>
      </c>
      <c r="G120" s="4">
        <v>46191</v>
      </c>
      <c r="H120" s="1">
        <v>46192.666020613397</v>
      </c>
      <c r="I120" s="22">
        <v>46192</v>
      </c>
      <c r="J120" s="24">
        <f t="shared" si="14"/>
        <v>46192.607126749572</v>
      </c>
      <c r="K120" s="24">
        <f t="shared" si="15"/>
        <v>0.66602061339654028</v>
      </c>
      <c r="L120" s="29">
        <f t="shared" si="21"/>
        <v>46191</v>
      </c>
      <c r="M120" s="27" t="str">
        <f t="shared" si="16"/>
        <v>Normal</v>
      </c>
      <c r="N120" s="31">
        <f t="shared" si="17"/>
        <v>1</v>
      </c>
      <c r="O120" s="27"/>
      <c r="Q120" s="8">
        <v>9.4289863638940763E-2</v>
      </c>
      <c r="R120" s="8" t="str">
        <f t="shared" si="18"/>
        <v>On Time</v>
      </c>
      <c r="S120" s="33">
        <v>1.4134527317580159</v>
      </c>
      <c r="T120" t="s">
        <v>30</v>
      </c>
      <c r="U120" s="3">
        <v>0</v>
      </c>
      <c r="V120" s="3" t="str">
        <f t="shared" si="22"/>
        <v/>
      </c>
      <c r="W120" s="3" t="s">
        <v>51</v>
      </c>
      <c r="X120" s="32">
        <f t="shared" si="19"/>
        <v>5.8893863824778236E-2</v>
      </c>
      <c r="Z120" s="38">
        <f t="shared" si="23"/>
        <v>0</v>
      </c>
      <c r="AC120" s="36">
        <v>0.125</v>
      </c>
      <c r="AL120" t="str">
        <f t="shared" si="24"/>
        <v>Normal</v>
      </c>
      <c r="AM120" t="str">
        <f t="shared" si="25"/>
        <v>No</v>
      </c>
      <c r="AN120" t="str">
        <f t="shared" si="26"/>
        <v>Emergency</v>
      </c>
      <c r="AO120" t="str">
        <f t="shared" si="27"/>
        <v>ICU</v>
      </c>
    </row>
    <row r="121" spans="1:41" x14ac:dyDescent="0.3">
      <c r="A121" s="21" t="str">
        <f t="shared" si="20"/>
        <v>UHID-00120</v>
      </c>
      <c r="B121" s="18">
        <v>57</v>
      </c>
      <c r="C121" s="10" t="s">
        <v>18</v>
      </c>
      <c r="D121" s="13" t="s">
        <v>27</v>
      </c>
      <c r="E121" s="13" t="s">
        <v>6</v>
      </c>
      <c r="F121" s="15">
        <v>46192.403943240701</v>
      </c>
      <c r="G121" s="4">
        <v>46192</v>
      </c>
      <c r="H121" s="1">
        <v>46192.696261817102</v>
      </c>
      <c r="I121" s="22">
        <v>46192</v>
      </c>
      <c r="J121" s="24">
        <f t="shared" si="14"/>
        <v>46192.451486929887</v>
      </c>
      <c r="K121" s="24">
        <f t="shared" si="15"/>
        <v>0.69626181710191304</v>
      </c>
      <c r="L121" s="29">
        <f t="shared" si="21"/>
        <v>46191</v>
      </c>
      <c r="M121" s="27" t="str">
        <f t="shared" si="16"/>
        <v>Health Deterioration</v>
      </c>
      <c r="N121" s="31">
        <f t="shared" si="17"/>
        <v>0</v>
      </c>
      <c r="O121" s="27"/>
      <c r="Q121" s="8">
        <v>0.12547773926999528</v>
      </c>
      <c r="R121" s="8" t="str">
        <f t="shared" si="18"/>
        <v>Critical Delay</v>
      </c>
      <c r="S121" s="33">
        <v>1.8745972931229797</v>
      </c>
      <c r="T121" t="s">
        <v>30</v>
      </c>
      <c r="U121" s="3">
        <v>4</v>
      </c>
      <c r="V121" s="3" t="str">
        <f t="shared" si="22"/>
        <v/>
      </c>
      <c r="W121" s="3" t="s">
        <v>50</v>
      </c>
      <c r="X121" s="32">
        <f t="shared" si="19"/>
        <v>0.2447748872145894</v>
      </c>
      <c r="Z121" s="38">
        <f t="shared" si="23"/>
        <v>0.1197748872145894</v>
      </c>
      <c r="AC121" s="36">
        <v>0.125</v>
      </c>
      <c r="AL121" t="str">
        <f t="shared" si="24"/>
        <v>Health Deterioration</v>
      </c>
      <c r="AM121" t="str">
        <f t="shared" si="25"/>
        <v>No</v>
      </c>
      <c r="AN121" t="str">
        <f t="shared" si="26"/>
        <v>Emergency</v>
      </c>
      <c r="AO121" t="str">
        <f t="shared" si="27"/>
        <v>ICU</v>
      </c>
    </row>
    <row r="122" spans="1:41" x14ac:dyDescent="0.3">
      <c r="A122" s="21" t="str">
        <f t="shared" si="20"/>
        <v>UHID-00121</v>
      </c>
      <c r="B122" s="18">
        <v>54</v>
      </c>
      <c r="C122" s="10" t="s">
        <v>18</v>
      </c>
      <c r="D122" s="13" t="s">
        <v>27</v>
      </c>
      <c r="E122" s="13" t="s">
        <v>6</v>
      </c>
      <c r="F122" s="15">
        <v>46192.358753344903</v>
      </c>
      <c r="G122" s="4">
        <v>46192</v>
      </c>
      <c r="H122" s="1">
        <v>46192.7549709491</v>
      </c>
      <c r="I122" s="22">
        <v>46192</v>
      </c>
      <c r="J122" s="24">
        <f t="shared" si="14"/>
        <v>46192.507791781194</v>
      </c>
      <c r="K122" s="24">
        <f t="shared" si="15"/>
        <v>0.75497094909951556</v>
      </c>
      <c r="L122" s="29">
        <f t="shared" si="21"/>
        <v>46191</v>
      </c>
      <c r="M122" s="27" t="str">
        <f t="shared" si="16"/>
        <v>Health Deterioration</v>
      </c>
      <c r="N122" s="31">
        <f t="shared" si="17"/>
        <v>0</v>
      </c>
      <c r="O122" s="27"/>
      <c r="Q122" s="8">
        <v>0.2509200139099016</v>
      </c>
      <c r="R122" s="8" t="str">
        <f t="shared" si="18"/>
        <v>Critical Delay</v>
      </c>
      <c r="S122" s="33">
        <v>1.9323000297829722</v>
      </c>
      <c r="T122" t="s">
        <v>30</v>
      </c>
      <c r="U122" s="3">
        <v>4</v>
      </c>
      <c r="V122" s="3" t="str">
        <f t="shared" si="22"/>
        <v/>
      </c>
      <c r="W122" s="3" t="s">
        <v>50</v>
      </c>
      <c r="X122" s="32">
        <f t="shared" si="19"/>
        <v>0.24717916790541494</v>
      </c>
      <c r="Z122" s="38">
        <f t="shared" si="23"/>
        <v>0.12217916790541494</v>
      </c>
      <c r="AC122" s="36">
        <v>0.125</v>
      </c>
      <c r="AL122" t="str">
        <f t="shared" si="24"/>
        <v>Health Deterioration</v>
      </c>
      <c r="AM122" t="str">
        <f t="shared" si="25"/>
        <v>No</v>
      </c>
      <c r="AN122" t="str">
        <f t="shared" si="26"/>
        <v>Emergency</v>
      </c>
      <c r="AO122" t="str">
        <f t="shared" si="27"/>
        <v>ICU</v>
      </c>
    </row>
    <row r="123" spans="1:41" x14ac:dyDescent="0.3">
      <c r="A123" s="21" t="str">
        <f t="shared" si="20"/>
        <v>UHID-00122</v>
      </c>
      <c r="B123" s="18">
        <v>73</v>
      </c>
      <c r="C123" s="10" t="s">
        <v>17</v>
      </c>
      <c r="D123" s="13" t="s">
        <v>26</v>
      </c>
      <c r="E123" s="13" t="s">
        <v>6</v>
      </c>
      <c r="F123" s="15">
        <v>46192.561613252299</v>
      </c>
      <c r="G123" s="4">
        <v>46192</v>
      </c>
      <c r="H123" s="1">
        <v>46192.808383449097</v>
      </c>
      <c r="I123" s="22">
        <v>46192</v>
      </c>
      <c r="J123" s="24">
        <f t="shared" si="14"/>
        <v>46192.667840608869</v>
      </c>
      <c r="K123" s="24">
        <f t="shared" si="15"/>
        <v>0.80838344909716398</v>
      </c>
      <c r="L123" s="29">
        <f t="shared" si="21"/>
        <v>46191</v>
      </c>
      <c r="M123" s="27" t="str">
        <f t="shared" si="16"/>
        <v>TPA Approval Delay</v>
      </c>
      <c r="N123" s="31">
        <f t="shared" si="17"/>
        <v>0</v>
      </c>
      <c r="O123" s="27"/>
      <c r="Q123" s="8">
        <v>0.60086104743250202</v>
      </c>
      <c r="R123" s="8" t="str">
        <f t="shared" si="18"/>
        <v>Major Delay</v>
      </c>
      <c r="S123" s="33">
        <v>3.3730281655116134</v>
      </c>
      <c r="T123" t="s">
        <v>31</v>
      </c>
      <c r="U123" s="3">
        <v>0</v>
      </c>
      <c r="V123" s="3" t="str">
        <f t="shared" si="22"/>
        <v>Normal</v>
      </c>
      <c r="W123" s="3" t="s">
        <v>51</v>
      </c>
      <c r="X123" s="32">
        <f t="shared" si="19"/>
        <v>0.14054284022859065</v>
      </c>
      <c r="Z123" s="38">
        <f t="shared" si="23"/>
        <v>1.5542840228590649E-2</v>
      </c>
      <c r="AC123" s="36">
        <v>0.125</v>
      </c>
      <c r="AL123" t="str">
        <f t="shared" si="24"/>
        <v>TPA Approval Delay</v>
      </c>
      <c r="AM123" t="str">
        <f t="shared" si="25"/>
        <v>No</v>
      </c>
      <c r="AN123" t="str">
        <f t="shared" si="26"/>
        <v>Elective</v>
      </c>
      <c r="AO123" t="str">
        <f t="shared" si="27"/>
        <v>ICU</v>
      </c>
    </row>
    <row r="124" spans="1:41" x14ac:dyDescent="0.3">
      <c r="A124" s="21" t="str">
        <f t="shared" si="20"/>
        <v>UHID-00123</v>
      </c>
      <c r="B124" s="18">
        <v>38</v>
      </c>
      <c r="C124" s="10" t="s">
        <v>17</v>
      </c>
      <c r="D124" s="13" t="s">
        <v>26</v>
      </c>
      <c r="E124" s="13" t="s">
        <v>6</v>
      </c>
      <c r="F124" s="15">
        <v>46192.377699965298</v>
      </c>
      <c r="G124" s="4">
        <v>46192</v>
      </c>
      <c r="H124" s="1">
        <v>46192.7869697801</v>
      </c>
      <c r="I124" s="22">
        <v>46192</v>
      </c>
      <c r="J124" s="24">
        <f t="shared" si="14"/>
        <v>46192.62819006572</v>
      </c>
      <c r="K124" s="24">
        <f t="shared" si="15"/>
        <v>0.78696978009975282</v>
      </c>
      <c r="L124" s="29">
        <f t="shared" si="21"/>
        <v>46191</v>
      </c>
      <c r="M124" s="27" t="str">
        <f t="shared" si="16"/>
        <v>TPA Approval Delay</v>
      </c>
      <c r="N124" s="31">
        <f t="shared" si="17"/>
        <v>0</v>
      </c>
      <c r="O124" s="27"/>
      <c r="Q124" s="8">
        <v>0.55777358120681642</v>
      </c>
      <c r="R124" s="8" t="str">
        <f t="shared" si="18"/>
        <v>Major Delay</v>
      </c>
      <c r="S124" s="33">
        <v>3.8107131451666731</v>
      </c>
      <c r="T124" t="s">
        <v>31</v>
      </c>
      <c r="U124" s="3">
        <v>0</v>
      </c>
      <c r="V124" s="3" t="str">
        <f t="shared" si="22"/>
        <v>Normal</v>
      </c>
      <c r="W124" s="3" t="s">
        <v>51</v>
      </c>
      <c r="X124" s="32">
        <f t="shared" si="19"/>
        <v>0.15877971438021632</v>
      </c>
      <c r="Z124" s="38">
        <f t="shared" si="23"/>
        <v>3.3779714380216319E-2</v>
      </c>
      <c r="AC124" s="36">
        <v>0.125</v>
      </c>
      <c r="AL124" t="str">
        <f t="shared" si="24"/>
        <v>TPA Approval Delay</v>
      </c>
      <c r="AM124" t="str">
        <f t="shared" si="25"/>
        <v>No</v>
      </c>
      <c r="AN124" t="str">
        <f t="shared" si="26"/>
        <v>Elective</v>
      </c>
      <c r="AO124" t="str">
        <f t="shared" si="27"/>
        <v>HDU</v>
      </c>
    </row>
    <row r="125" spans="1:41" x14ac:dyDescent="0.3">
      <c r="A125" s="21" t="str">
        <f t="shared" si="20"/>
        <v>UHID-00124</v>
      </c>
      <c r="B125" s="18">
        <v>26</v>
      </c>
      <c r="C125" s="10" t="s">
        <v>18</v>
      </c>
      <c r="D125" s="13" t="s">
        <v>28</v>
      </c>
      <c r="E125" s="13" t="s">
        <v>6</v>
      </c>
      <c r="F125" s="15">
        <v>46192.696519479199</v>
      </c>
      <c r="G125" s="4">
        <v>46192</v>
      </c>
      <c r="H125" s="1">
        <v>46192.838252604197</v>
      </c>
      <c r="I125" s="22">
        <v>46192</v>
      </c>
      <c r="J125" s="24">
        <f t="shared" si="14"/>
        <v>46192.734407790609</v>
      </c>
      <c r="K125" s="24">
        <f t="shared" si="15"/>
        <v>0.83825260419689585</v>
      </c>
      <c r="L125" s="29">
        <f t="shared" si="21"/>
        <v>46191</v>
      </c>
      <c r="M125" s="27" t="str">
        <f t="shared" si="16"/>
        <v>Doctor Round Delay/Report Delay</v>
      </c>
      <c r="N125" s="31">
        <f t="shared" si="17"/>
        <v>0</v>
      </c>
      <c r="O125" s="27"/>
      <c r="Q125" s="8">
        <v>0.96899365077865485</v>
      </c>
      <c r="R125" s="8" t="str">
        <f t="shared" si="18"/>
        <v>Minor Delay</v>
      </c>
      <c r="S125" s="33">
        <v>2.4922755260503928</v>
      </c>
      <c r="T125" t="s">
        <v>31</v>
      </c>
      <c r="U125" s="3">
        <v>0</v>
      </c>
      <c r="V125" s="3" t="str">
        <f t="shared" si="22"/>
        <v>Normal</v>
      </c>
      <c r="W125" s="3" t="s">
        <v>51</v>
      </c>
      <c r="X125" s="32">
        <f t="shared" si="19"/>
        <v>0.1038448135877843</v>
      </c>
      <c r="Z125" s="38">
        <f t="shared" si="23"/>
        <v>0</v>
      </c>
      <c r="AC125" s="36">
        <v>0.125</v>
      </c>
      <c r="AL125" t="str">
        <f t="shared" si="24"/>
        <v>Doctor Round Delay/Report Delay</v>
      </c>
      <c r="AM125" t="str">
        <f t="shared" si="25"/>
        <v>No</v>
      </c>
      <c r="AN125" t="str">
        <f t="shared" si="26"/>
        <v>Elective</v>
      </c>
      <c r="AO125" t="str">
        <f t="shared" si="27"/>
        <v>HDU</v>
      </c>
    </row>
    <row r="126" spans="1:41" x14ac:dyDescent="0.3">
      <c r="A126" s="21" t="str">
        <f t="shared" si="20"/>
        <v>UHID-00125</v>
      </c>
      <c r="B126" s="18">
        <v>79</v>
      </c>
      <c r="C126" s="10" t="s">
        <v>18</v>
      </c>
      <c r="D126" s="13" t="s">
        <v>26</v>
      </c>
      <c r="E126" s="13" t="s">
        <v>6</v>
      </c>
      <c r="F126" s="15">
        <v>46191.840723703703</v>
      </c>
      <c r="G126" s="4">
        <v>46191</v>
      </c>
      <c r="H126" s="1">
        <v>46193.572629456001</v>
      </c>
      <c r="I126" s="22">
        <v>46193</v>
      </c>
      <c r="J126" s="24">
        <f t="shared" si="14"/>
        <v>46193.415766922881</v>
      </c>
      <c r="K126" s="24">
        <f t="shared" si="15"/>
        <v>0.57262945600086823</v>
      </c>
      <c r="L126" s="29">
        <f t="shared" si="21"/>
        <v>46192</v>
      </c>
      <c r="M126" s="27" t="str">
        <f t="shared" si="16"/>
        <v>TPA Approval Delay</v>
      </c>
      <c r="N126" s="31">
        <f t="shared" si="17"/>
        <v>2</v>
      </c>
      <c r="O126" s="27"/>
      <c r="Q126" s="8">
        <v>0.68087773382137817</v>
      </c>
      <c r="R126" s="8" t="str">
        <f t="shared" si="18"/>
        <v>Major Delay</v>
      </c>
      <c r="S126" s="33">
        <v>3.7647007948495661</v>
      </c>
      <c r="T126" t="s">
        <v>31</v>
      </c>
      <c r="U126" s="3">
        <v>0</v>
      </c>
      <c r="V126" s="3" t="str">
        <f t="shared" si="22"/>
        <v>Normal</v>
      </c>
      <c r="W126" s="3" t="s">
        <v>51</v>
      </c>
      <c r="X126" s="32">
        <f t="shared" si="19"/>
        <v>0.15686253312014742</v>
      </c>
      <c r="Z126" s="38">
        <f t="shared" si="23"/>
        <v>3.1862533120147418E-2</v>
      </c>
      <c r="AC126" s="36">
        <v>0.125</v>
      </c>
      <c r="AL126" t="str">
        <f t="shared" si="24"/>
        <v>TPA Approval Delay</v>
      </c>
      <c r="AM126" t="str">
        <f t="shared" si="25"/>
        <v>No</v>
      </c>
      <c r="AN126" t="str">
        <f t="shared" si="26"/>
        <v>Elective</v>
      </c>
      <c r="AO126" t="str">
        <f t="shared" si="27"/>
        <v>General Ward</v>
      </c>
    </row>
    <row r="127" spans="1:41" x14ac:dyDescent="0.3">
      <c r="A127" s="21" t="str">
        <f t="shared" si="20"/>
        <v>UHID-00126</v>
      </c>
      <c r="B127" s="18">
        <v>73</v>
      </c>
      <c r="C127" s="10" t="s">
        <v>17</v>
      </c>
      <c r="D127" s="13" t="s">
        <v>27</v>
      </c>
      <c r="E127" s="13" t="s">
        <v>6</v>
      </c>
      <c r="F127" s="15">
        <v>46192.568285405097</v>
      </c>
      <c r="G127" s="4">
        <v>46192</v>
      </c>
      <c r="H127" s="1">
        <v>46193.6505213657</v>
      </c>
      <c r="I127" s="22">
        <v>46193</v>
      </c>
      <c r="J127" s="24">
        <f t="shared" si="14"/>
        <v>46193.606111644694</v>
      </c>
      <c r="K127" s="24">
        <f t="shared" si="15"/>
        <v>0.65052136570011498</v>
      </c>
      <c r="L127" s="29">
        <f t="shared" si="21"/>
        <v>46192</v>
      </c>
      <c r="M127" s="27" t="str">
        <f t="shared" si="16"/>
        <v>Normal</v>
      </c>
      <c r="N127" s="31">
        <f t="shared" si="17"/>
        <v>1</v>
      </c>
      <c r="O127" s="27"/>
      <c r="Q127" s="8">
        <v>0.43916476542117111</v>
      </c>
      <c r="R127" s="8" t="str">
        <f t="shared" si="18"/>
        <v>On Time</v>
      </c>
      <c r="S127" s="33">
        <v>1.0658333040885712</v>
      </c>
      <c r="T127" t="s">
        <v>31</v>
      </c>
      <c r="U127" s="3">
        <v>0</v>
      </c>
      <c r="V127" s="3" t="str">
        <f t="shared" si="22"/>
        <v>Normal</v>
      </c>
      <c r="W127" s="3" t="s">
        <v>51</v>
      </c>
      <c r="X127" s="32">
        <f t="shared" si="19"/>
        <v>4.4409721005649772E-2</v>
      </c>
      <c r="Z127" s="38">
        <f t="shared" si="23"/>
        <v>0</v>
      </c>
      <c r="AC127" s="36">
        <v>0.125</v>
      </c>
      <c r="AL127" t="str">
        <f t="shared" si="24"/>
        <v>Normal</v>
      </c>
      <c r="AM127" t="str">
        <f t="shared" si="25"/>
        <v>No</v>
      </c>
      <c r="AN127" t="str">
        <f t="shared" si="26"/>
        <v>Elective</v>
      </c>
      <c r="AO127" t="str">
        <f t="shared" si="27"/>
        <v>General Ward</v>
      </c>
    </row>
    <row r="128" spans="1:41" x14ac:dyDescent="0.3">
      <c r="A128" s="21" t="str">
        <f t="shared" si="20"/>
        <v>UHID-00127</v>
      </c>
      <c r="B128" s="18">
        <v>68</v>
      </c>
      <c r="C128" s="10" t="s">
        <v>18</v>
      </c>
      <c r="D128" s="13" t="s">
        <v>26</v>
      </c>
      <c r="E128" s="13" t="s">
        <v>6</v>
      </c>
      <c r="F128" s="15">
        <v>46191.031556250004</v>
      </c>
      <c r="G128" s="4">
        <v>46191</v>
      </c>
      <c r="H128" s="1">
        <v>46193.466016203703</v>
      </c>
      <c r="I128" s="22">
        <v>46193</v>
      </c>
      <c r="J128" s="24">
        <f t="shared" si="14"/>
        <v>46193.325681635208</v>
      </c>
      <c r="K128" s="24">
        <f t="shared" si="15"/>
        <v>0.46601620370347518</v>
      </c>
      <c r="L128" s="29">
        <f t="shared" si="21"/>
        <v>46192</v>
      </c>
      <c r="M128" s="27" t="str">
        <f t="shared" si="16"/>
        <v>TPA Approval Delay</v>
      </c>
      <c r="N128" s="31">
        <f t="shared" si="17"/>
        <v>2</v>
      </c>
      <c r="O128" s="27"/>
      <c r="Q128" s="8">
        <v>0.77788240568371825</v>
      </c>
      <c r="R128" s="8" t="str">
        <f t="shared" si="18"/>
        <v>Major Delay</v>
      </c>
      <c r="S128" s="33">
        <v>3.368029643931163</v>
      </c>
      <c r="T128" t="s">
        <v>31</v>
      </c>
      <c r="U128" s="3">
        <v>0</v>
      </c>
      <c r="V128" s="3" t="str">
        <f t="shared" si="22"/>
        <v>Normal</v>
      </c>
      <c r="W128" s="3" t="s">
        <v>51</v>
      </c>
      <c r="X128" s="32">
        <f t="shared" si="19"/>
        <v>0.14033456849574577</v>
      </c>
      <c r="Z128" s="38">
        <f t="shared" si="23"/>
        <v>1.5334568495745771E-2</v>
      </c>
      <c r="AC128" s="36">
        <v>0.125</v>
      </c>
      <c r="AL128" t="str">
        <f t="shared" si="24"/>
        <v>TPA Approval Delay</v>
      </c>
      <c r="AM128" t="str">
        <f t="shared" si="25"/>
        <v>No</v>
      </c>
      <c r="AN128" t="str">
        <f t="shared" si="26"/>
        <v>Elective</v>
      </c>
      <c r="AO128" t="str">
        <f t="shared" si="27"/>
        <v>General Ward</v>
      </c>
    </row>
    <row r="129" spans="1:41" x14ac:dyDescent="0.3">
      <c r="A129" s="21" t="str">
        <f t="shared" si="20"/>
        <v>UHID-00128</v>
      </c>
      <c r="B129" s="18">
        <v>75</v>
      </c>
      <c r="C129" s="10" t="s">
        <v>18</v>
      </c>
      <c r="D129" s="13" t="s">
        <v>26</v>
      </c>
      <c r="E129" s="13" t="s">
        <v>6</v>
      </c>
      <c r="F129" s="15">
        <v>46193.419506909697</v>
      </c>
      <c r="G129" s="4">
        <v>46193</v>
      </c>
      <c r="H129" s="1">
        <v>46193.617404791701</v>
      </c>
      <c r="I129" s="22">
        <v>46193</v>
      </c>
      <c r="J129" s="24">
        <f t="shared" si="14"/>
        <v>46193.357662760034</v>
      </c>
      <c r="K129" s="24">
        <f t="shared" si="15"/>
        <v>0.61740479170111939</v>
      </c>
      <c r="L129" s="29">
        <f t="shared" si="21"/>
        <v>46192</v>
      </c>
      <c r="M129" s="27" t="str">
        <f t="shared" si="16"/>
        <v>Health Deterioration/TPA Approval Delay</v>
      </c>
      <c r="N129" s="31">
        <f t="shared" si="17"/>
        <v>0</v>
      </c>
      <c r="O129" s="27"/>
      <c r="Q129" s="8">
        <v>0.65255175889827266</v>
      </c>
      <c r="R129" s="8" t="str">
        <f t="shared" si="18"/>
        <v>Critical Delay</v>
      </c>
      <c r="S129" s="33">
        <v>3.2338087600171619</v>
      </c>
      <c r="T129" t="s">
        <v>31</v>
      </c>
      <c r="U129" s="3">
        <v>3</v>
      </c>
      <c r="V129" s="3" t="str">
        <f t="shared" si="22"/>
        <v>Normal</v>
      </c>
      <c r="W129" s="3" t="s">
        <v>50</v>
      </c>
      <c r="X129" s="32">
        <f t="shared" si="19"/>
        <v>0.25974203166697407</v>
      </c>
      <c r="Z129" s="38">
        <f t="shared" si="23"/>
        <v>0.13474203166697407</v>
      </c>
      <c r="AC129" s="36">
        <v>0.125</v>
      </c>
      <c r="AL129" t="str">
        <f t="shared" si="24"/>
        <v>Health Deterioration/TPA Approval Delay</v>
      </c>
      <c r="AM129" t="str">
        <f t="shared" si="25"/>
        <v>Yes</v>
      </c>
      <c r="AN129" t="str">
        <f t="shared" si="26"/>
        <v>Elective</v>
      </c>
      <c r="AO129" t="str">
        <f t="shared" si="27"/>
        <v>General Ward</v>
      </c>
    </row>
    <row r="130" spans="1:41" x14ac:dyDescent="0.3">
      <c r="A130" s="21" t="str">
        <f t="shared" si="20"/>
        <v>UHID-00129</v>
      </c>
      <c r="B130" s="18">
        <v>67</v>
      </c>
      <c r="C130" s="10" t="s">
        <v>18</v>
      </c>
      <c r="D130" s="13" t="s">
        <v>27</v>
      </c>
      <c r="E130" s="13" t="s">
        <v>6</v>
      </c>
      <c r="F130" s="15">
        <v>46193.402424155101</v>
      </c>
      <c r="G130" s="4">
        <v>46193</v>
      </c>
      <c r="H130" s="1">
        <v>46193.718327708302</v>
      </c>
      <c r="I130" s="22">
        <v>46193</v>
      </c>
      <c r="J130" s="24">
        <f t="shared" ref="J130:J193" si="28">I130+K130-((S130+U130)/24)</f>
        <v>46193.639117672421</v>
      </c>
      <c r="K130" s="24">
        <f t="shared" ref="K130:K193" si="29">MOD(H130,1)</f>
        <v>0.71832770830224035</v>
      </c>
      <c r="L130" s="29">
        <f t="shared" si="21"/>
        <v>46192</v>
      </c>
      <c r="M130" s="27" t="str">
        <f t="shared" ref="M130:M193" si="30">IF(X130="","",IF(X130&lt;=TIME(2,0,0),"Normal",IF(X130&lt;=TIME(3,0,0),IF(D130="CASH","Bill Settlement Delay","Doctor Round Delay/Report Delay"),IF(X130&lt;=TIME(5,0,0),IF(D130="TPA","TPA Approval Delay","Medication Change"),IF(D130="TPA","Health Deterioration/TPA Approval Delay","Health Deterioration")))))</f>
        <v>Normal</v>
      </c>
      <c r="N130" s="31">
        <f t="shared" ref="N130:N193" si="31">I130-G130</f>
        <v>0</v>
      </c>
      <c r="O130" s="27"/>
      <c r="Q130" s="8">
        <v>0.4888606418115039</v>
      </c>
      <c r="R130" s="8" t="str">
        <f t="shared" ref="R130:R193" si="32">IF(X130="","",IF(X130&lt;=TIME(2,0,0),"On Time",IF(X130&lt;=TIME(3,0,0),"Minor Delay",IF(X130&lt;=TIME(5,0,0),"Major Delay","Critical Delay"))))</f>
        <v>On Time</v>
      </c>
      <c r="S130" s="33">
        <v>1.9010408611447838</v>
      </c>
      <c r="T130" t="s">
        <v>31</v>
      </c>
      <c r="U130" s="3">
        <v>0</v>
      </c>
      <c r="V130" s="3" t="str">
        <f t="shared" si="22"/>
        <v>Normal</v>
      </c>
      <c r="W130" s="3" t="s">
        <v>51</v>
      </c>
      <c r="X130" s="32">
        <f t="shared" ref="X130:X193" si="33">MOD(K130-J130,1)</f>
        <v>7.921003588126041E-2</v>
      </c>
      <c r="Z130" s="38">
        <f t="shared" si="23"/>
        <v>0</v>
      </c>
      <c r="AC130" s="36">
        <v>0.125</v>
      </c>
      <c r="AL130" t="str">
        <f t="shared" si="24"/>
        <v>Normal</v>
      </c>
      <c r="AM130" t="str">
        <f t="shared" si="25"/>
        <v>No</v>
      </c>
      <c r="AN130" t="str">
        <f t="shared" si="26"/>
        <v>Emergency</v>
      </c>
      <c r="AO130" t="str">
        <f t="shared" si="27"/>
        <v>ICU</v>
      </c>
    </row>
    <row r="131" spans="1:41" x14ac:dyDescent="0.3">
      <c r="A131" s="21" t="str">
        <f t="shared" ref="A131:A194" si="34">"UHID-"&amp;TEXT(ROW(A131)-1,"00000")</f>
        <v>UHID-00130</v>
      </c>
      <c r="B131" s="18">
        <v>50</v>
      </c>
      <c r="C131" s="10" t="s">
        <v>18</v>
      </c>
      <c r="D131" s="13" t="s">
        <v>27</v>
      </c>
      <c r="E131" s="13" t="s">
        <v>6</v>
      </c>
      <c r="F131" s="15">
        <v>46192.901396226902</v>
      </c>
      <c r="G131" s="4">
        <v>46192</v>
      </c>
      <c r="H131" s="1">
        <v>46195.590338287002</v>
      </c>
      <c r="I131" s="22">
        <v>46195</v>
      </c>
      <c r="J131" s="24">
        <f t="shared" si="28"/>
        <v>46195.511321573533</v>
      </c>
      <c r="K131" s="24">
        <f t="shared" si="29"/>
        <v>0.59033828700194135</v>
      </c>
      <c r="L131" s="29">
        <f t="shared" ref="L131:L194" si="35">IF(J131&gt;MOD(H131,1),INT(H131)-1,INT(H131))</f>
        <v>46194</v>
      </c>
      <c r="M131" s="27" t="str">
        <f t="shared" si="30"/>
        <v>Normal</v>
      </c>
      <c r="N131" s="31">
        <f t="shared" si="31"/>
        <v>3</v>
      </c>
      <c r="O131" s="27"/>
      <c r="Q131" s="8">
        <v>0.24918917227295656</v>
      </c>
      <c r="R131" s="8" t="str">
        <f t="shared" si="32"/>
        <v>On Time</v>
      </c>
      <c r="S131" s="33">
        <v>1.8964011232336011</v>
      </c>
      <c r="T131" t="s">
        <v>30</v>
      </c>
      <c r="U131" s="3">
        <v>0</v>
      </c>
      <c r="V131" s="3" t="str">
        <f t="shared" ref="V131:V194" si="36">IF(T131="NO","Normal","")</f>
        <v/>
      </c>
      <c r="W131" s="3" t="s">
        <v>51</v>
      </c>
      <c r="X131" s="32">
        <f t="shared" si="33"/>
        <v>7.9016713469172828E-2</v>
      </c>
      <c r="Z131" s="38">
        <f t="shared" ref="Z131:Z194" si="37">IF(X131 &gt; TIME(3,0,0), X131 - TIME(3,0,0), 0)</f>
        <v>0</v>
      </c>
      <c r="AC131" s="36">
        <v>0.125</v>
      </c>
      <c r="AL131" t="str">
        <f t="shared" ref="AL131:AL194" si="38">IF(X131="","",IF(X131&lt;=TIME(2,0,0),"Normal",IF(X131&lt;=TIME(3,0,0),IF(D131="CASH","Bill Settlement Delay","Doctor Round Delay/Report Delay"),IF(Z131&lt;=TIME(2,0,0),IF(D131="TPA","TPA Approval Delay","Medication Change"),IF(D131="TPA","Health Deterioration/TPA Approval Delay","Health Deterioration")))))</f>
        <v>Normal</v>
      </c>
      <c r="AM131" t="str">
        <f t="shared" ref="AM131:AM194" si="39">IF(OR(AND(B131&gt;65, R131="Critical Delay"), N131&gt;10), "Yes", "No")</f>
        <v>No</v>
      </c>
      <c r="AN131" t="str">
        <f t="shared" ref="AN131:AN194" si="40">IF(E131="Cardiology &amp; Cardiothoracic", IF(MOD(ROW(),10)&lt;3, "Emergency", "Elective"), IF(E131="Neurology &amp; Neurosurgery", IF(MOD(ROW(),10)&lt;4, "Emergency", "Elective"), IF(D131="COR", IF(MOD(ROW(),20)&lt;7, "Emergency", "Elective"), IF(OR(R131="Critical Delay", N131&gt;=7), "Emergency", "Elective"))))</f>
        <v>Emergency</v>
      </c>
      <c r="AO131" t="str">
        <f t="shared" ref="AO131:AO194" si="41">IF(OR(N131&gt;6, AND(E131="Cardiology &amp; Cardiothoracic", MOD(ROW(),10)&lt;4), AND(E131="Neurology &amp; Neurosurgery", MOD(ROW(),10)&lt;6)), "ICU", IF(OR(N131&gt;3, AND(E131="Cardiology &amp; Cardiothoracic", MOD(ROW(),10)&lt;6), E131="Neurology &amp; Neurosurgery"), "HDU", "General Ward"))</f>
        <v>ICU</v>
      </c>
    </row>
    <row r="132" spans="1:41" x14ac:dyDescent="0.3">
      <c r="A132" s="21" t="str">
        <f t="shared" si="34"/>
        <v>UHID-00131</v>
      </c>
      <c r="B132" s="18">
        <v>44</v>
      </c>
      <c r="C132" s="10" t="s">
        <v>18</v>
      </c>
      <c r="D132" s="13" t="s">
        <v>26</v>
      </c>
      <c r="E132" s="13" t="s">
        <v>6</v>
      </c>
      <c r="F132" s="15">
        <v>46193.549872338001</v>
      </c>
      <c r="G132" s="4">
        <v>46193</v>
      </c>
      <c r="H132" s="1">
        <v>46195.621609062502</v>
      </c>
      <c r="I132" s="22">
        <v>46195</v>
      </c>
      <c r="J132" s="24">
        <f t="shared" si="28"/>
        <v>46195.252550905614</v>
      </c>
      <c r="K132" s="24">
        <f t="shared" si="29"/>
        <v>0.62160906250210246</v>
      </c>
      <c r="L132" s="29">
        <f t="shared" si="35"/>
        <v>46194</v>
      </c>
      <c r="M132" s="27" t="str">
        <f t="shared" si="30"/>
        <v>Health Deterioration/TPA Approval Delay</v>
      </c>
      <c r="N132" s="31">
        <f t="shared" si="31"/>
        <v>2</v>
      </c>
      <c r="O132" s="27"/>
      <c r="Q132" s="8">
        <v>0.67958923216004419</v>
      </c>
      <c r="R132" s="8" t="str">
        <f t="shared" si="32"/>
        <v>Critical Delay</v>
      </c>
      <c r="S132" s="33">
        <v>3.8573957653330084</v>
      </c>
      <c r="T132" t="s">
        <v>31</v>
      </c>
      <c r="U132" s="3">
        <v>5</v>
      </c>
      <c r="V132" s="3" t="str">
        <f t="shared" si="36"/>
        <v>Normal</v>
      </c>
      <c r="W132" s="3" t="s">
        <v>52</v>
      </c>
      <c r="X132" s="32">
        <f t="shared" si="33"/>
        <v>0.36905815688805887</v>
      </c>
      <c r="Z132" s="38">
        <f t="shared" si="37"/>
        <v>0.24405815688805887</v>
      </c>
      <c r="AC132" s="36">
        <v>0.125</v>
      </c>
      <c r="AL132" t="str">
        <f t="shared" si="38"/>
        <v>Health Deterioration/TPA Approval Delay</v>
      </c>
      <c r="AM132" t="str">
        <f t="shared" si="39"/>
        <v>No</v>
      </c>
      <c r="AN132" t="str">
        <f t="shared" si="40"/>
        <v>Emergency</v>
      </c>
      <c r="AO132" t="str">
        <f t="shared" si="41"/>
        <v>ICU</v>
      </c>
    </row>
    <row r="133" spans="1:41" x14ac:dyDescent="0.3">
      <c r="A133" s="21" t="str">
        <f t="shared" si="34"/>
        <v>UHID-00132</v>
      </c>
      <c r="B133" s="18">
        <v>95</v>
      </c>
      <c r="C133" s="10" t="s">
        <v>17</v>
      </c>
      <c r="D133" s="13" t="s">
        <v>26</v>
      </c>
      <c r="E133" s="13" t="s">
        <v>6</v>
      </c>
      <c r="F133" s="15">
        <v>46194.8552367593</v>
      </c>
      <c r="G133" s="4">
        <v>46194</v>
      </c>
      <c r="H133" s="1">
        <v>46195.615401354196</v>
      </c>
      <c r="I133" s="22">
        <v>46195</v>
      </c>
      <c r="J133" s="24">
        <f t="shared" si="28"/>
        <v>46195.45323213892</v>
      </c>
      <c r="K133" s="24">
        <f t="shared" si="29"/>
        <v>0.61540135419636499</v>
      </c>
      <c r="L133" s="29">
        <f t="shared" si="35"/>
        <v>46194</v>
      </c>
      <c r="M133" s="27" t="str">
        <f t="shared" si="30"/>
        <v>TPA Approval Delay</v>
      </c>
      <c r="N133" s="31">
        <f t="shared" si="31"/>
        <v>1</v>
      </c>
      <c r="O133" s="27"/>
      <c r="Q133" s="8">
        <v>0.61031729595182727</v>
      </c>
      <c r="R133" s="8" t="str">
        <f t="shared" si="32"/>
        <v>Major Delay</v>
      </c>
      <c r="S133" s="33">
        <v>3.8920611666269767</v>
      </c>
      <c r="T133" t="s">
        <v>31</v>
      </c>
      <c r="U133" s="3">
        <v>0</v>
      </c>
      <c r="V133" s="3" t="str">
        <f t="shared" si="36"/>
        <v>Normal</v>
      </c>
      <c r="W133" s="3" t="s">
        <v>51</v>
      </c>
      <c r="X133" s="32">
        <f t="shared" si="33"/>
        <v>0.16216921527666273</v>
      </c>
      <c r="Z133" s="38">
        <f t="shared" si="37"/>
        <v>3.7169215276662726E-2</v>
      </c>
      <c r="AC133" s="36">
        <v>0.125</v>
      </c>
      <c r="AL133" t="str">
        <f t="shared" si="38"/>
        <v>TPA Approval Delay</v>
      </c>
      <c r="AM133" t="str">
        <f t="shared" si="39"/>
        <v>No</v>
      </c>
      <c r="AN133" t="str">
        <f t="shared" si="40"/>
        <v>Elective</v>
      </c>
      <c r="AO133" t="str">
        <f t="shared" si="41"/>
        <v>ICU</v>
      </c>
    </row>
    <row r="134" spans="1:41" x14ac:dyDescent="0.3">
      <c r="A134" s="21" t="str">
        <f t="shared" si="34"/>
        <v>UHID-00133</v>
      </c>
      <c r="B134" s="18">
        <v>65</v>
      </c>
      <c r="C134" s="10" t="s">
        <v>18</v>
      </c>
      <c r="D134" s="13" t="s">
        <v>26</v>
      </c>
      <c r="E134" s="13" t="s">
        <v>6</v>
      </c>
      <c r="F134" s="15">
        <v>46195.600051203699</v>
      </c>
      <c r="G134" s="4">
        <v>46195</v>
      </c>
      <c r="H134" s="1">
        <v>46195.746871319403</v>
      </c>
      <c r="I134" s="22">
        <v>46195</v>
      </c>
      <c r="J134" s="24">
        <f t="shared" si="28"/>
        <v>46195.355534638089</v>
      </c>
      <c r="K134" s="24">
        <f t="shared" si="29"/>
        <v>0.74687131940299878</v>
      </c>
      <c r="L134" s="29">
        <f t="shared" si="35"/>
        <v>46194</v>
      </c>
      <c r="M134" s="27" t="str">
        <f t="shared" si="30"/>
        <v>Health Deterioration/TPA Approval Delay</v>
      </c>
      <c r="N134" s="31">
        <f t="shared" si="31"/>
        <v>0</v>
      </c>
      <c r="O134" s="27"/>
      <c r="Q134" s="8">
        <v>0.74906253252859067</v>
      </c>
      <c r="R134" s="8" t="str">
        <f t="shared" si="32"/>
        <v>Critical Delay</v>
      </c>
      <c r="S134" s="33">
        <v>3.3920803514934472</v>
      </c>
      <c r="T134" t="s">
        <v>31</v>
      </c>
      <c r="U134" s="3">
        <v>6</v>
      </c>
      <c r="V134" s="3" t="str">
        <f t="shared" si="36"/>
        <v>Normal</v>
      </c>
      <c r="W134" s="3" t="s">
        <v>52</v>
      </c>
      <c r="X134" s="32">
        <f t="shared" si="33"/>
        <v>0.39133668131398736</v>
      </c>
      <c r="Z134" s="38">
        <f t="shared" si="37"/>
        <v>0.26633668131398736</v>
      </c>
      <c r="AC134" s="36">
        <v>0.125</v>
      </c>
      <c r="AL134" t="str">
        <f t="shared" si="38"/>
        <v>Health Deterioration/TPA Approval Delay</v>
      </c>
      <c r="AM134" t="str">
        <f t="shared" si="39"/>
        <v>No</v>
      </c>
      <c r="AN134" t="str">
        <f t="shared" si="40"/>
        <v>Elective</v>
      </c>
      <c r="AO134" t="str">
        <f t="shared" si="41"/>
        <v>HDU</v>
      </c>
    </row>
    <row r="135" spans="1:41" x14ac:dyDescent="0.3">
      <c r="A135" s="21" t="str">
        <f t="shared" si="34"/>
        <v>UHID-00134</v>
      </c>
      <c r="B135" s="18">
        <v>65</v>
      </c>
      <c r="C135" s="10" t="s">
        <v>18</v>
      </c>
      <c r="D135" s="13" t="s">
        <v>27</v>
      </c>
      <c r="E135" s="13" t="s">
        <v>6</v>
      </c>
      <c r="F135" s="15">
        <v>46195.431749583302</v>
      </c>
      <c r="G135" s="4">
        <v>46195</v>
      </c>
      <c r="H135" s="1">
        <v>46195.747177615704</v>
      </c>
      <c r="I135" s="22">
        <v>46195</v>
      </c>
      <c r="J135" s="24">
        <f t="shared" si="28"/>
        <v>46195.678740625444</v>
      </c>
      <c r="K135" s="24">
        <f t="shared" si="29"/>
        <v>0.74717761570354924</v>
      </c>
      <c r="L135" s="29">
        <f t="shared" si="35"/>
        <v>46194</v>
      </c>
      <c r="M135" s="27" t="str">
        <f t="shared" si="30"/>
        <v>Normal</v>
      </c>
      <c r="N135" s="31">
        <f t="shared" si="31"/>
        <v>0</v>
      </c>
      <c r="O135" s="27"/>
      <c r="Q135" s="8">
        <v>0.4044781328213557</v>
      </c>
      <c r="R135" s="8" t="str">
        <f t="shared" si="32"/>
        <v>On Time</v>
      </c>
      <c r="S135" s="33">
        <v>1.6424877662972119</v>
      </c>
      <c r="T135" t="s">
        <v>31</v>
      </c>
      <c r="U135" s="3">
        <v>0</v>
      </c>
      <c r="V135" s="3" t="str">
        <f t="shared" si="36"/>
        <v>Normal</v>
      </c>
      <c r="W135" s="3" t="s">
        <v>51</v>
      </c>
      <c r="X135" s="32">
        <f t="shared" si="33"/>
        <v>6.8436990259215236E-2</v>
      </c>
      <c r="Z135" s="38">
        <f t="shared" si="37"/>
        <v>0</v>
      </c>
      <c r="AC135" s="36">
        <v>0.125</v>
      </c>
      <c r="AL135" t="str">
        <f t="shared" si="38"/>
        <v>Normal</v>
      </c>
      <c r="AM135" t="str">
        <f t="shared" si="39"/>
        <v>No</v>
      </c>
      <c r="AN135" t="str">
        <f t="shared" si="40"/>
        <v>Elective</v>
      </c>
      <c r="AO135" t="str">
        <f t="shared" si="41"/>
        <v>HDU</v>
      </c>
    </row>
    <row r="136" spans="1:41" x14ac:dyDescent="0.3">
      <c r="A136" s="21" t="str">
        <f t="shared" si="34"/>
        <v>UHID-00135</v>
      </c>
      <c r="B136" s="18">
        <v>70</v>
      </c>
      <c r="C136" s="10" t="s">
        <v>18</v>
      </c>
      <c r="D136" s="13" t="s">
        <v>26</v>
      </c>
      <c r="E136" s="13" t="s">
        <v>6</v>
      </c>
      <c r="F136" s="15">
        <v>46194.739745439801</v>
      </c>
      <c r="G136" s="4">
        <v>46194</v>
      </c>
      <c r="H136" s="1">
        <v>46196.055555555598</v>
      </c>
      <c r="I136" s="22">
        <v>46196</v>
      </c>
      <c r="J136" s="24">
        <f t="shared" si="28"/>
        <v>46195.815849871185</v>
      </c>
      <c r="K136" s="24">
        <f t="shared" si="29"/>
        <v>5.5555555598402862E-2</v>
      </c>
      <c r="L136" s="29">
        <f t="shared" si="35"/>
        <v>46195</v>
      </c>
      <c r="M136" s="27" t="str">
        <f t="shared" si="30"/>
        <v>Health Deterioration/TPA Approval Delay</v>
      </c>
      <c r="N136" s="31">
        <f t="shared" si="31"/>
        <v>2</v>
      </c>
      <c r="O136" s="27"/>
      <c r="Q136" s="8">
        <v>0.79182443747710474</v>
      </c>
      <c r="R136" s="8" t="str">
        <f t="shared" si="32"/>
        <v>Critical Delay</v>
      </c>
      <c r="S136" s="33">
        <v>3.7529364259921074</v>
      </c>
      <c r="T136" t="s">
        <v>31</v>
      </c>
      <c r="U136" s="3">
        <v>2</v>
      </c>
      <c r="V136" s="3" t="str">
        <f t="shared" si="36"/>
        <v>Normal</v>
      </c>
      <c r="W136" s="3" t="s">
        <v>50</v>
      </c>
      <c r="X136" s="32">
        <f t="shared" si="33"/>
        <v>0.23970568441291107</v>
      </c>
      <c r="Z136" s="38">
        <f t="shared" si="37"/>
        <v>0.11470568441291107</v>
      </c>
      <c r="AC136" s="36">
        <v>0.125</v>
      </c>
      <c r="AL136" t="str">
        <f t="shared" si="38"/>
        <v>Health Deterioration/TPA Approval Delay</v>
      </c>
      <c r="AM136" t="str">
        <f t="shared" si="39"/>
        <v>Yes</v>
      </c>
      <c r="AN136" t="str">
        <f t="shared" si="40"/>
        <v>Elective</v>
      </c>
      <c r="AO136" t="str">
        <f t="shared" si="41"/>
        <v>General Ward</v>
      </c>
    </row>
    <row r="137" spans="1:41" x14ac:dyDescent="0.3">
      <c r="A137" s="21" t="str">
        <f t="shared" si="34"/>
        <v>UHID-00136</v>
      </c>
      <c r="B137" s="18">
        <v>56</v>
      </c>
      <c r="C137" s="10" t="s">
        <v>17</v>
      </c>
      <c r="D137" s="13" t="s">
        <v>27</v>
      </c>
      <c r="E137" s="13" t="s">
        <v>6</v>
      </c>
      <c r="F137" s="15">
        <v>46196.382707037003</v>
      </c>
      <c r="G137" s="4">
        <v>46196</v>
      </c>
      <c r="H137" s="1">
        <v>46196.636362395802</v>
      </c>
      <c r="I137" s="22">
        <v>46196</v>
      </c>
      <c r="J137" s="24">
        <f t="shared" si="28"/>
        <v>46196.300796589152</v>
      </c>
      <c r="K137" s="24">
        <f t="shared" si="29"/>
        <v>0.63636239580227993</v>
      </c>
      <c r="L137" s="29">
        <f t="shared" si="35"/>
        <v>46195</v>
      </c>
      <c r="M137" s="27" t="str">
        <f t="shared" si="30"/>
        <v>Health Deterioration</v>
      </c>
      <c r="N137" s="31">
        <f t="shared" si="31"/>
        <v>0</v>
      </c>
      <c r="O137" s="27"/>
      <c r="Q137" s="8">
        <v>4.0377201275363706E-2</v>
      </c>
      <c r="R137" s="8" t="str">
        <f t="shared" si="32"/>
        <v>Critical Delay</v>
      </c>
      <c r="S137" s="33">
        <v>1.0535793596816081</v>
      </c>
      <c r="T137" t="s">
        <v>30</v>
      </c>
      <c r="U137" s="3">
        <v>7</v>
      </c>
      <c r="V137" s="3" t="str">
        <f t="shared" si="36"/>
        <v/>
      </c>
      <c r="W137" s="3" t="s">
        <v>52</v>
      </c>
      <c r="X137" s="32">
        <f t="shared" si="33"/>
        <v>0.33556580665026559</v>
      </c>
      <c r="Z137" s="38">
        <f t="shared" si="37"/>
        <v>0.21056580665026559</v>
      </c>
      <c r="AC137" s="36">
        <v>0.125</v>
      </c>
      <c r="AL137" t="str">
        <f t="shared" si="38"/>
        <v>Health Deterioration</v>
      </c>
      <c r="AM137" t="str">
        <f t="shared" si="39"/>
        <v>No</v>
      </c>
      <c r="AN137" t="str">
        <f t="shared" si="40"/>
        <v>Elective</v>
      </c>
      <c r="AO137" t="str">
        <f t="shared" si="41"/>
        <v>General Ward</v>
      </c>
    </row>
    <row r="138" spans="1:41" x14ac:dyDescent="0.3">
      <c r="A138" s="21" t="str">
        <f t="shared" si="34"/>
        <v>UHID-00137</v>
      </c>
      <c r="B138" s="18">
        <v>64</v>
      </c>
      <c r="C138" s="10" t="s">
        <v>17</v>
      </c>
      <c r="D138" s="13" t="s">
        <v>27</v>
      </c>
      <c r="E138" s="13" t="s">
        <v>6</v>
      </c>
      <c r="F138" s="15">
        <v>46196.480309560196</v>
      </c>
      <c r="G138" s="4">
        <v>46196</v>
      </c>
      <c r="H138" s="1">
        <v>46196.701690208298</v>
      </c>
      <c r="I138" s="22">
        <v>46196</v>
      </c>
      <c r="J138" s="24">
        <f t="shared" si="28"/>
        <v>46196.657571824959</v>
      </c>
      <c r="K138" s="24">
        <f t="shared" si="29"/>
        <v>0.70169020829780493</v>
      </c>
      <c r="L138" s="29">
        <f t="shared" si="35"/>
        <v>46195</v>
      </c>
      <c r="M138" s="27" t="str">
        <f t="shared" si="30"/>
        <v>Normal</v>
      </c>
      <c r="N138" s="31">
        <f t="shared" si="31"/>
        <v>0</v>
      </c>
      <c r="O138" s="27"/>
      <c r="Q138" s="8">
        <v>0.24860612046268094</v>
      </c>
      <c r="R138" s="8" t="str">
        <f t="shared" si="32"/>
        <v>On Time</v>
      </c>
      <c r="S138" s="33">
        <v>1.0588412000597263</v>
      </c>
      <c r="T138" t="s">
        <v>30</v>
      </c>
      <c r="U138" s="3">
        <v>0</v>
      </c>
      <c r="V138" s="3" t="str">
        <f t="shared" si="36"/>
        <v/>
      </c>
      <c r="W138" s="3" t="s">
        <v>51</v>
      </c>
      <c r="X138" s="32">
        <f t="shared" si="33"/>
        <v>4.4118383339082357E-2</v>
      </c>
      <c r="Z138" s="38">
        <f t="shared" si="37"/>
        <v>0</v>
      </c>
      <c r="AC138" s="36">
        <v>0.125</v>
      </c>
      <c r="AL138" t="str">
        <f t="shared" si="38"/>
        <v>Normal</v>
      </c>
      <c r="AM138" t="str">
        <f t="shared" si="39"/>
        <v>No</v>
      </c>
      <c r="AN138" t="str">
        <f t="shared" si="40"/>
        <v>Elective</v>
      </c>
      <c r="AO138" t="str">
        <f t="shared" si="41"/>
        <v>General Ward</v>
      </c>
    </row>
    <row r="139" spans="1:41" x14ac:dyDescent="0.3">
      <c r="A139" s="21" t="str">
        <f t="shared" si="34"/>
        <v>UHID-00138</v>
      </c>
      <c r="B139" s="18">
        <v>44</v>
      </c>
      <c r="C139" s="10" t="s">
        <v>18</v>
      </c>
      <c r="D139" s="13" t="s">
        <v>27</v>
      </c>
      <c r="E139" s="13" t="s">
        <v>6</v>
      </c>
      <c r="F139" s="15">
        <v>46196.5730729977</v>
      </c>
      <c r="G139" s="4">
        <v>46196</v>
      </c>
      <c r="H139" s="1">
        <v>46196.7421028588</v>
      </c>
      <c r="I139" s="22">
        <v>46196</v>
      </c>
      <c r="J139" s="24">
        <f t="shared" si="28"/>
        <v>46196.67305111156</v>
      </c>
      <c r="K139" s="24">
        <f t="shared" si="29"/>
        <v>0.74210285879962612</v>
      </c>
      <c r="L139" s="29">
        <f t="shared" si="35"/>
        <v>46195</v>
      </c>
      <c r="M139" s="27" t="str">
        <f t="shared" si="30"/>
        <v>Normal</v>
      </c>
      <c r="N139" s="31">
        <f t="shared" si="31"/>
        <v>0</v>
      </c>
      <c r="O139" s="27"/>
      <c r="Q139" s="8">
        <v>3.6878848656617946E-2</v>
      </c>
      <c r="R139" s="8" t="str">
        <f t="shared" si="32"/>
        <v>On Time</v>
      </c>
      <c r="S139" s="33">
        <v>1.6572419338223079</v>
      </c>
      <c r="T139" t="s">
        <v>30</v>
      </c>
      <c r="U139" s="3">
        <v>0</v>
      </c>
      <c r="V139" s="3" t="str">
        <f t="shared" si="36"/>
        <v/>
      </c>
      <c r="W139" s="3" t="s">
        <v>51</v>
      </c>
      <c r="X139" s="32">
        <f t="shared" si="33"/>
        <v>6.9051747239427641E-2</v>
      </c>
      <c r="Z139" s="38">
        <f t="shared" si="37"/>
        <v>0</v>
      </c>
      <c r="AC139" s="36">
        <v>0.125</v>
      </c>
      <c r="AL139" t="str">
        <f t="shared" si="38"/>
        <v>Normal</v>
      </c>
      <c r="AM139" t="str">
        <f t="shared" si="39"/>
        <v>No</v>
      </c>
      <c r="AN139" t="str">
        <f t="shared" si="40"/>
        <v>Elective</v>
      </c>
      <c r="AO139" t="str">
        <f t="shared" si="41"/>
        <v>General Ward</v>
      </c>
    </row>
    <row r="140" spans="1:41" x14ac:dyDescent="0.3">
      <c r="A140" s="21" t="str">
        <f t="shared" si="34"/>
        <v>UHID-00139</v>
      </c>
      <c r="B140" s="18">
        <v>64</v>
      </c>
      <c r="C140" s="10" t="s">
        <v>17</v>
      </c>
      <c r="D140" s="13" t="s">
        <v>27</v>
      </c>
      <c r="E140" s="13" t="s">
        <v>6</v>
      </c>
      <c r="F140" s="15">
        <v>46195.698110161997</v>
      </c>
      <c r="G140" s="4">
        <v>46195</v>
      </c>
      <c r="H140" s="1">
        <v>46196.590296342598</v>
      </c>
      <c r="I140" s="22">
        <v>46196</v>
      </c>
      <c r="J140" s="24">
        <f t="shared" si="28"/>
        <v>46196.349844649565</v>
      </c>
      <c r="K140" s="24">
        <f t="shared" si="29"/>
        <v>0.5902963425978669</v>
      </c>
      <c r="L140" s="29">
        <f t="shared" si="35"/>
        <v>46195</v>
      </c>
      <c r="M140" s="27" t="str">
        <f t="shared" si="30"/>
        <v>Health Deterioration</v>
      </c>
      <c r="N140" s="31">
        <f t="shared" si="31"/>
        <v>1</v>
      </c>
      <c r="O140" s="27"/>
      <c r="Q140" s="8">
        <v>9.4636940695976834E-3</v>
      </c>
      <c r="R140" s="8" t="str">
        <f t="shared" si="32"/>
        <v>Critical Delay</v>
      </c>
      <c r="S140" s="33">
        <v>1.7708406328453044</v>
      </c>
      <c r="T140" t="s">
        <v>30</v>
      </c>
      <c r="U140" s="3">
        <v>4</v>
      </c>
      <c r="V140" s="3" t="str">
        <f t="shared" si="36"/>
        <v/>
      </c>
      <c r="W140" s="3" t="s">
        <v>50</v>
      </c>
      <c r="X140" s="32">
        <f t="shared" si="33"/>
        <v>0.24045169303281</v>
      </c>
      <c r="Z140" s="38">
        <f t="shared" si="37"/>
        <v>0.11545169303281</v>
      </c>
      <c r="AC140" s="36">
        <v>0.125</v>
      </c>
      <c r="AL140" t="str">
        <f t="shared" si="38"/>
        <v>Health Deterioration</v>
      </c>
      <c r="AM140" t="str">
        <f t="shared" si="39"/>
        <v>No</v>
      </c>
      <c r="AN140" t="str">
        <f t="shared" si="40"/>
        <v>Emergency</v>
      </c>
      <c r="AO140" t="str">
        <f t="shared" si="41"/>
        <v>ICU</v>
      </c>
    </row>
    <row r="141" spans="1:41" x14ac:dyDescent="0.3">
      <c r="A141" s="21" t="str">
        <f t="shared" si="34"/>
        <v>UHID-00140</v>
      </c>
      <c r="B141" s="18">
        <v>75</v>
      </c>
      <c r="C141" s="10" t="s">
        <v>18</v>
      </c>
      <c r="D141" s="13" t="s">
        <v>26</v>
      </c>
      <c r="E141" s="13" t="s">
        <v>6</v>
      </c>
      <c r="F141" s="15">
        <v>46195.136865462999</v>
      </c>
      <c r="G141" s="4">
        <v>46195</v>
      </c>
      <c r="H141" s="1">
        <v>46196.624376458298</v>
      </c>
      <c r="I141" s="22">
        <v>46196</v>
      </c>
      <c r="J141" s="24">
        <f t="shared" si="28"/>
        <v>46196.462495742802</v>
      </c>
      <c r="K141" s="24">
        <f t="shared" si="29"/>
        <v>0.62437645829777466</v>
      </c>
      <c r="L141" s="29">
        <f t="shared" si="35"/>
        <v>46195</v>
      </c>
      <c r="M141" s="27" t="str">
        <f t="shared" si="30"/>
        <v>TPA Approval Delay</v>
      </c>
      <c r="N141" s="31">
        <f t="shared" si="31"/>
        <v>1</v>
      </c>
      <c r="O141" s="27"/>
      <c r="Q141" s="8">
        <v>0.56753029788142551</v>
      </c>
      <c r="R141" s="8" t="str">
        <f t="shared" si="32"/>
        <v>Major Delay</v>
      </c>
      <c r="S141" s="33">
        <v>3.8851371718593661</v>
      </c>
      <c r="T141" t="s">
        <v>31</v>
      </c>
      <c r="U141" s="3">
        <v>0</v>
      </c>
      <c r="V141" s="3" t="str">
        <f t="shared" si="36"/>
        <v>Normal</v>
      </c>
      <c r="W141" s="3" t="s">
        <v>51</v>
      </c>
      <c r="X141" s="32">
        <f t="shared" si="33"/>
        <v>0.16188071549549932</v>
      </c>
      <c r="Z141" s="38">
        <f t="shared" si="37"/>
        <v>3.6880715495499317E-2</v>
      </c>
      <c r="AC141" s="36">
        <v>0.125</v>
      </c>
      <c r="AL141" t="str">
        <f t="shared" si="38"/>
        <v>TPA Approval Delay</v>
      </c>
      <c r="AM141" t="str">
        <f t="shared" si="39"/>
        <v>No</v>
      </c>
      <c r="AN141" t="str">
        <f t="shared" si="40"/>
        <v>Emergency</v>
      </c>
      <c r="AO141" t="str">
        <f t="shared" si="41"/>
        <v>ICU</v>
      </c>
    </row>
    <row r="142" spans="1:41" x14ac:dyDescent="0.3">
      <c r="A142" s="21" t="str">
        <f t="shared" si="34"/>
        <v>UHID-00141</v>
      </c>
      <c r="B142" s="18">
        <v>36</v>
      </c>
      <c r="C142" s="10" t="s">
        <v>18</v>
      </c>
      <c r="D142" s="13" t="s">
        <v>27</v>
      </c>
      <c r="E142" s="13" t="s">
        <v>6</v>
      </c>
      <c r="F142" s="15">
        <v>46192.773391331</v>
      </c>
      <c r="G142" s="4">
        <v>46192</v>
      </c>
      <c r="H142" s="1">
        <v>46197.547934953698</v>
      </c>
      <c r="I142" s="22">
        <v>46197</v>
      </c>
      <c r="J142" s="24">
        <f t="shared" si="28"/>
        <v>46197.422515659273</v>
      </c>
      <c r="K142" s="24">
        <f t="shared" si="29"/>
        <v>0.54793495369813172</v>
      </c>
      <c r="L142" s="29">
        <f t="shared" si="35"/>
        <v>46196</v>
      </c>
      <c r="M142" s="27" t="str">
        <f t="shared" si="30"/>
        <v>Medication Change</v>
      </c>
      <c r="N142" s="31">
        <f t="shared" si="31"/>
        <v>5</v>
      </c>
      <c r="O142" s="27"/>
      <c r="Q142" s="8">
        <v>2.97847822949594E-2</v>
      </c>
      <c r="R142" s="8" t="str">
        <f t="shared" si="32"/>
        <v>Major Delay</v>
      </c>
      <c r="S142" s="33">
        <v>1.0100630662411154</v>
      </c>
      <c r="T142" t="s">
        <v>30</v>
      </c>
      <c r="U142" s="3">
        <v>2</v>
      </c>
      <c r="V142" s="3" t="str">
        <f t="shared" si="36"/>
        <v/>
      </c>
      <c r="W142" s="3" t="s">
        <v>50</v>
      </c>
      <c r="X142" s="32">
        <f t="shared" si="33"/>
        <v>0.12541929442522814</v>
      </c>
      <c r="Z142" s="38">
        <f t="shared" si="37"/>
        <v>4.1929442522814497E-4</v>
      </c>
      <c r="AC142" s="36">
        <v>0.125</v>
      </c>
      <c r="AL142" t="str">
        <f t="shared" si="38"/>
        <v>Medication Change</v>
      </c>
      <c r="AM142" t="str">
        <f t="shared" si="39"/>
        <v>No</v>
      </c>
      <c r="AN142" t="str">
        <f t="shared" si="40"/>
        <v>Emergency</v>
      </c>
      <c r="AO142" t="str">
        <f t="shared" si="41"/>
        <v>ICU</v>
      </c>
    </row>
    <row r="143" spans="1:41" x14ac:dyDescent="0.3">
      <c r="A143" s="21" t="str">
        <f t="shared" si="34"/>
        <v>UHID-00142</v>
      </c>
      <c r="B143" s="18">
        <v>73</v>
      </c>
      <c r="C143" s="10" t="s">
        <v>18</v>
      </c>
      <c r="D143" s="13" t="s">
        <v>26</v>
      </c>
      <c r="E143" s="13" t="s">
        <v>6</v>
      </c>
      <c r="F143" s="15">
        <v>46197.398063726898</v>
      </c>
      <c r="G143" s="4">
        <v>46197</v>
      </c>
      <c r="H143" s="1">
        <v>46197.745694375</v>
      </c>
      <c r="I143" s="22">
        <v>46197</v>
      </c>
      <c r="J143" s="24">
        <f t="shared" si="28"/>
        <v>46197.424194200285</v>
      </c>
      <c r="K143" s="24">
        <f t="shared" si="29"/>
        <v>0.74569437500031199</v>
      </c>
      <c r="L143" s="29">
        <f t="shared" si="35"/>
        <v>46196</v>
      </c>
      <c r="M143" s="27" t="str">
        <f t="shared" si="30"/>
        <v>Health Deterioration/TPA Approval Delay</v>
      </c>
      <c r="N143" s="31">
        <f t="shared" si="31"/>
        <v>0</v>
      </c>
      <c r="O143" s="27"/>
      <c r="Q143" s="8">
        <v>0.67901939366037745</v>
      </c>
      <c r="R143" s="8" t="str">
        <f t="shared" si="32"/>
        <v>Critical Delay</v>
      </c>
      <c r="S143" s="33">
        <v>3.7160041931814174</v>
      </c>
      <c r="T143" t="s">
        <v>31</v>
      </c>
      <c r="U143" s="3">
        <v>4</v>
      </c>
      <c r="V143" s="3" t="str">
        <f t="shared" si="36"/>
        <v>Normal</v>
      </c>
      <c r="W143" s="3" t="s">
        <v>50</v>
      </c>
      <c r="X143" s="32">
        <f t="shared" si="33"/>
        <v>0.32150017471576575</v>
      </c>
      <c r="Z143" s="38">
        <f t="shared" si="37"/>
        <v>0.19650017471576575</v>
      </c>
      <c r="AC143" s="36">
        <v>0.125</v>
      </c>
      <c r="AL143" t="str">
        <f t="shared" si="38"/>
        <v>Health Deterioration/TPA Approval Delay</v>
      </c>
      <c r="AM143" t="str">
        <f t="shared" si="39"/>
        <v>Yes</v>
      </c>
      <c r="AN143" t="str">
        <f t="shared" si="40"/>
        <v>Elective</v>
      </c>
      <c r="AO143" t="str">
        <f t="shared" si="41"/>
        <v>ICU</v>
      </c>
    </row>
    <row r="144" spans="1:41" x14ac:dyDescent="0.3">
      <c r="A144" s="21" t="str">
        <f t="shared" si="34"/>
        <v>UHID-00143</v>
      </c>
      <c r="B144" s="18">
        <v>57</v>
      </c>
      <c r="C144" s="10" t="s">
        <v>18</v>
      </c>
      <c r="D144" s="13" t="s">
        <v>26</v>
      </c>
      <c r="E144" s="13" t="s">
        <v>6</v>
      </c>
      <c r="F144" s="15">
        <v>46195.008908668999</v>
      </c>
      <c r="G144" s="4">
        <v>46195</v>
      </c>
      <c r="H144" s="1">
        <v>46197.693155601897</v>
      </c>
      <c r="I144" s="22">
        <v>46197</v>
      </c>
      <c r="J144" s="24">
        <f t="shared" si="28"/>
        <v>46197.545152442559</v>
      </c>
      <c r="K144" s="24">
        <f t="shared" si="29"/>
        <v>0.69315560189716052</v>
      </c>
      <c r="L144" s="29">
        <f t="shared" si="35"/>
        <v>46196</v>
      </c>
      <c r="M144" s="27" t="str">
        <f t="shared" si="30"/>
        <v>TPA Approval Delay</v>
      </c>
      <c r="N144" s="31">
        <f t="shared" si="31"/>
        <v>2</v>
      </c>
      <c r="O144" s="27"/>
      <c r="Q144" s="8">
        <v>0.55222387894527358</v>
      </c>
      <c r="R144" s="8" t="str">
        <f t="shared" si="32"/>
        <v>Major Delay</v>
      </c>
      <c r="S144" s="33">
        <v>3.5520758240767529</v>
      </c>
      <c r="T144" t="s">
        <v>31</v>
      </c>
      <c r="U144" s="3">
        <v>0</v>
      </c>
      <c r="V144" s="3" t="str">
        <f t="shared" si="36"/>
        <v>Normal</v>
      </c>
      <c r="W144" s="3" t="s">
        <v>51</v>
      </c>
      <c r="X144" s="32">
        <f t="shared" si="33"/>
        <v>0.14800315933825914</v>
      </c>
      <c r="Z144" s="38">
        <f t="shared" si="37"/>
        <v>2.3003159338259138E-2</v>
      </c>
      <c r="AC144" s="36">
        <v>0.125</v>
      </c>
      <c r="AL144" t="str">
        <f t="shared" si="38"/>
        <v>TPA Approval Delay</v>
      </c>
      <c r="AM144" t="str">
        <f t="shared" si="39"/>
        <v>No</v>
      </c>
      <c r="AN144" t="str">
        <f t="shared" si="40"/>
        <v>Elective</v>
      </c>
      <c r="AO144" t="str">
        <f t="shared" si="41"/>
        <v>HDU</v>
      </c>
    </row>
    <row r="145" spans="1:41" x14ac:dyDescent="0.3">
      <c r="A145" s="21" t="str">
        <f t="shared" si="34"/>
        <v>UHID-00144</v>
      </c>
      <c r="B145" s="18">
        <v>72</v>
      </c>
      <c r="C145" s="10" t="s">
        <v>18</v>
      </c>
      <c r="D145" s="13" t="s">
        <v>26</v>
      </c>
      <c r="E145" s="13" t="s">
        <v>6</v>
      </c>
      <c r="F145" s="15">
        <v>46192.568278240702</v>
      </c>
      <c r="G145" s="4">
        <v>46192</v>
      </c>
      <c r="H145" s="1">
        <v>46197.4896383218</v>
      </c>
      <c r="I145" s="22">
        <v>46197</v>
      </c>
      <c r="J145" s="24">
        <f t="shared" si="28"/>
        <v>46197.346812094016</v>
      </c>
      <c r="K145" s="24">
        <f t="shared" si="29"/>
        <v>0.48963832180015743</v>
      </c>
      <c r="L145" s="29">
        <f t="shared" si="35"/>
        <v>46196</v>
      </c>
      <c r="M145" s="27" t="str">
        <f t="shared" si="30"/>
        <v>TPA Approval Delay</v>
      </c>
      <c r="N145" s="31">
        <f t="shared" si="31"/>
        <v>5</v>
      </c>
      <c r="O145" s="27"/>
      <c r="Q145" s="8">
        <v>0.64128861185316222</v>
      </c>
      <c r="R145" s="8" t="str">
        <f t="shared" si="32"/>
        <v>Major Delay</v>
      </c>
      <c r="S145" s="33">
        <v>3.4278294668498726</v>
      </c>
      <c r="T145" t="s">
        <v>31</v>
      </c>
      <c r="U145" s="3">
        <v>0</v>
      </c>
      <c r="V145" s="3" t="str">
        <f t="shared" si="36"/>
        <v>Normal</v>
      </c>
      <c r="W145" s="3" t="s">
        <v>51</v>
      </c>
      <c r="X145" s="32">
        <f t="shared" si="33"/>
        <v>0.14282622778409859</v>
      </c>
      <c r="Z145" s="38">
        <f t="shared" si="37"/>
        <v>1.7826227784098592E-2</v>
      </c>
      <c r="AC145" s="36">
        <v>0.125</v>
      </c>
      <c r="AL145" t="str">
        <f t="shared" si="38"/>
        <v>TPA Approval Delay</v>
      </c>
      <c r="AM145" t="str">
        <f t="shared" si="39"/>
        <v>No</v>
      </c>
      <c r="AN145" t="str">
        <f t="shared" si="40"/>
        <v>Elective</v>
      </c>
      <c r="AO145" t="str">
        <f t="shared" si="41"/>
        <v>HDU</v>
      </c>
    </row>
    <row r="146" spans="1:41" x14ac:dyDescent="0.3">
      <c r="A146" s="21" t="str">
        <f t="shared" si="34"/>
        <v>UHID-00145</v>
      </c>
      <c r="B146" s="18">
        <v>58</v>
      </c>
      <c r="C146" s="10" t="s">
        <v>17</v>
      </c>
      <c r="D146" s="13" t="s">
        <v>27</v>
      </c>
      <c r="E146" s="13" t="s">
        <v>6</v>
      </c>
      <c r="F146" s="15">
        <v>46197.361556585602</v>
      </c>
      <c r="G146" s="4">
        <v>46197</v>
      </c>
      <c r="H146" s="1">
        <v>46197.583471817103</v>
      </c>
      <c r="I146" s="22">
        <v>46197</v>
      </c>
      <c r="J146" s="24">
        <f t="shared" si="28"/>
        <v>46197.536656702709</v>
      </c>
      <c r="K146" s="24">
        <f t="shared" si="29"/>
        <v>0.58347181710269069</v>
      </c>
      <c r="L146" s="29">
        <f t="shared" si="35"/>
        <v>46196</v>
      </c>
      <c r="M146" s="27" t="str">
        <f t="shared" si="30"/>
        <v>Normal</v>
      </c>
      <c r="N146" s="31">
        <f t="shared" si="31"/>
        <v>0</v>
      </c>
      <c r="O146" s="27"/>
      <c r="Q146" s="8">
        <v>0.1042613776309409</v>
      </c>
      <c r="R146" s="8" t="str">
        <f t="shared" si="32"/>
        <v>On Time</v>
      </c>
      <c r="S146" s="33">
        <v>1.123562745495676</v>
      </c>
      <c r="T146" t="s">
        <v>30</v>
      </c>
      <c r="U146" s="3">
        <v>0</v>
      </c>
      <c r="V146" s="3" t="str">
        <f t="shared" si="36"/>
        <v/>
      </c>
      <c r="W146" s="3" t="s">
        <v>51</v>
      </c>
      <c r="X146" s="32">
        <f t="shared" si="33"/>
        <v>4.6815114394121338E-2</v>
      </c>
      <c r="Z146" s="38">
        <f t="shared" si="37"/>
        <v>0</v>
      </c>
      <c r="AC146" s="36">
        <v>0.125</v>
      </c>
      <c r="AL146" t="str">
        <f t="shared" si="38"/>
        <v>Normal</v>
      </c>
      <c r="AM146" t="str">
        <f t="shared" si="39"/>
        <v>No</v>
      </c>
      <c r="AN146" t="str">
        <f t="shared" si="40"/>
        <v>Elective</v>
      </c>
      <c r="AO146" t="str">
        <f t="shared" si="41"/>
        <v>General Ward</v>
      </c>
    </row>
    <row r="147" spans="1:41" x14ac:dyDescent="0.3">
      <c r="A147" s="21" t="str">
        <f t="shared" si="34"/>
        <v>UHID-00146</v>
      </c>
      <c r="B147" s="18">
        <v>72</v>
      </c>
      <c r="C147" s="10" t="s">
        <v>17</v>
      </c>
      <c r="D147" s="13" t="s">
        <v>27</v>
      </c>
      <c r="E147" s="13" t="s">
        <v>6</v>
      </c>
      <c r="F147" s="15">
        <v>46197.461794155097</v>
      </c>
      <c r="G147" s="4">
        <v>46197</v>
      </c>
      <c r="H147" s="1">
        <v>46197.933556747703</v>
      </c>
      <c r="I147" s="22">
        <v>46197</v>
      </c>
      <c r="J147" s="24">
        <f t="shared" si="28"/>
        <v>46197.881134209325</v>
      </c>
      <c r="K147" s="24">
        <f t="shared" si="29"/>
        <v>0.93355674770282349</v>
      </c>
      <c r="L147" s="29">
        <f t="shared" si="35"/>
        <v>46196</v>
      </c>
      <c r="M147" s="27" t="str">
        <f t="shared" si="30"/>
        <v>Normal</v>
      </c>
      <c r="N147" s="31">
        <f t="shared" si="31"/>
        <v>0</v>
      </c>
      <c r="O147" s="27"/>
      <c r="Q147" s="8">
        <v>0.48346604152514372</v>
      </c>
      <c r="R147" s="8" t="str">
        <f t="shared" si="32"/>
        <v>On Time</v>
      </c>
      <c r="S147" s="33">
        <v>1.2581409210800441</v>
      </c>
      <c r="T147" t="s">
        <v>31</v>
      </c>
      <c r="U147" s="3">
        <v>0</v>
      </c>
      <c r="V147" s="3" t="str">
        <f t="shared" si="36"/>
        <v>Normal</v>
      </c>
      <c r="W147" s="3" t="s">
        <v>51</v>
      </c>
      <c r="X147" s="32">
        <f t="shared" si="33"/>
        <v>5.2422538377868477E-2</v>
      </c>
      <c r="Z147" s="38">
        <f t="shared" si="37"/>
        <v>0</v>
      </c>
      <c r="AC147" s="36">
        <v>0.125</v>
      </c>
      <c r="AL147" t="str">
        <f t="shared" si="38"/>
        <v>Normal</v>
      </c>
      <c r="AM147" t="str">
        <f t="shared" si="39"/>
        <v>No</v>
      </c>
      <c r="AN147" t="str">
        <f t="shared" si="40"/>
        <v>Elective</v>
      </c>
      <c r="AO147" t="str">
        <f t="shared" si="41"/>
        <v>General Ward</v>
      </c>
    </row>
    <row r="148" spans="1:41" x14ac:dyDescent="0.3">
      <c r="A148" s="21" t="str">
        <f t="shared" si="34"/>
        <v>UHID-00147</v>
      </c>
      <c r="B148" s="18">
        <v>58</v>
      </c>
      <c r="C148" s="10" t="s">
        <v>17</v>
      </c>
      <c r="D148" s="13" t="s">
        <v>26</v>
      </c>
      <c r="E148" s="13" t="s">
        <v>6</v>
      </c>
      <c r="F148" s="15">
        <v>46198.398739536999</v>
      </c>
      <c r="G148" s="4">
        <v>46198</v>
      </c>
      <c r="H148" s="1">
        <v>46198.658188599496</v>
      </c>
      <c r="I148" s="22">
        <v>46198</v>
      </c>
      <c r="J148" s="24">
        <f t="shared" si="28"/>
        <v>46198.421185475105</v>
      </c>
      <c r="K148" s="24">
        <f t="shared" si="29"/>
        <v>0.65818859949649777</v>
      </c>
      <c r="L148" s="29">
        <f t="shared" si="35"/>
        <v>46197</v>
      </c>
      <c r="M148" s="27" t="str">
        <f t="shared" si="30"/>
        <v>Health Deterioration/TPA Approval Delay</v>
      </c>
      <c r="N148" s="31">
        <f t="shared" si="31"/>
        <v>0</v>
      </c>
      <c r="O148" s="27"/>
      <c r="Q148" s="8">
        <v>0.68571677786344865</v>
      </c>
      <c r="R148" s="8" t="str">
        <f t="shared" si="32"/>
        <v>Critical Delay</v>
      </c>
      <c r="S148" s="33">
        <v>3.688074985460744</v>
      </c>
      <c r="T148" t="s">
        <v>31</v>
      </c>
      <c r="U148" s="3">
        <v>2</v>
      </c>
      <c r="V148" s="3" t="str">
        <f t="shared" si="36"/>
        <v>Normal</v>
      </c>
      <c r="W148" s="3" t="s">
        <v>50</v>
      </c>
      <c r="X148" s="32">
        <f t="shared" si="33"/>
        <v>0.23700312439177651</v>
      </c>
      <c r="Z148" s="38">
        <f t="shared" si="37"/>
        <v>0.11200312439177651</v>
      </c>
      <c r="AC148" s="36">
        <v>0.125</v>
      </c>
      <c r="AL148" t="str">
        <f t="shared" si="38"/>
        <v>Health Deterioration/TPA Approval Delay</v>
      </c>
      <c r="AM148" t="str">
        <f t="shared" si="39"/>
        <v>No</v>
      </c>
      <c r="AN148" t="str">
        <f t="shared" si="40"/>
        <v>Elective</v>
      </c>
      <c r="AO148" t="str">
        <f t="shared" si="41"/>
        <v>General Ward</v>
      </c>
    </row>
    <row r="149" spans="1:41" x14ac:dyDescent="0.3">
      <c r="A149" s="21" t="str">
        <f t="shared" si="34"/>
        <v>UHID-00148</v>
      </c>
      <c r="B149" s="18">
        <v>63</v>
      </c>
      <c r="C149" s="10" t="s">
        <v>18</v>
      </c>
      <c r="D149" s="13" t="s">
        <v>26</v>
      </c>
      <c r="E149" s="13" t="s">
        <v>6</v>
      </c>
      <c r="F149" s="15">
        <v>46194.407498831002</v>
      </c>
      <c r="G149" s="4">
        <v>46194</v>
      </c>
      <c r="H149" s="1">
        <v>46198.424244699097</v>
      </c>
      <c r="I149" s="22">
        <v>46198</v>
      </c>
      <c r="J149" s="24">
        <f t="shared" si="28"/>
        <v>46198.108923981592</v>
      </c>
      <c r="K149" s="24">
        <f t="shared" si="29"/>
        <v>0.42424469909747131</v>
      </c>
      <c r="L149" s="29">
        <f t="shared" si="35"/>
        <v>46197</v>
      </c>
      <c r="M149" s="27" t="str">
        <f t="shared" si="30"/>
        <v>Health Deterioration/TPA Approval Delay</v>
      </c>
      <c r="N149" s="31">
        <f t="shared" si="31"/>
        <v>4</v>
      </c>
      <c r="O149" s="27"/>
      <c r="Q149" s="8">
        <v>0.52164190397353727</v>
      </c>
      <c r="R149" s="8" t="str">
        <f t="shared" si="32"/>
        <v>Critical Delay</v>
      </c>
      <c r="S149" s="33">
        <v>3.5676972200898853</v>
      </c>
      <c r="T149" t="s">
        <v>31</v>
      </c>
      <c r="U149" s="3">
        <v>4</v>
      </c>
      <c r="V149" s="3" t="str">
        <f t="shared" si="36"/>
        <v>Normal</v>
      </c>
      <c r="W149" s="3" t="s">
        <v>50</v>
      </c>
      <c r="X149" s="32">
        <f t="shared" si="33"/>
        <v>0.31532071750552859</v>
      </c>
      <c r="Z149" s="38">
        <f t="shared" si="37"/>
        <v>0.19032071750552859</v>
      </c>
      <c r="AC149" s="36">
        <v>0.125</v>
      </c>
      <c r="AL149" t="str">
        <f t="shared" si="38"/>
        <v>Health Deterioration/TPA Approval Delay</v>
      </c>
      <c r="AM149" t="str">
        <f t="shared" si="39"/>
        <v>No</v>
      </c>
      <c r="AN149" t="str">
        <f t="shared" si="40"/>
        <v>Elective</v>
      </c>
      <c r="AO149" t="str">
        <f t="shared" si="41"/>
        <v>HDU</v>
      </c>
    </row>
    <row r="150" spans="1:41" x14ac:dyDescent="0.3">
      <c r="A150" s="21" t="str">
        <f t="shared" si="34"/>
        <v>UHID-00149</v>
      </c>
      <c r="B150" s="18">
        <v>43</v>
      </c>
      <c r="C150" s="10" t="s">
        <v>18</v>
      </c>
      <c r="D150" s="13" t="s">
        <v>28</v>
      </c>
      <c r="E150" s="13" t="s">
        <v>6</v>
      </c>
      <c r="F150" s="15">
        <v>46195.690997361096</v>
      </c>
      <c r="G150" s="4">
        <v>46195</v>
      </c>
      <c r="H150" s="1">
        <v>46198.494558044003</v>
      </c>
      <c r="I150" s="22">
        <v>46198</v>
      </c>
      <c r="J150" s="24">
        <f t="shared" si="28"/>
        <v>46198.378581453275</v>
      </c>
      <c r="K150" s="24">
        <f t="shared" si="29"/>
        <v>0.49455804400349734</v>
      </c>
      <c r="L150" s="29">
        <f t="shared" si="35"/>
        <v>46197</v>
      </c>
      <c r="M150" s="27" t="str">
        <f t="shared" si="30"/>
        <v>Doctor Round Delay/Report Delay</v>
      </c>
      <c r="N150" s="31">
        <f t="shared" si="31"/>
        <v>3</v>
      </c>
      <c r="O150" s="27"/>
      <c r="Q150" s="8">
        <v>0.87720368171694607</v>
      </c>
      <c r="R150" s="8" t="str">
        <f t="shared" si="32"/>
        <v>Minor Delay</v>
      </c>
      <c r="S150" s="33">
        <v>2.783438177569165</v>
      </c>
      <c r="T150" t="s">
        <v>31</v>
      </c>
      <c r="U150" s="3">
        <v>0</v>
      </c>
      <c r="V150" s="3" t="str">
        <f t="shared" si="36"/>
        <v>Normal</v>
      </c>
      <c r="W150" s="3" t="s">
        <v>51</v>
      </c>
      <c r="X150" s="32">
        <f t="shared" si="33"/>
        <v>0.11597659072867827</v>
      </c>
      <c r="Z150" s="38">
        <f t="shared" si="37"/>
        <v>0</v>
      </c>
      <c r="AC150" s="36">
        <v>0.125</v>
      </c>
      <c r="AL150" t="str">
        <f t="shared" si="38"/>
        <v>Doctor Round Delay/Report Delay</v>
      </c>
      <c r="AM150" t="str">
        <f t="shared" si="39"/>
        <v>No</v>
      </c>
      <c r="AN150" t="str">
        <f t="shared" si="40"/>
        <v>Emergency</v>
      </c>
      <c r="AO150" t="str">
        <f t="shared" si="41"/>
        <v>ICU</v>
      </c>
    </row>
    <row r="151" spans="1:41" x14ac:dyDescent="0.3">
      <c r="A151" s="21" t="str">
        <f t="shared" si="34"/>
        <v>UHID-00150</v>
      </c>
      <c r="B151" s="18">
        <v>36</v>
      </c>
      <c r="C151" s="10" t="s">
        <v>18</v>
      </c>
      <c r="D151" s="13" t="s">
        <v>28</v>
      </c>
      <c r="E151" s="13" t="s">
        <v>6</v>
      </c>
      <c r="F151" s="15">
        <v>46197.714741331001</v>
      </c>
      <c r="G151" s="4">
        <v>46197</v>
      </c>
      <c r="H151" s="1">
        <v>46198.528206354204</v>
      </c>
      <c r="I151" s="22">
        <v>46198</v>
      </c>
      <c r="J151" s="24">
        <f t="shared" si="28"/>
        <v>46198.443276142672</v>
      </c>
      <c r="K151" s="24">
        <f t="shared" si="29"/>
        <v>0.52820635420357576</v>
      </c>
      <c r="L151" s="29">
        <f t="shared" si="35"/>
        <v>46197</v>
      </c>
      <c r="M151" s="27" t="str">
        <f t="shared" si="30"/>
        <v>Doctor Round Delay/Report Delay</v>
      </c>
      <c r="N151" s="31">
        <f t="shared" si="31"/>
        <v>1</v>
      </c>
      <c r="O151" s="27"/>
      <c r="Q151" s="8">
        <v>0.94735584023716934</v>
      </c>
      <c r="R151" s="8" t="str">
        <f t="shared" si="32"/>
        <v>Minor Delay</v>
      </c>
      <c r="S151" s="33">
        <v>2.0383250766637513</v>
      </c>
      <c r="T151" t="s">
        <v>31</v>
      </c>
      <c r="U151" s="3">
        <v>0</v>
      </c>
      <c r="V151" s="3" t="str">
        <f t="shared" si="36"/>
        <v>Normal</v>
      </c>
      <c r="W151" s="3" t="s">
        <v>51</v>
      </c>
      <c r="X151" s="32">
        <f t="shared" si="33"/>
        <v>8.4930211531172972E-2</v>
      </c>
      <c r="Z151" s="38">
        <f t="shared" si="37"/>
        <v>0</v>
      </c>
      <c r="AC151" s="36">
        <v>0.125</v>
      </c>
      <c r="AL151" t="str">
        <f t="shared" si="38"/>
        <v>Doctor Round Delay/Report Delay</v>
      </c>
      <c r="AM151" t="str">
        <f t="shared" si="39"/>
        <v>No</v>
      </c>
      <c r="AN151" t="str">
        <f t="shared" si="40"/>
        <v>Emergency</v>
      </c>
      <c r="AO151" t="str">
        <f t="shared" si="41"/>
        <v>ICU</v>
      </c>
    </row>
    <row r="152" spans="1:41" x14ac:dyDescent="0.3">
      <c r="A152" s="21" t="str">
        <f t="shared" si="34"/>
        <v>UHID-00151</v>
      </c>
      <c r="B152" s="18">
        <v>51</v>
      </c>
      <c r="C152" s="10" t="s">
        <v>18</v>
      </c>
      <c r="D152" s="13" t="s">
        <v>26</v>
      </c>
      <c r="E152" s="13" t="s">
        <v>6</v>
      </c>
      <c r="F152" s="15">
        <v>46193.339514328698</v>
      </c>
      <c r="G152" s="4">
        <v>46193</v>
      </c>
      <c r="H152" s="1">
        <v>46198.479956388903</v>
      </c>
      <c r="I152" s="22">
        <v>46198</v>
      </c>
      <c r="J152" s="24">
        <f t="shared" si="28"/>
        <v>46198.151754224738</v>
      </c>
      <c r="K152" s="24">
        <f t="shared" si="29"/>
        <v>0.47995638890279224</v>
      </c>
      <c r="L152" s="29">
        <f t="shared" si="35"/>
        <v>46197</v>
      </c>
      <c r="M152" s="27" t="str">
        <f t="shared" si="30"/>
        <v>Health Deterioration/TPA Approval Delay</v>
      </c>
      <c r="N152" s="31">
        <f t="shared" si="31"/>
        <v>5</v>
      </c>
      <c r="O152" s="27"/>
      <c r="Q152" s="8">
        <v>0.78210564770815361</v>
      </c>
      <c r="R152" s="8" t="str">
        <f t="shared" si="32"/>
        <v>Critical Delay</v>
      </c>
      <c r="S152" s="33">
        <v>3.8768519398726911</v>
      </c>
      <c r="T152" t="s">
        <v>31</v>
      </c>
      <c r="U152" s="3">
        <v>4</v>
      </c>
      <c r="V152" s="3" t="str">
        <f t="shared" si="36"/>
        <v>Normal</v>
      </c>
      <c r="W152" s="3" t="s">
        <v>50</v>
      </c>
      <c r="X152" s="32">
        <f t="shared" si="33"/>
        <v>0.32820216416439507</v>
      </c>
      <c r="Z152" s="38">
        <f t="shared" si="37"/>
        <v>0.20320216416439507</v>
      </c>
      <c r="AC152" s="36">
        <v>0.125</v>
      </c>
      <c r="AL152" t="str">
        <f t="shared" si="38"/>
        <v>Health Deterioration/TPA Approval Delay</v>
      </c>
      <c r="AM152" t="str">
        <f t="shared" si="39"/>
        <v>No</v>
      </c>
      <c r="AN152" t="str">
        <f t="shared" si="40"/>
        <v>Emergency</v>
      </c>
      <c r="AO152" t="str">
        <f t="shared" si="41"/>
        <v>ICU</v>
      </c>
    </row>
    <row r="153" spans="1:41" x14ac:dyDescent="0.3">
      <c r="A153" s="21" t="str">
        <f t="shared" si="34"/>
        <v>UHID-00152</v>
      </c>
      <c r="B153" s="18">
        <v>61</v>
      </c>
      <c r="C153" s="10" t="s">
        <v>17</v>
      </c>
      <c r="D153" s="13" t="s">
        <v>27</v>
      </c>
      <c r="E153" s="13" t="s">
        <v>6</v>
      </c>
      <c r="F153" s="15">
        <v>46198.613651469903</v>
      </c>
      <c r="G153" s="4">
        <v>46198</v>
      </c>
      <c r="H153" s="1">
        <v>46198.780681261604</v>
      </c>
      <c r="I153" s="22">
        <v>46198</v>
      </c>
      <c r="J153" s="24">
        <f t="shared" si="28"/>
        <v>46198.736987485383</v>
      </c>
      <c r="K153" s="24">
        <f t="shared" si="29"/>
        <v>0.78068126160360407</v>
      </c>
      <c r="L153" s="29">
        <f t="shared" si="35"/>
        <v>46197</v>
      </c>
      <c r="M153" s="27" t="str">
        <f t="shared" si="30"/>
        <v>Normal</v>
      </c>
      <c r="N153" s="31">
        <f t="shared" si="31"/>
        <v>0</v>
      </c>
      <c r="O153" s="27"/>
      <c r="Q153" s="8">
        <v>0.43649931641932793</v>
      </c>
      <c r="R153" s="8" t="str">
        <f t="shared" si="32"/>
        <v>On Time</v>
      </c>
      <c r="S153" s="33">
        <v>1.0486506293175757</v>
      </c>
      <c r="T153" t="s">
        <v>31</v>
      </c>
      <c r="U153" s="3">
        <v>0</v>
      </c>
      <c r="V153" s="3" t="str">
        <f t="shared" si="36"/>
        <v>Normal</v>
      </c>
      <c r="W153" s="3" t="s">
        <v>51</v>
      </c>
      <c r="X153" s="32">
        <f t="shared" si="33"/>
        <v>4.3693776220607106E-2</v>
      </c>
      <c r="Z153" s="38">
        <f t="shared" si="37"/>
        <v>0</v>
      </c>
      <c r="AC153" s="36">
        <v>0.125</v>
      </c>
      <c r="AL153" t="str">
        <f t="shared" si="38"/>
        <v>Normal</v>
      </c>
      <c r="AM153" t="str">
        <f t="shared" si="39"/>
        <v>No</v>
      </c>
      <c r="AN153" t="str">
        <f t="shared" si="40"/>
        <v>Elective</v>
      </c>
      <c r="AO153" t="str">
        <f t="shared" si="41"/>
        <v>ICU</v>
      </c>
    </row>
    <row r="154" spans="1:41" x14ac:dyDescent="0.3">
      <c r="A154" s="21" t="str">
        <f t="shared" si="34"/>
        <v>UHID-00153</v>
      </c>
      <c r="B154" s="19">
        <v>51</v>
      </c>
      <c r="C154" s="11" t="s">
        <v>18</v>
      </c>
      <c r="D154" s="13" t="s">
        <v>28</v>
      </c>
      <c r="E154" s="13" t="s">
        <v>6</v>
      </c>
      <c r="F154" s="16">
        <v>46198.5845216667</v>
      </c>
      <c r="G154" s="5">
        <v>46198</v>
      </c>
      <c r="H154" s="2">
        <v>46199.431352627304</v>
      </c>
      <c r="I154" s="23">
        <v>46199</v>
      </c>
      <c r="J154" s="24">
        <f t="shared" si="28"/>
        <v>46199.314157306355</v>
      </c>
      <c r="K154" s="24">
        <f t="shared" si="29"/>
        <v>0.43135262730356771</v>
      </c>
      <c r="L154" s="29">
        <f t="shared" si="35"/>
        <v>46198</v>
      </c>
      <c r="M154" s="27" t="str">
        <f t="shared" si="30"/>
        <v>Doctor Round Delay/Report Delay</v>
      </c>
      <c r="N154" s="31">
        <f t="shared" si="31"/>
        <v>1</v>
      </c>
      <c r="O154" s="27"/>
      <c r="Q154" s="8">
        <v>0.96936115644145937</v>
      </c>
      <c r="R154" s="8" t="str">
        <f t="shared" si="32"/>
        <v>Minor Delay</v>
      </c>
      <c r="S154" s="33">
        <v>2.8126877028013304</v>
      </c>
      <c r="T154" t="s">
        <v>31</v>
      </c>
      <c r="U154" s="3">
        <v>0</v>
      </c>
      <c r="V154" s="3" t="str">
        <f t="shared" si="36"/>
        <v>Normal</v>
      </c>
      <c r="W154" s="3" t="s">
        <v>51</v>
      </c>
      <c r="X154" s="32">
        <f t="shared" si="33"/>
        <v>0.11719532094866736</v>
      </c>
      <c r="Z154" s="38">
        <f t="shared" si="37"/>
        <v>0</v>
      </c>
      <c r="AC154" s="36">
        <v>0.125</v>
      </c>
      <c r="AL154" t="str">
        <f t="shared" si="38"/>
        <v>Doctor Round Delay/Report Delay</v>
      </c>
      <c r="AM154" t="str">
        <f t="shared" si="39"/>
        <v>No</v>
      </c>
      <c r="AN154" t="str">
        <f t="shared" si="40"/>
        <v>Elective</v>
      </c>
      <c r="AO154" t="str">
        <f t="shared" si="41"/>
        <v>HDU</v>
      </c>
    </row>
    <row r="155" spans="1:41" x14ac:dyDescent="0.3">
      <c r="A155" s="21" t="str">
        <f t="shared" si="34"/>
        <v>UHID-00154</v>
      </c>
      <c r="B155" s="19">
        <v>41</v>
      </c>
      <c r="C155" s="11" t="s">
        <v>18</v>
      </c>
      <c r="D155" s="13" t="s">
        <v>28</v>
      </c>
      <c r="E155" s="13" t="s">
        <v>6</v>
      </c>
      <c r="F155" s="16">
        <v>46198.134142476898</v>
      </c>
      <c r="G155" s="5">
        <v>46198</v>
      </c>
      <c r="H155" s="2">
        <v>46198.658617025503</v>
      </c>
      <c r="I155" s="23">
        <v>46198</v>
      </c>
      <c r="J155" s="24">
        <f t="shared" si="28"/>
        <v>46198.564724855409</v>
      </c>
      <c r="K155" s="24">
        <f t="shared" si="29"/>
        <v>0.65861702550319023</v>
      </c>
      <c r="L155" s="29">
        <f t="shared" si="35"/>
        <v>46197</v>
      </c>
      <c r="M155" s="27" t="str">
        <f t="shared" si="30"/>
        <v>Doctor Round Delay/Report Delay</v>
      </c>
      <c r="N155" s="31">
        <f t="shared" si="31"/>
        <v>0</v>
      </c>
      <c r="O155" s="27"/>
      <c r="Q155" s="8">
        <v>0.89741163720268735</v>
      </c>
      <c r="R155" s="8" t="str">
        <f t="shared" si="32"/>
        <v>Minor Delay</v>
      </c>
      <c r="S155" s="33">
        <v>2.2534120823168391</v>
      </c>
      <c r="T155" t="s">
        <v>31</v>
      </c>
      <c r="U155" s="3">
        <v>0</v>
      </c>
      <c r="V155" s="3" t="str">
        <f t="shared" si="36"/>
        <v>Normal</v>
      </c>
      <c r="W155" s="3" t="s">
        <v>51</v>
      </c>
      <c r="X155" s="32">
        <f t="shared" si="33"/>
        <v>9.3892170094477478E-2</v>
      </c>
      <c r="Z155" s="38">
        <f t="shared" si="37"/>
        <v>0</v>
      </c>
      <c r="AC155" s="36">
        <v>0.125</v>
      </c>
      <c r="AL155" t="str">
        <f t="shared" si="38"/>
        <v>Doctor Round Delay/Report Delay</v>
      </c>
      <c r="AM155" t="str">
        <f t="shared" si="39"/>
        <v>No</v>
      </c>
      <c r="AN155" t="str">
        <f t="shared" si="40"/>
        <v>Elective</v>
      </c>
      <c r="AO155" t="str">
        <f t="shared" si="41"/>
        <v>HDU</v>
      </c>
    </row>
    <row r="156" spans="1:41" x14ac:dyDescent="0.3">
      <c r="A156" s="21" t="str">
        <f t="shared" si="34"/>
        <v>UHID-00155</v>
      </c>
      <c r="B156" s="19">
        <v>80</v>
      </c>
      <c r="C156" s="11" t="s">
        <v>17</v>
      </c>
      <c r="D156" s="13" t="s">
        <v>26</v>
      </c>
      <c r="E156" s="13" t="s">
        <v>6</v>
      </c>
      <c r="F156" s="16">
        <v>46199.660741064799</v>
      </c>
      <c r="G156" s="5">
        <v>46199</v>
      </c>
      <c r="H156" s="2">
        <v>46199.770205868102</v>
      </c>
      <c r="I156" s="23">
        <v>46199</v>
      </c>
      <c r="J156" s="24">
        <f t="shared" si="28"/>
        <v>46199.640698793948</v>
      </c>
      <c r="K156" s="24">
        <f t="shared" si="29"/>
        <v>0.7702058681024937</v>
      </c>
      <c r="L156" s="29">
        <f t="shared" si="35"/>
        <v>46198</v>
      </c>
      <c r="M156" s="27" t="str">
        <f t="shared" si="30"/>
        <v>TPA Approval Delay</v>
      </c>
      <c r="N156" s="31">
        <f t="shared" si="31"/>
        <v>0</v>
      </c>
      <c r="O156" s="27"/>
      <c r="Q156" s="8">
        <v>0.57906475078761921</v>
      </c>
      <c r="R156" s="8" t="str">
        <f t="shared" si="32"/>
        <v>Major Delay</v>
      </c>
      <c r="S156" s="33">
        <v>3.1081697796935956</v>
      </c>
      <c r="T156" t="s">
        <v>31</v>
      </c>
      <c r="U156" s="3">
        <v>0</v>
      </c>
      <c r="V156" s="3" t="str">
        <f t="shared" si="36"/>
        <v>Normal</v>
      </c>
      <c r="W156" s="3" t="s">
        <v>51</v>
      </c>
      <c r="X156" s="32">
        <f t="shared" si="33"/>
        <v>0.12950707415438956</v>
      </c>
      <c r="Z156" s="38">
        <f t="shared" si="37"/>
        <v>4.5070741543895565E-3</v>
      </c>
      <c r="AC156" s="36">
        <v>0.125</v>
      </c>
      <c r="AL156" t="str">
        <f t="shared" si="38"/>
        <v>TPA Approval Delay</v>
      </c>
      <c r="AM156" t="str">
        <f t="shared" si="39"/>
        <v>No</v>
      </c>
      <c r="AN156" t="str">
        <f t="shared" si="40"/>
        <v>Elective</v>
      </c>
      <c r="AO156" t="str">
        <f t="shared" si="41"/>
        <v>General Ward</v>
      </c>
    </row>
    <row r="157" spans="1:41" x14ac:dyDescent="0.3">
      <c r="A157" s="21" t="str">
        <f t="shared" si="34"/>
        <v>UHID-00156</v>
      </c>
      <c r="B157" s="19">
        <v>28</v>
      </c>
      <c r="C157" s="11" t="s">
        <v>18</v>
      </c>
      <c r="D157" s="13" t="s">
        <v>27</v>
      </c>
      <c r="E157" s="13" t="s">
        <v>6</v>
      </c>
      <c r="F157" s="16">
        <v>46199.540303159702</v>
      </c>
      <c r="G157" s="5">
        <v>46199</v>
      </c>
      <c r="H157" s="2">
        <v>46199.792941909698</v>
      </c>
      <c r="I157" s="23">
        <v>46199</v>
      </c>
      <c r="J157" s="24">
        <f t="shared" si="28"/>
        <v>46199.726834896406</v>
      </c>
      <c r="K157" s="24">
        <f t="shared" si="29"/>
        <v>0.79294190969812917</v>
      </c>
      <c r="L157" s="29">
        <f t="shared" si="35"/>
        <v>46198</v>
      </c>
      <c r="M157" s="27" t="str">
        <f t="shared" si="30"/>
        <v>Normal</v>
      </c>
      <c r="N157" s="31">
        <f t="shared" si="31"/>
        <v>0</v>
      </c>
      <c r="O157" s="27"/>
      <c r="Q157" s="8">
        <v>0.32802779682574135</v>
      </c>
      <c r="R157" s="8" t="str">
        <f t="shared" si="32"/>
        <v>On Time</v>
      </c>
      <c r="S157" s="33">
        <v>1.5865683190826929</v>
      </c>
      <c r="T157" t="s">
        <v>30</v>
      </c>
      <c r="U157" s="3">
        <v>0</v>
      </c>
      <c r="V157" s="3" t="str">
        <f t="shared" si="36"/>
        <v/>
      </c>
      <c r="W157" s="3" t="s">
        <v>51</v>
      </c>
      <c r="X157" s="32">
        <f t="shared" si="33"/>
        <v>6.6107013291912153E-2</v>
      </c>
      <c r="Z157" s="38">
        <f t="shared" si="37"/>
        <v>0</v>
      </c>
      <c r="AC157" s="36">
        <v>0.125</v>
      </c>
      <c r="AL157" t="str">
        <f t="shared" si="38"/>
        <v>Normal</v>
      </c>
      <c r="AM157" t="str">
        <f t="shared" si="39"/>
        <v>No</v>
      </c>
      <c r="AN157" t="str">
        <f t="shared" si="40"/>
        <v>Elective</v>
      </c>
      <c r="AO157" t="str">
        <f t="shared" si="41"/>
        <v>General Ward</v>
      </c>
    </row>
    <row r="158" spans="1:41" x14ac:dyDescent="0.3">
      <c r="A158" s="21" t="str">
        <f t="shared" si="34"/>
        <v>UHID-00157</v>
      </c>
      <c r="B158" s="19">
        <v>61</v>
      </c>
      <c r="C158" s="11" t="s">
        <v>18</v>
      </c>
      <c r="D158" s="13" t="s">
        <v>26</v>
      </c>
      <c r="E158" s="13" t="s">
        <v>6</v>
      </c>
      <c r="F158" s="16">
        <v>46199.409326388901</v>
      </c>
      <c r="G158" s="5">
        <v>46199</v>
      </c>
      <c r="H158" s="2">
        <v>46200.566047268498</v>
      </c>
      <c r="I158" s="23">
        <v>46200</v>
      </c>
      <c r="J158" s="24">
        <f t="shared" si="28"/>
        <v>46200.430488869701</v>
      </c>
      <c r="K158" s="24">
        <f t="shared" si="29"/>
        <v>0.5660472684976412</v>
      </c>
      <c r="L158" s="29">
        <f t="shared" si="35"/>
        <v>46199</v>
      </c>
      <c r="M158" s="27" t="str">
        <f t="shared" si="30"/>
        <v>TPA Approval Delay</v>
      </c>
      <c r="N158" s="31">
        <f t="shared" si="31"/>
        <v>1</v>
      </c>
      <c r="O158" s="27"/>
      <c r="Q158" s="8">
        <v>0.50172130300535001</v>
      </c>
      <c r="R158" s="8" t="str">
        <f t="shared" si="32"/>
        <v>Major Delay</v>
      </c>
      <c r="S158" s="33">
        <v>3.2534015711270774</v>
      </c>
      <c r="T158" t="s">
        <v>31</v>
      </c>
      <c r="U158" s="3">
        <v>0</v>
      </c>
      <c r="V158" s="3" t="str">
        <f t="shared" si="36"/>
        <v>Normal</v>
      </c>
      <c r="W158" s="3" t="s">
        <v>51</v>
      </c>
      <c r="X158" s="32">
        <f t="shared" si="33"/>
        <v>0.13555839879700216</v>
      </c>
      <c r="Z158" s="38">
        <f t="shared" si="37"/>
        <v>1.0558398797002155E-2</v>
      </c>
      <c r="AC158" s="36">
        <v>0.125</v>
      </c>
      <c r="AL158" t="str">
        <f t="shared" si="38"/>
        <v>TPA Approval Delay</v>
      </c>
      <c r="AM158" t="str">
        <f t="shared" si="39"/>
        <v>No</v>
      </c>
      <c r="AN158" t="str">
        <f t="shared" si="40"/>
        <v>Elective</v>
      </c>
      <c r="AO158" t="str">
        <f t="shared" si="41"/>
        <v>General Ward</v>
      </c>
    </row>
    <row r="159" spans="1:41" x14ac:dyDescent="0.3">
      <c r="A159" s="21" t="str">
        <f t="shared" si="34"/>
        <v>UHID-00158</v>
      </c>
      <c r="B159" s="19">
        <v>71</v>
      </c>
      <c r="C159" s="11" t="s">
        <v>18</v>
      </c>
      <c r="D159" s="13" t="s">
        <v>27</v>
      </c>
      <c r="E159" s="13" t="s">
        <v>6</v>
      </c>
      <c r="F159" s="16">
        <v>46193.561719687503</v>
      </c>
      <c r="G159" s="5">
        <v>46193</v>
      </c>
      <c r="H159" s="2">
        <v>46200.5237498032</v>
      </c>
      <c r="I159" s="23">
        <v>46200</v>
      </c>
      <c r="J159" s="24">
        <f t="shared" si="28"/>
        <v>46200.453731004382</v>
      </c>
      <c r="K159" s="24">
        <f t="shared" si="29"/>
        <v>0.52374980320018949</v>
      </c>
      <c r="L159" s="29">
        <f t="shared" si="35"/>
        <v>46199</v>
      </c>
      <c r="M159" s="27" t="str">
        <f t="shared" si="30"/>
        <v>Normal</v>
      </c>
      <c r="N159" s="31">
        <f t="shared" si="31"/>
        <v>7</v>
      </c>
      <c r="O159" s="27"/>
      <c r="Q159" s="8">
        <v>0.30696803262715744</v>
      </c>
      <c r="R159" s="8" t="str">
        <f t="shared" si="32"/>
        <v>On Time</v>
      </c>
      <c r="S159" s="33">
        <v>1.6804511715684196</v>
      </c>
      <c r="T159" t="s">
        <v>30</v>
      </c>
      <c r="U159" s="3">
        <v>0</v>
      </c>
      <c r="V159" s="3" t="str">
        <f t="shared" si="36"/>
        <v/>
      </c>
      <c r="W159" s="3" t="s">
        <v>51</v>
      </c>
      <c r="X159" s="32">
        <f t="shared" si="33"/>
        <v>7.0018798818637151E-2</v>
      </c>
      <c r="Z159" s="38">
        <f t="shared" si="37"/>
        <v>0</v>
      </c>
      <c r="AC159" s="36">
        <v>0.125</v>
      </c>
      <c r="AL159" t="str">
        <f t="shared" si="38"/>
        <v>Normal</v>
      </c>
      <c r="AM159" t="str">
        <f t="shared" si="39"/>
        <v>No</v>
      </c>
      <c r="AN159" t="str">
        <f t="shared" si="40"/>
        <v>Elective</v>
      </c>
      <c r="AO159" t="str">
        <f t="shared" si="41"/>
        <v>ICU</v>
      </c>
    </row>
    <row r="160" spans="1:41" x14ac:dyDescent="0.3">
      <c r="A160" s="21" t="str">
        <f t="shared" si="34"/>
        <v>UHID-00159</v>
      </c>
      <c r="B160" s="19">
        <v>88</v>
      </c>
      <c r="C160" s="11" t="s">
        <v>18</v>
      </c>
      <c r="D160" s="13" t="s">
        <v>26</v>
      </c>
      <c r="E160" s="13" t="s">
        <v>6</v>
      </c>
      <c r="F160" s="16">
        <v>46200.365773136597</v>
      </c>
      <c r="G160" s="5">
        <v>46200</v>
      </c>
      <c r="H160" s="2">
        <v>46200.647254178199</v>
      </c>
      <c r="I160" s="23">
        <v>46200</v>
      </c>
      <c r="J160" s="24">
        <f t="shared" si="28"/>
        <v>46200.401229493946</v>
      </c>
      <c r="K160" s="24">
        <f t="shared" si="29"/>
        <v>0.64725417819863651</v>
      </c>
      <c r="L160" s="29">
        <f t="shared" si="35"/>
        <v>46199</v>
      </c>
      <c r="M160" s="27" t="str">
        <f t="shared" si="30"/>
        <v>Health Deterioration/TPA Approval Delay</v>
      </c>
      <c r="N160" s="31">
        <f t="shared" si="31"/>
        <v>0</v>
      </c>
      <c r="O160" s="27"/>
      <c r="Q160" s="8">
        <v>0.53700658429631853</v>
      </c>
      <c r="R160" s="8" t="str">
        <f t="shared" si="32"/>
        <v>Critical Delay</v>
      </c>
      <c r="S160" s="33">
        <v>3.9045924219951242</v>
      </c>
      <c r="T160" t="s">
        <v>31</v>
      </c>
      <c r="U160" s="3">
        <v>2</v>
      </c>
      <c r="V160" s="3" t="str">
        <f t="shared" si="36"/>
        <v>Normal</v>
      </c>
      <c r="W160" s="3" t="s">
        <v>50</v>
      </c>
      <c r="X160" s="32">
        <f t="shared" si="33"/>
        <v>0.2460246842529159</v>
      </c>
      <c r="Z160" s="38">
        <f t="shared" si="37"/>
        <v>0.1210246842529159</v>
      </c>
      <c r="AC160" s="36">
        <v>0.125</v>
      </c>
      <c r="AL160" t="str">
        <f t="shared" si="38"/>
        <v>Health Deterioration/TPA Approval Delay</v>
      </c>
      <c r="AM160" t="str">
        <f t="shared" si="39"/>
        <v>Yes</v>
      </c>
      <c r="AN160" t="str">
        <f t="shared" si="40"/>
        <v>Emergency</v>
      </c>
      <c r="AO160" t="str">
        <f t="shared" si="41"/>
        <v>ICU</v>
      </c>
    </row>
    <row r="161" spans="1:41" x14ac:dyDescent="0.3">
      <c r="A161" s="21" t="str">
        <f t="shared" si="34"/>
        <v>UHID-00160</v>
      </c>
      <c r="B161" s="19">
        <v>68</v>
      </c>
      <c r="C161" s="11" t="s">
        <v>18</v>
      </c>
      <c r="D161" s="13" t="s">
        <v>27</v>
      </c>
      <c r="E161" s="13" t="s">
        <v>6</v>
      </c>
      <c r="F161" s="16">
        <v>46199.645032210603</v>
      </c>
      <c r="G161" s="5">
        <v>46199</v>
      </c>
      <c r="H161" s="2">
        <v>46201.463986805597</v>
      </c>
      <c r="I161" s="23">
        <v>46201</v>
      </c>
      <c r="J161" s="24">
        <f t="shared" si="28"/>
        <v>46201.40601102043</v>
      </c>
      <c r="K161" s="24">
        <f t="shared" si="29"/>
        <v>0.46398680559650529</v>
      </c>
      <c r="L161" s="29">
        <f t="shared" si="35"/>
        <v>46200</v>
      </c>
      <c r="M161" s="27" t="str">
        <f t="shared" si="30"/>
        <v>Normal</v>
      </c>
      <c r="N161" s="31">
        <f t="shared" si="31"/>
        <v>2</v>
      </c>
      <c r="O161" s="27"/>
      <c r="Q161" s="8">
        <v>0.45508539004138382</v>
      </c>
      <c r="R161" s="8" t="str">
        <f t="shared" si="32"/>
        <v>On Time</v>
      </c>
      <c r="S161" s="33">
        <v>1.3914188440029283</v>
      </c>
      <c r="T161" t="s">
        <v>31</v>
      </c>
      <c r="U161" s="3">
        <v>0</v>
      </c>
      <c r="V161" s="3" t="str">
        <f t="shared" si="36"/>
        <v>Normal</v>
      </c>
      <c r="W161" s="3" t="s">
        <v>51</v>
      </c>
      <c r="X161" s="32">
        <f t="shared" si="33"/>
        <v>5.7975785166490823E-2</v>
      </c>
      <c r="Z161" s="38">
        <f t="shared" si="37"/>
        <v>0</v>
      </c>
      <c r="AC161" s="36">
        <v>0.125</v>
      </c>
      <c r="AL161" t="str">
        <f t="shared" si="38"/>
        <v>Normal</v>
      </c>
      <c r="AM161" t="str">
        <f t="shared" si="39"/>
        <v>No</v>
      </c>
      <c r="AN161" t="str">
        <f t="shared" si="40"/>
        <v>Emergency</v>
      </c>
      <c r="AO161" t="str">
        <f t="shared" si="41"/>
        <v>ICU</v>
      </c>
    </row>
    <row r="162" spans="1:41" x14ac:dyDescent="0.3">
      <c r="A162" s="21" t="str">
        <f t="shared" si="34"/>
        <v>UHID-00161</v>
      </c>
      <c r="B162" s="19">
        <v>76</v>
      </c>
      <c r="C162" s="11" t="s">
        <v>18</v>
      </c>
      <c r="D162" s="13" t="s">
        <v>26</v>
      </c>
      <c r="E162" s="13" t="s">
        <v>6</v>
      </c>
      <c r="F162" s="16">
        <v>46192.841285208298</v>
      </c>
      <c r="G162" s="5">
        <v>46192</v>
      </c>
      <c r="H162" s="2">
        <v>46202.591112777802</v>
      </c>
      <c r="I162" s="23">
        <v>46202</v>
      </c>
      <c r="J162" s="24">
        <f t="shared" si="28"/>
        <v>46202.461188142202</v>
      </c>
      <c r="K162" s="24">
        <f t="shared" si="29"/>
        <v>0.59111277780175442</v>
      </c>
      <c r="L162" s="29">
        <f t="shared" si="35"/>
        <v>46201</v>
      </c>
      <c r="M162" s="27" t="str">
        <f t="shared" si="30"/>
        <v>TPA Approval Delay</v>
      </c>
      <c r="N162" s="31">
        <f t="shared" si="31"/>
        <v>10</v>
      </c>
      <c r="O162" s="27"/>
      <c r="Q162" s="8">
        <v>0.65737810544450503</v>
      </c>
      <c r="R162" s="8" t="str">
        <f t="shared" si="32"/>
        <v>Major Delay</v>
      </c>
      <c r="S162" s="33">
        <v>3.1181912543660175</v>
      </c>
      <c r="T162" t="s">
        <v>31</v>
      </c>
      <c r="U162" s="3">
        <v>0</v>
      </c>
      <c r="V162" s="3" t="str">
        <f t="shared" si="36"/>
        <v>Normal</v>
      </c>
      <c r="W162" s="3" t="s">
        <v>51</v>
      </c>
      <c r="X162" s="32">
        <f t="shared" si="33"/>
        <v>0.12992463559930911</v>
      </c>
      <c r="Z162" s="38">
        <f t="shared" si="37"/>
        <v>4.9246355993091129E-3</v>
      </c>
      <c r="AC162" s="36">
        <v>0.125</v>
      </c>
      <c r="AL162" t="str">
        <f t="shared" si="38"/>
        <v>TPA Approval Delay</v>
      </c>
      <c r="AM162" t="str">
        <f t="shared" si="39"/>
        <v>No</v>
      </c>
      <c r="AN162" t="str">
        <f t="shared" si="40"/>
        <v>Emergency</v>
      </c>
      <c r="AO162" t="str">
        <f t="shared" si="41"/>
        <v>ICU</v>
      </c>
    </row>
    <row r="163" spans="1:41" x14ac:dyDescent="0.3">
      <c r="A163" s="21" t="str">
        <f t="shared" si="34"/>
        <v>UHID-00162</v>
      </c>
      <c r="B163" s="19">
        <v>71</v>
      </c>
      <c r="C163" s="11" t="s">
        <v>18</v>
      </c>
      <c r="D163" s="13" t="s">
        <v>26</v>
      </c>
      <c r="E163" s="13" t="s">
        <v>6</v>
      </c>
      <c r="F163" s="16">
        <v>46200.751047997699</v>
      </c>
      <c r="G163" s="5">
        <v>46200</v>
      </c>
      <c r="H163" s="2">
        <v>46202.614892986101</v>
      </c>
      <c r="I163" s="23">
        <v>46202</v>
      </c>
      <c r="J163" s="24">
        <f t="shared" si="28"/>
        <v>46202.478550956286</v>
      </c>
      <c r="K163" s="24">
        <f t="shared" si="29"/>
        <v>0.61489298610104015</v>
      </c>
      <c r="L163" s="29">
        <f t="shared" si="35"/>
        <v>46201</v>
      </c>
      <c r="M163" s="27" t="str">
        <f t="shared" si="30"/>
        <v>TPA Approval Delay</v>
      </c>
      <c r="N163" s="31">
        <f t="shared" si="31"/>
        <v>2</v>
      </c>
      <c r="O163" s="27"/>
      <c r="Q163" s="8">
        <v>0.75604731086670862</v>
      </c>
      <c r="R163" s="8" t="str">
        <f t="shared" si="32"/>
        <v>Major Delay</v>
      </c>
      <c r="S163" s="33">
        <v>3.2722087155847217</v>
      </c>
      <c r="T163" t="s">
        <v>31</v>
      </c>
      <c r="U163" s="3">
        <v>0</v>
      </c>
      <c r="V163" s="3" t="str">
        <f t="shared" si="36"/>
        <v>Normal</v>
      </c>
      <c r="W163" s="3" t="s">
        <v>51</v>
      </c>
      <c r="X163" s="32">
        <f t="shared" si="33"/>
        <v>0.13634202981484123</v>
      </c>
      <c r="Z163" s="38">
        <f t="shared" si="37"/>
        <v>1.1342029814841226E-2</v>
      </c>
      <c r="AC163" s="36">
        <v>0.125</v>
      </c>
      <c r="AL163" t="str">
        <f t="shared" si="38"/>
        <v>TPA Approval Delay</v>
      </c>
      <c r="AM163" t="str">
        <f t="shared" si="39"/>
        <v>No</v>
      </c>
      <c r="AN163" t="str">
        <f t="shared" si="40"/>
        <v>Elective</v>
      </c>
      <c r="AO163" t="str">
        <f t="shared" si="41"/>
        <v>ICU</v>
      </c>
    </row>
    <row r="164" spans="1:41" x14ac:dyDescent="0.3">
      <c r="A164" s="21" t="str">
        <f t="shared" si="34"/>
        <v>UHID-00163</v>
      </c>
      <c r="B164" s="19">
        <v>39</v>
      </c>
      <c r="C164" s="11" t="s">
        <v>18</v>
      </c>
      <c r="D164" s="13" t="s">
        <v>27</v>
      </c>
      <c r="E164" s="13" t="s">
        <v>6</v>
      </c>
      <c r="F164" s="16">
        <v>46202.413998391203</v>
      </c>
      <c r="G164" s="5">
        <v>46202</v>
      </c>
      <c r="H164" s="2">
        <v>46202.705131805596</v>
      </c>
      <c r="I164" s="23">
        <v>46202</v>
      </c>
      <c r="J164" s="24">
        <f t="shared" si="28"/>
        <v>46202.657952462381</v>
      </c>
      <c r="K164" s="24">
        <f t="shared" si="29"/>
        <v>0.70513180559646571</v>
      </c>
      <c r="L164" s="29">
        <f t="shared" si="35"/>
        <v>46201</v>
      </c>
      <c r="M164" s="27" t="str">
        <f t="shared" si="30"/>
        <v>Normal</v>
      </c>
      <c r="N164" s="31">
        <f t="shared" si="31"/>
        <v>0</v>
      </c>
      <c r="O164" s="27"/>
      <c r="Q164" s="8">
        <v>0.34299553747384315</v>
      </c>
      <c r="R164" s="8" t="str">
        <f t="shared" si="32"/>
        <v>On Time</v>
      </c>
      <c r="S164" s="33">
        <v>1.1323042371992547</v>
      </c>
      <c r="T164" t="s">
        <v>30</v>
      </c>
      <c r="U164" s="3">
        <v>0</v>
      </c>
      <c r="V164" s="3" t="str">
        <f t="shared" si="36"/>
        <v/>
      </c>
      <c r="W164" s="3" t="s">
        <v>51</v>
      </c>
      <c r="X164" s="32">
        <f t="shared" si="33"/>
        <v>4.7179343215248082E-2</v>
      </c>
      <c r="Z164" s="38">
        <f t="shared" si="37"/>
        <v>0</v>
      </c>
      <c r="AC164" s="36">
        <v>0.125</v>
      </c>
      <c r="AL164" t="str">
        <f t="shared" si="38"/>
        <v>Normal</v>
      </c>
      <c r="AM164" t="str">
        <f t="shared" si="39"/>
        <v>No</v>
      </c>
      <c r="AN164" t="str">
        <f t="shared" si="40"/>
        <v>Elective</v>
      </c>
      <c r="AO164" t="str">
        <f t="shared" si="41"/>
        <v>HDU</v>
      </c>
    </row>
    <row r="165" spans="1:41" x14ac:dyDescent="0.3">
      <c r="A165" s="21" t="str">
        <f t="shared" si="34"/>
        <v>UHID-00164</v>
      </c>
      <c r="B165" s="19">
        <v>35</v>
      </c>
      <c r="C165" s="11" t="s">
        <v>17</v>
      </c>
      <c r="D165" s="13" t="s">
        <v>26</v>
      </c>
      <c r="E165" s="13" t="s">
        <v>6</v>
      </c>
      <c r="F165" s="16">
        <v>46202.4056391782</v>
      </c>
      <c r="G165" s="5">
        <v>46202</v>
      </c>
      <c r="H165" s="2">
        <v>46202.706320393503</v>
      </c>
      <c r="I165" s="23">
        <v>46202</v>
      </c>
      <c r="J165" s="24">
        <f t="shared" si="28"/>
        <v>46202.341063597749</v>
      </c>
      <c r="K165" s="24">
        <f t="shared" si="29"/>
        <v>0.7063203935031197</v>
      </c>
      <c r="L165" s="29">
        <f t="shared" si="35"/>
        <v>46201</v>
      </c>
      <c r="M165" s="27" t="str">
        <f t="shared" si="30"/>
        <v>Health Deterioration/TPA Approval Delay</v>
      </c>
      <c r="N165" s="31">
        <f t="shared" si="31"/>
        <v>0</v>
      </c>
      <c r="O165" s="27"/>
      <c r="Q165" s="8">
        <v>0.62333160859574566</v>
      </c>
      <c r="R165" s="8" t="str">
        <f t="shared" si="32"/>
        <v>Critical Delay</v>
      </c>
      <c r="S165" s="33">
        <v>3.7661630980298244</v>
      </c>
      <c r="T165" t="s">
        <v>31</v>
      </c>
      <c r="U165" s="3">
        <v>5</v>
      </c>
      <c r="V165" s="3" t="str">
        <f t="shared" si="36"/>
        <v>Normal</v>
      </c>
      <c r="W165" s="3" t="s">
        <v>52</v>
      </c>
      <c r="X165" s="32">
        <f t="shared" si="33"/>
        <v>0.36525679575424874</v>
      </c>
      <c r="Z165" s="38">
        <f t="shared" si="37"/>
        <v>0.24025679575424874</v>
      </c>
      <c r="AC165" s="36">
        <v>0.125</v>
      </c>
      <c r="AL165" t="str">
        <f t="shared" si="38"/>
        <v>Health Deterioration/TPA Approval Delay</v>
      </c>
      <c r="AM165" t="str">
        <f t="shared" si="39"/>
        <v>No</v>
      </c>
      <c r="AN165" t="str">
        <f t="shared" si="40"/>
        <v>Elective</v>
      </c>
      <c r="AO165" t="str">
        <f t="shared" si="41"/>
        <v>HDU</v>
      </c>
    </row>
    <row r="166" spans="1:41" x14ac:dyDescent="0.3">
      <c r="A166" s="21" t="str">
        <f t="shared" si="34"/>
        <v>UHID-00165</v>
      </c>
      <c r="B166" s="19">
        <v>72</v>
      </c>
      <c r="C166" s="11" t="s">
        <v>18</v>
      </c>
      <c r="D166" s="13" t="s">
        <v>28</v>
      </c>
      <c r="E166" s="13" t="s">
        <v>6</v>
      </c>
      <c r="F166" s="16">
        <v>46199.008292071798</v>
      </c>
      <c r="G166" s="5">
        <v>46199</v>
      </c>
      <c r="H166" s="2">
        <v>46202.711435844903</v>
      </c>
      <c r="I166" s="23">
        <v>46202</v>
      </c>
      <c r="J166" s="24">
        <f t="shared" si="28"/>
        <v>46202.610674315554</v>
      </c>
      <c r="K166" s="24">
        <f t="shared" si="29"/>
        <v>0.71143584490346257</v>
      </c>
      <c r="L166" s="29">
        <f t="shared" si="35"/>
        <v>46201</v>
      </c>
      <c r="M166" s="27" t="str">
        <f t="shared" si="30"/>
        <v>Doctor Round Delay/Report Delay</v>
      </c>
      <c r="N166" s="31">
        <f t="shared" si="31"/>
        <v>3</v>
      </c>
      <c r="O166" s="27"/>
      <c r="Q166" s="8">
        <v>0.90404629509377332</v>
      </c>
      <c r="R166" s="8" t="str">
        <f t="shared" si="32"/>
        <v>Minor Delay</v>
      </c>
      <c r="S166" s="33">
        <v>2.418276704322146</v>
      </c>
      <c r="T166" t="s">
        <v>31</v>
      </c>
      <c r="U166" s="3">
        <v>0</v>
      </c>
      <c r="V166" s="3" t="str">
        <f t="shared" si="36"/>
        <v>Normal</v>
      </c>
      <c r="W166" s="3" t="s">
        <v>51</v>
      </c>
      <c r="X166" s="32">
        <f t="shared" si="33"/>
        <v>0.10076152934925631</v>
      </c>
      <c r="Z166" s="38">
        <f t="shared" si="37"/>
        <v>0</v>
      </c>
      <c r="AC166" s="36">
        <v>0.125</v>
      </c>
      <c r="AL166" t="str">
        <f t="shared" si="38"/>
        <v>Doctor Round Delay/Report Delay</v>
      </c>
      <c r="AM166" t="str">
        <f t="shared" si="39"/>
        <v>No</v>
      </c>
      <c r="AN166" t="str">
        <f t="shared" si="40"/>
        <v>Elective</v>
      </c>
      <c r="AO166" t="str">
        <f t="shared" si="41"/>
        <v>General Ward</v>
      </c>
    </row>
    <row r="167" spans="1:41" x14ac:dyDescent="0.3">
      <c r="A167" s="21" t="str">
        <f t="shared" si="34"/>
        <v>UHID-00166</v>
      </c>
      <c r="B167" s="19">
        <v>63</v>
      </c>
      <c r="C167" s="11" t="s">
        <v>18</v>
      </c>
      <c r="D167" s="13" t="s">
        <v>27</v>
      </c>
      <c r="E167" s="13" t="s">
        <v>6</v>
      </c>
      <c r="F167" s="16">
        <v>46202.673022094903</v>
      </c>
      <c r="G167" s="5">
        <v>46202</v>
      </c>
      <c r="H167" s="2">
        <v>46202.814186006901</v>
      </c>
      <c r="I167" s="23">
        <v>46202</v>
      </c>
      <c r="J167" s="24">
        <f t="shared" si="28"/>
        <v>46202.756250551814</v>
      </c>
      <c r="K167" s="24">
        <f t="shared" si="29"/>
        <v>0.81418600690085441</v>
      </c>
      <c r="L167" s="29">
        <f t="shared" si="35"/>
        <v>46201</v>
      </c>
      <c r="M167" s="27" t="str">
        <f t="shared" si="30"/>
        <v>Normal</v>
      </c>
      <c r="N167" s="31">
        <f t="shared" si="31"/>
        <v>0</v>
      </c>
      <c r="O167" s="27"/>
      <c r="Q167" s="8">
        <v>0.43756499636346757</v>
      </c>
      <c r="R167" s="8" t="str">
        <f t="shared" si="32"/>
        <v>On Time</v>
      </c>
      <c r="S167" s="33">
        <v>1.3904509221488244</v>
      </c>
      <c r="T167" t="s">
        <v>31</v>
      </c>
      <c r="U167" s="3">
        <v>0</v>
      </c>
      <c r="V167" s="3" t="str">
        <f t="shared" si="36"/>
        <v>Normal</v>
      </c>
      <c r="W167" s="3" t="s">
        <v>51</v>
      </c>
      <c r="X167" s="32">
        <f t="shared" si="33"/>
        <v>5.7935455086408183E-2</v>
      </c>
      <c r="Z167" s="38">
        <f t="shared" si="37"/>
        <v>0</v>
      </c>
      <c r="AC167" s="36">
        <v>0.125</v>
      </c>
      <c r="AL167" t="str">
        <f t="shared" si="38"/>
        <v>Normal</v>
      </c>
      <c r="AM167" t="str">
        <f t="shared" si="39"/>
        <v>No</v>
      </c>
      <c r="AN167" t="str">
        <f t="shared" si="40"/>
        <v>Elective</v>
      </c>
      <c r="AO167" t="str">
        <f t="shared" si="41"/>
        <v>General Ward</v>
      </c>
    </row>
    <row r="168" spans="1:41" x14ac:dyDescent="0.3">
      <c r="A168" s="21" t="str">
        <f t="shared" si="34"/>
        <v>UHID-00167</v>
      </c>
      <c r="B168" s="19">
        <v>78</v>
      </c>
      <c r="C168" s="11" t="s">
        <v>17</v>
      </c>
      <c r="D168" s="13" t="s">
        <v>27</v>
      </c>
      <c r="E168" s="13" t="s">
        <v>6</v>
      </c>
      <c r="F168" s="16">
        <v>46196.695030463001</v>
      </c>
      <c r="G168" s="5">
        <v>46196</v>
      </c>
      <c r="H168" s="2">
        <v>46203.550358958302</v>
      </c>
      <c r="I168" s="23">
        <v>46203</v>
      </c>
      <c r="J168" s="24">
        <f t="shared" si="28"/>
        <v>46203.468360687402</v>
      </c>
      <c r="K168" s="24">
        <f t="shared" si="29"/>
        <v>0.55035895830224035</v>
      </c>
      <c r="L168" s="29">
        <f t="shared" si="35"/>
        <v>46202</v>
      </c>
      <c r="M168" s="27" t="str">
        <f t="shared" si="30"/>
        <v>Normal</v>
      </c>
      <c r="N168" s="31">
        <f t="shared" si="31"/>
        <v>7</v>
      </c>
      <c r="O168" s="27"/>
      <c r="Q168" s="8">
        <v>7.3859780704274014E-3</v>
      </c>
      <c r="R168" s="8" t="str">
        <f t="shared" si="32"/>
        <v>On Time</v>
      </c>
      <c r="S168" s="33">
        <v>1.9679585015660626</v>
      </c>
      <c r="T168" t="s">
        <v>30</v>
      </c>
      <c r="U168" s="3">
        <v>0</v>
      </c>
      <c r="V168" s="3" t="str">
        <f t="shared" si="36"/>
        <v/>
      </c>
      <c r="W168" s="3" t="s">
        <v>51</v>
      </c>
      <c r="X168" s="32">
        <f t="shared" si="33"/>
        <v>8.1998270899930503E-2</v>
      </c>
      <c r="Z168" s="38">
        <f t="shared" si="37"/>
        <v>0</v>
      </c>
      <c r="AC168" s="36">
        <v>0.125</v>
      </c>
      <c r="AL168" t="str">
        <f t="shared" si="38"/>
        <v>Normal</v>
      </c>
      <c r="AM168" t="str">
        <f t="shared" si="39"/>
        <v>No</v>
      </c>
      <c r="AN168" t="str">
        <f t="shared" si="40"/>
        <v>Elective</v>
      </c>
      <c r="AO168" t="str">
        <f t="shared" si="41"/>
        <v>ICU</v>
      </c>
    </row>
    <row r="169" spans="1:41" x14ac:dyDescent="0.3">
      <c r="A169" s="21" t="str">
        <f t="shared" si="34"/>
        <v>UHID-00168</v>
      </c>
      <c r="B169" s="19">
        <v>55</v>
      </c>
      <c r="C169" s="11" t="s">
        <v>17</v>
      </c>
      <c r="D169" s="13" t="s">
        <v>27</v>
      </c>
      <c r="E169" s="13" t="s">
        <v>6</v>
      </c>
      <c r="F169" s="16">
        <v>46201.013398206</v>
      </c>
      <c r="G169" s="5">
        <v>46201</v>
      </c>
      <c r="H169" s="2">
        <v>46203.639553981498</v>
      </c>
      <c r="I169" s="23">
        <v>46203</v>
      </c>
      <c r="J169" s="24">
        <f t="shared" si="28"/>
        <v>46203.55728426174</v>
      </c>
      <c r="K169" s="24">
        <f t="shared" si="29"/>
        <v>0.63955398149846587</v>
      </c>
      <c r="L169" s="29">
        <f t="shared" si="35"/>
        <v>46202</v>
      </c>
      <c r="M169" s="27" t="str">
        <f t="shared" si="30"/>
        <v>Normal</v>
      </c>
      <c r="N169" s="31">
        <f t="shared" si="31"/>
        <v>2</v>
      </c>
      <c r="O169" s="27"/>
      <c r="Q169" s="8">
        <v>0.36440216147624671</v>
      </c>
      <c r="R169" s="8" t="str">
        <f t="shared" si="32"/>
        <v>On Time</v>
      </c>
      <c r="S169" s="33">
        <v>1.9744732741118107</v>
      </c>
      <c r="T169" t="s">
        <v>31</v>
      </c>
      <c r="U169" s="3">
        <v>0</v>
      </c>
      <c r="V169" s="3" t="str">
        <f t="shared" si="36"/>
        <v>Normal</v>
      </c>
      <c r="W169" s="3" t="s">
        <v>51</v>
      </c>
      <c r="X169" s="32">
        <f t="shared" si="33"/>
        <v>8.2269719758187421E-2</v>
      </c>
      <c r="Z169" s="38">
        <f t="shared" si="37"/>
        <v>0</v>
      </c>
      <c r="AC169" s="36">
        <v>0.125</v>
      </c>
      <c r="AL169" t="str">
        <f t="shared" si="38"/>
        <v>Normal</v>
      </c>
      <c r="AM169" t="str">
        <f t="shared" si="39"/>
        <v>No</v>
      </c>
      <c r="AN169" t="str">
        <f t="shared" si="40"/>
        <v>Elective</v>
      </c>
      <c r="AO169" t="str">
        <f t="shared" si="41"/>
        <v>General Ward</v>
      </c>
    </row>
    <row r="170" spans="1:41" x14ac:dyDescent="0.3">
      <c r="A170" s="21" t="str">
        <f t="shared" si="34"/>
        <v>UHID-00169</v>
      </c>
      <c r="B170" s="19">
        <v>72</v>
      </c>
      <c r="C170" s="11" t="s">
        <v>18</v>
      </c>
      <c r="D170" s="13" t="s">
        <v>27</v>
      </c>
      <c r="E170" s="13" t="s">
        <v>6</v>
      </c>
      <c r="F170" s="16">
        <v>46203.522456898201</v>
      </c>
      <c r="G170" s="5">
        <v>46203</v>
      </c>
      <c r="H170" s="2">
        <v>46203.6873228935</v>
      </c>
      <c r="I170" s="23">
        <v>46203</v>
      </c>
      <c r="J170" s="24">
        <f t="shared" si="28"/>
        <v>46203.608096309588</v>
      </c>
      <c r="K170" s="24">
        <f t="shared" si="29"/>
        <v>0.68732289350009523</v>
      </c>
      <c r="L170" s="29">
        <f t="shared" si="35"/>
        <v>46202</v>
      </c>
      <c r="M170" s="27" t="str">
        <f t="shared" si="30"/>
        <v>Normal</v>
      </c>
      <c r="N170" s="31">
        <f t="shared" si="31"/>
        <v>0</v>
      </c>
      <c r="O170" s="27"/>
      <c r="Q170" s="8">
        <v>0.25411597769809913</v>
      </c>
      <c r="R170" s="8" t="str">
        <f t="shared" si="32"/>
        <v>On Time</v>
      </c>
      <c r="S170" s="33">
        <v>1.9014380139416798</v>
      </c>
      <c r="T170" t="s">
        <v>30</v>
      </c>
      <c r="U170" s="3">
        <v>0</v>
      </c>
      <c r="V170" s="3" t="str">
        <f t="shared" si="36"/>
        <v/>
      </c>
      <c r="W170" s="3" t="s">
        <v>51</v>
      </c>
      <c r="X170" s="32">
        <f t="shared" si="33"/>
        <v>7.9226583911804482E-2</v>
      </c>
      <c r="Z170" s="38">
        <f t="shared" si="37"/>
        <v>0</v>
      </c>
      <c r="AC170" s="36">
        <v>0.125</v>
      </c>
      <c r="AL170" t="str">
        <f t="shared" si="38"/>
        <v>Normal</v>
      </c>
      <c r="AM170" t="str">
        <f t="shared" si="39"/>
        <v>No</v>
      </c>
      <c r="AN170" t="str">
        <f t="shared" si="40"/>
        <v>Emergency</v>
      </c>
      <c r="AO170" t="str">
        <f t="shared" si="41"/>
        <v>ICU</v>
      </c>
    </row>
    <row r="171" spans="1:41" x14ac:dyDescent="0.3">
      <c r="A171" s="21" t="str">
        <f t="shared" si="34"/>
        <v>UHID-00170</v>
      </c>
      <c r="B171" s="19">
        <v>41</v>
      </c>
      <c r="C171" s="11" t="s">
        <v>18</v>
      </c>
      <c r="D171" s="13" t="s">
        <v>27</v>
      </c>
      <c r="E171" s="13" t="s">
        <v>6</v>
      </c>
      <c r="F171" s="16">
        <v>46203.4471919676</v>
      </c>
      <c r="G171" s="5">
        <v>46203</v>
      </c>
      <c r="H171" s="2">
        <v>46203.6988538773</v>
      </c>
      <c r="I171" s="23">
        <v>46203</v>
      </c>
      <c r="J171" s="24">
        <f t="shared" si="28"/>
        <v>46203.62740551048</v>
      </c>
      <c r="K171" s="24">
        <f t="shared" si="29"/>
        <v>0.69885387730028015</v>
      </c>
      <c r="L171" s="29">
        <f t="shared" si="35"/>
        <v>46202</v>
      </c>
      <c r="M171" s="27" t="str">
        <f t="shared" si="30"/>
        <v>Normal</v>
      </c>
      <c r="N171" s="31">
        <f t="shared" si="31"/>
        <v>0</v>
      </c>
      <c r="O171" s="27"/>
      <c r="Q171" s="8">
        <v>0.22246253437536567</v>
      </c>
      <c r="R171" s="8" t="str">
        <f t="shared" si="32"/>
        <v>On Time</v>
      </c>
      <c r="S171" s="33">
        <v>1.7147608037623345</v>
      </c>
      <c r="T171" t="s">
        <v>30</v>
      </c>
      <c r="U171" s="3">
        <v>0</v>
      </c>
      <c r="V171" s="3" t="str">
        <f t="shared" si="36"/>
        <v/>
      </c>
      <c r="W171" s="3" t="s">
        <v>51</v>
      </c>
      <c r="X171" s="32">
        <f t="shared" si="33"/>
        <v>7.1448366819822695E-2</v>
      </c>
      <c r="Z171" s="38">
        <f t="shared" si="37"/>
        <v>0</v>
      </c>
      <c r="AC171" s="36">
        <v>0.125</v>
      </c>
      <c r="AL171" t="str">
        <f t="shared" si="38"/>
        <v>Normal</v>
      </c>
      <c r="AM171" t="str">
        <f t="shared" si="39"/>
        <v>No</v>
      </c>
      <c r="AN171" t="str">
        <f t="shared" si="40"/>
        <v>Emergency</v>
      </c>
      <c r="AO171" t="str">
        <f t="shared" si="41"/>
        <v>ICU</v>
      </c>
    </row>
    <row r="172" spans="1:41" x14ac:dyDescent="0.3">
      <c r="A172" s="21" t="str">
        <f t="shared" si="34"/>
        <v>UHID-00171</v>
      </c>
      <c r="B172" s="19">
        <v>50</v>
      </c>
      <c r="C172" s="11" t="s">
        <v>18</v>
      </c>
      <c r="D172" s="13" t="s">
        <v>27</v>
      </c>
      <c r="E172" s="13" t="s">
        <v>6</v>
      </c>
      <c r="F172" s="16">
        <v>46197.009275185199</v>
      </c>
      <c r="G172" s="5">
        <v>46197</v>
      </c>
      <c r="H172" s="2">
        <v>46203.675694444399</v>
      </c>
      <c r="I172" s="23">
        <v>46203</v>
      </c>
      <c r="J172" s="24">
        <f t="shared" si="28"/>
        <v>46203.599277376823</v>
      </c>
      <c r="K172" s="24">
        <f t="shared" si="29"/>
        <v>0.67569444439868676</v>
      </c>
      <c r="L172" s="29">
        <f t="shared" si="35"/>
        <v>46202</v>
      </c>
      <c r="M172" s="27" t="str">
        <f t="shared" si="30"/>
        <v>Normal</v>
      </c>
      <c r="N172" s="31">
        <f t="shared" si="31"/>
        <v>6</v>
      </c>
      <c r="O172" s="27"/>
      <c r="Q172" s="8">
        <v>1.5491422595240723E-2</v>
      </c>
      <c r="R172" s="8" t="str">
        <f t="shared" si="32"/>
        <v>On Time</v>
      </c>
      <c r="S172" s="33">
        <v>1.8340096218242121</v>
      </c>
      <c r="T172" t="s">
        <v>30</v>
      </c>
      <c r="U172" s="3">
        <v>0</v>
      </c>
      <c r="V172" s="3" t="str">
        <f t="shared" si="36"/>
        <v/>
      </c>
      <c r="W172" s="3" t="s">
        <v>51</v>
      </c>
      <c r="X172" s="32">
        <f t="shared" si="33"/>
        <v>7.6417067575675901E-2</v>
      </c>
      <c r="Z172" s="38">
        <f t="shared" si="37"/>
        <v>0</v>
      </c>
      <c r="AC172" s="36">
        <v>0.125</v>
      </c>
      <c r="AL172" t="str">
        <f t="shared" si="38"/>
        <v>Normal</v>
      </c>
      <c r="AM172" t="str">
        <f t="shared" si="39"/>
        <v>No</v>
      </c>
      <c r="AN172" t="str">
        <f t="shared" si="40"/>
        <v>Emergency</v>
      </c>
      <c r="AO172" t="str">
        <f t="shared" si="41"/>
        <v>ICU</v>
      </c>
    </row>
    <row r="173" spans="1:41" x14ac:dyDescent="0.3">
      <c r="A173" s="21" t="str">
        <f t="shared" si="34"/>
        <v>UHID-00172</v>
      </c>
      <c r="B173" s="18">
        <v>37</v>
      </c>
      <c r="C173" s="10" t="s">
        <v>17</v>
      </c>
      <c r="D173" s="13" t="s">
        <v>27</v>
      </c>
      <c r="E173" s="13" t="s">
        <v>13</v>
      </c>
      <c r="F173" s="15">
        <v>46173.563598622699</v>
      </c>
      <c r="G173" s="4">
        <v>46173</v>
      </c>
      <c r="H173" s="1">
        <v>46176.7265212153</v>
      </c>
      <c r="I173" s="22">
        <v>46176</v>
      </c>
      <c r="J173" s="24">
        <f t="shared" si="28"/>
        <v>46176.651655001908</v>
      </c>
      <c r="K173" s="24">
        <f t="shared" si="29"/>
        <v>0.72652121529972646</v>
      </c>
      <c r="L173" s="29">
        <f t="shared" si="35"/>
        <v>46175</v>
      </c>
      <c r="M173" s="27" t="str">
        <f t="shared" si="30"/>
        <v>Normal</v>
      </c>
      <c r="N173" s="31">
        <f t="shared" si="31"/>
        <v>3</v>
      </c>
      <c r="O173" s="27"/>
      <c r="Q173" s="8">
        <v>0.32844629241695411</v>
      </c>
      <c r="R173" s="8" t="str">
        <f t="shared" si="32"/>
        <v>On Time</v>
      </c>
      <c r="S173" s="33">
        <v>1.7967891213531324</v>
      </c>
      <c r="T173" t="s">
        <v>30</v>
      </c>
      <c r="U173" s="3">
        <v>0</v>
      </c>
      <c r="V173" s="3" t="str">
        <f t="shared" si="36"/>
        <v/>
      </c>
      <c r="W173" s="3" t="s">
        <v>51</v>
      </c>
      <c r="X173" s="32">
        <f t="shared" si="33"/>
        <v>7.4866213391942438E-2</v>
      </c>
      <c r="Z173" s="38">
        <f t="shared" si="37"/>
        <v>0</v>
      </c>
      <c r="AC173" s="36">
        <v>0.125</v>
      </c>
      <c r="AL173" t="str">
        <f t="shared" si="38"/>
        <v>Normal</v>
      </c>
      <c r="AM173" t="str">
        <f t="shared" si="39"/>
        <v>No</v>
      </c>
      <c r="AN173" t="str">
        <f t="shared" si="40"/>
        <v>Elective</v>
      </c>
      <c r="AO173" t="str">
        <f t="shared" si="41"/>
        <v>General Ward</v>
      </c>
    </row>
    <row r="174" spans="1:41" x14ac:dyDescent="0.3">
      <c r="A174" s="21" t="str">
        <f t="shared" si="34"/>
        <v>UHID-00173</v>
      </c>
      <c r="B174" s="18">
        <v>24</v>
      </c>
      <c r="C174" s="10" t="s">
        <v>18</v>
      </c>
      <c r="D174" s="13" t="s">
        <v>26</v>
      </c>
      <c r="E174" s="13" t="s">
        <v>13</v>
      </c>
      <c r="F174" s="15">
        <v>46174.726364294002</v>
      </c>
      <c r="G174" s="4">
        <v>46174</v>
      </c>
      <c r="H174" s="1">
        <v>46179.358651493101</v>
      </c>
      <c r="I174" s="22">
        <v>46179</v>
      </c>
      <c r="J174" s="24">
        <f t="shared" si="28"/>
        <v>46179.110676815559</v>
      </c>
      <c r="K174" s="24">
        <f t="shared" si="29"/>
        <v>0.35865149310120614</v>
      </c>
      <c r="L174" s="29">
        <f t="shared" si="35"/>
        <v>46178</v>
      </c>
      <c r="M174" s="27" t="str">
        <f t="shared" si="30"/>
        <v>Health Deterioration/TPA Approval Delay</v>
      </c>
      <c r="N174" s="31">
        <f t="shared" si="31"/>
        <v>5</v>
      </c>
      <c r="O174" s="27"/>
      <c r="Q174" s="8">
        <v>0.61406983985661512</v>
      </c>
      <c r="R174" s="8" t="str">
        <f t="shared" si="32"/>
        <v>Critical Delay</v>
      </c>
      <c r="S174" s="33">
        <v>3.9513922609802217</v>
      </c>
      <c r="T174" t="s">
        <v>31</v>
      </c>
      <c r="U174" s="3">
        <v>2</v>
      </c>
      <c r="V174" s="3" t="str">
        <f t="shared" si="36"/>
        <v>Normal</v>
      </c>
      <c r="W174" s="3" t="s">
        <v>50</v>
      </c>
      <c r="X174" s="32">
        <f t="shared" si="33"/>
        <v>0.24797467754251556</v>
      </c>
      <c r="Z174" s="38">
        <f t="shared" si="37"/>
        <v>0.12297467754251556</v>
      </c>
      <c r="AC174" s="36">
        <v>0.125</v>
      </c>
      <c r="AL174" t="str">
        <f t="shared" si="38"/>
        <v>Health Deterioration/TPA Approval Delay</v>
      </c>
      <c r="AM174" t="str">
        <f t="shared" si="39"/>
        <v>No</v>
      </c>
      <c r="AN174" t="str">
        <f t="shared" si="40"/>
        <v>Emergency</v>
      </c>
      <c r="AO174" t="str">
        <f t="shared" si="41"/>
        <v>HDU</v>
      </c>
    </row>
    <row r="175" spans="1:41" x14ac:dyDescent="0.3">
      <c r="A175" s="21" t="str">
        <f t="shared" si="34"/>
        <v>UHID-00174</v>
      </c>
      <c r="B175" s="18">
        <v>10</v>
      </c>
      <c r="C175" s="10" t="s">
        <v>18</v>
      </c>
      <c r="D175" s="13" t="s">
        <v>27</v>
      </c>
      <c r="E175" s="13" t="s">
        <v>13</v>
      </c>
      <c r="F175" s="15">
        <v>46178.873077557902</v>
      </c>
      <c r="G175" s="4">
        <v>46178</v>
      </c>
      <c r="H175" s="1">
        <v>46180.3231372222</v>
      </c>
      <c r="I175" s="22">
        <v>46180</v>
      </c>
      <c r="J175" s="24">
        <f t="shared" si="28"/>
        <v>46180.267268063471</v>
      </c>
      <c r="K175" s="24">
        <f t="shared" si="29"/>
        <v>0.3231372221998754</v>
      </c>
      <c r="L175" s="29">
        <f t="shared" si="35"/>
        <v>46179</v>
      </c>
      <c r="M175" s="27" t="str">
        <f t="shared" si="30"/>
        <v>Normal</v>
      </c>
      <c r="N175" s="31">
        <f t="shared" si="31"/>
        <v>2</v>
      </c>
      <c r="O175" s="27"/>
      <c r="Q175" s="8">
        <v>0.29007747445555954</v>
      </c>
      <c r="R175" s="8" t="str">
        <f t="shared" si="32"/>
        <v>On Time</v>
      </c>
      <c r="S175" s="33">
        <v>1.3408598094407727</v>
      </c>
      <c r="T175" t="s">
        <v>30</v>
      </c>
      <c r="U175" s="3">
        <v>0</v>
      </c>
      <c r="V175" s="3" t="str">
        <f t="shared" si="36"/>
        <v/>
      </c>
      <c r="W175" s="3" t="s">
        <v>51</v>
      </c>
      <c r="X175" s="32">
        <f t="shared" si="33"/>
        <v>5.5869158728455659E-2</v>
      </c>
      <c r="Z175" s="38">
        <f t="shared" si="37"/>
        <v>0</v>
      </c>
      <c r="AC175" s="36">
        <v>0.125</v>
      </c>
      <c r="AL175" t="str">
        <f t="shared" si="38"/>
        <v>Normal</v>
      </c>
      <c r="AM175" t="str">
        <f t="shared" si="39"/>
        <v>No</v>
      </c>
      <c r="AN175" t="str">
        <f t="shared" si="40"/>
        <v>Elective</v>
      </c>
      <c r="AO175" t="str">
        <f t="shared" si="41"/>
        <v>General Ward</v>
      </c>
    </row>
    <row r="176" spans="1:41" x14ac:dyDescent="0.3">
      <c r="A176" s="21" t="str">
        <f t="shared" si="34"/>
        <v>UHID-00175</v>
      </c>
      <c r="B176" s="18">
        <v>24</v>
      </c>
      <c r="C176" s="10" t="s">
        <v>18</v>
      </c>
      <c r="D176" s="13" t="s">
        <v>27</v>
      </c>
      <c r="E176" s="13" t="s">
        <v>13</v>
      </c>
      <c r="F176" s="15">
        <v>46181.023246030098</v>
      </c>
      <c r="G176" s="4">
        <v>46181</v>
      </c>
      <c r="H176" s="1">
        <v>46182.4937799537</v>
      </c>
      <c r="I176" s="22">
        <v>46182</v>
      </c>
      <c r="J176" s="24">
        <f t="shared" si="28"/>
        <v>46182.437848396985</v>
      </c>
      <c r="K176" s="24">
        <f t="shared" si="29"/>
        <v>0.49377995370014105</v>
      </c>
      <c r="L176" s="29">
        <f t="shared" si="35"/>
        <v>46181</v>
      </c>
      <c r="M176" s="27" t="str">
        <f t="shared" si="30"/>
        <v>Normal</v>
      </c>
      <c r="N176" s="31">
        <f t="shared" si="31"/>
        <v>1</v>
      </c>
      <c r="O176" s="27"/>
      <c r="Q176" s="8">
        <v>0.38889395554009498</v>
      </c>
      <c r="R176" s="8" t="str">
        <f t="shared" si="32"/>
        <v>On Time</v>
      </c>
      <c r="S176" s="33">
        <v>1.342357361167426</v>
      </c>
      <c r="T176" t="s">
        <v>31</v>
      </c>
      <c r="U176" s="3">
        <v>0</v>
      </c>
      <c r="V176" s="3" t="str">
        <f t="shared" si="36"/>
        <v>Normal</v>
      </c>
      <c r="W176" s="3" t="s">
        <v>51</v>
      </c>
      <c r="X176" s="32">
        <f t="shared" si="33"/>
        <v>5.5931556715222541E-2</v>
      </c>
      <c r="Z176" s="38">
        <f t="shared" si="37"/>
        <v>0</v>
      </c>
      <c r="AC176" s="36">
        <v>0.125</v>
      </c>
      <c r="AL176" t="str">
        <f t="shared" si="38"/>
        <v>Normal</v>
      </c>
      <c r="AM176" t="str">
        <f t="shared" si="39"/>
        <v>No</v>
      </c>
      <c r="AN176" t="str">
        <f t="shared" si="40"/>
        <v>Elective</v>
      </c>
      <c r="AO176" t="str">
        <f t="shared" si="41"/>
        <v>General Ward</v>
      </c>
    </row>
    <row r="177" spans="1:41" x14ac:dyDescent="0.3">
      <c r="A177" s="21" t="str">
        <f t="shared" si="34"/>
        <v>UHID-00176</v>
      </c>
      <c r="B177" s="18">
        <v>26</v>
      </c>
      <c r="C177" s="10" t="s">
        <v>18</v>
      </c>
      <c r="D177" s="13" t="s">
        <v>28</v>
      </c>
      <c r="E177" s="13" t="s">
        <v>13</v>
      </c>
      <c r="F177" s="15">
        <v>46185.571075856496</v>
      </c>
      <c r="G177" s="4">
        <v>46185</v>
      </c>
      <c r="H177" s="1">
        <v>46185.994735821798</v>
      </c>
      <c r="I177" s="22">
        <v>46185</v>
      </c>
      <c r="J177" s="24">
        <f t="shared" si="28"/>
        <v>46185.893254516603</v>
      </c>
      <c r="K177" s="24">
        <f t="shared" si="29"/>
        <v>0.99473582179780351</v>
      </c>
      <c r="L177" s="29">
        <f t="shared" si="35"/>
        <v>46184</v>
      </c>
      <c r="M177" s="27" t="str">
        <f t="shared" si="30"/>
        <v>Doctor Round Delay/Report Delay</v>
      </c>
      <c r="N177" s="31">
        <f t="shared" si="31"/>
        <v>0</v>
      </c>
      <c r="O177" s="27"/>
      <c r="Q177" s="8">
        <v>0.93464013716647409</v>
      </c>
      <c r="R177" s="8" t="str">
        <f t="shared" si="32"/>
        <v>Minor Delay</v>
      </c>
      <c r="S177" s="33">
        <v>2.4355513246568536</v>
      </c>
      <c r="T177" t="s">
        <v>31</v>
      </c>
      <c r="U177" s="3">
        <v>0</v>
      </c>
      <c r="V177" s="3" t="str">
        <f t="shared" si="36"/>
        <v>Normal</v>
      </c>
      <c r="W177" s="3" t="s">
        <v>51</v>
      </c>
      <c r="X177" s="32">
        <f t="shared" si="33"/>
        <v>0.10148130519519327</v>
      </c>
      <c r="Z177" s="38">
        <f t="shared" si="37"/>
        <v>0</v>
      </c>
      <c r="AC177" s="36">
        <v>0.125</v>
      </c>
      <c r="AL177" t="str">
        <f t="shared" si="38"/>
        <v>Doctor Round Delay/Report Delay</v>
      </c>
      <c r="AM177" t="str">
        <f t="shared" si="39"/>
        <v>No</v>
      </c>
      <c r="AN177" t="str">
        <f t="shared" si="40"/>
        <v>Elective</v>
      </c>
      <c r="AO177" t="str">
        <f t="shared" si="41"/>
        <v>General Ward</v>
      </c>
    </row>
    <row r="178" spans="1:41" x14ac:dyDescent="0.3">
      <c r="A178" s="21" t="str">
        <f t="shared" si="34"/>
        <v>UHID-00177</v>
      </c>
      <c r="B178" s="18">
        <v>33</v>
      </c>
      <c r="C178" s="10" t="s">
        <v>17</v>
      </c>
      <c r="D178" s="13" t="s">
        <v>26</v>
      </c>
      <c r="E178" s="13" t="s">
        <v>13</v>
      </c>
      <c r="F178" s="15">
        <v>46183.795107523103</v>
      </c>
      <c r="G178" s="4">
        <v>46183</v>
      </c>
      <c r="H178" s="1">
        <v>46187.357004259298</v>
      </c>
      <c r="I178" s="22">
        <v>46187</v>
      </c>
      <c r="J178" s="24">
        <f t="shared" si="28"/>
        <v>46187.222794355774</v>
      </c>
      <c r="K178" s="24">
        <f t="shared" si="29"/>
        <v>0.35700425929826451</v>
      </c>
      <c r="L178" s="29">
        <f t="shared" si="35"/>
        <v>46186</v>
      </c>
      <c r="M178" s="27" t="str">
        <f t="shared" si="30"/>
        <v>TPA Approval Delay</v>
      </c>
      <c r="N178" s="31">
        <f t="shared" si="31"/>
        <v>4</v>
      </c>
      <c r="O178" s="27"/>
      <c r="Q178" s="8">
        <v>0.58542355793314826</v>
      </c>
      <c r="R178" s="8" t="str">
        <f t="shared" si="32"/>
        <v>Major Delay</v>
      </c>
      <c r="S178" s="33">
        <v>3.221037684639009</v>
      </c>
      <c r="T178" t="s">
        <v>31</v>
      </c>
      <c r="U178" s="3">
        <v>0</v>
      </c>
      <c r="V178" s="3" t="str">
        <f t="shared" si="36"/>
        <v>Normal</v>
      </c>
      <c r="W178" s="3" t="s">
        <v>51</v>
      </c>
      <c r="X178" s="32">
        <f t="shared" si="33"/>
        <v>0.13420990352460649</v>
      </c>
      <c r="Z178" s="38">
        <f t="shared" si="37"/>
        <v>9.2099035246064886E-3</v>
      </c>
      <c r="AC178" s="36">
        <v>0.125</v>
      </c>
      <c r="AL178" t="str">
        <f t="shared" si="38"/>
        <v>TPA Approval Delay</v>
      </c>
      <c r="AM178" t="str">
        <f t="shared" si="39"/>
        <v>No</v>
      </c>
      <c r="AN178" t="str">
        <f t="shared" si="40"/>
        <v>Elective</v>
      </c>
      <c r="AO178" t="str">
        <f t="shared" si="41"/>
        <v>HDU</v>
      </c>
    </row>
    <row r="179" spans="1:41" x14ac:dyDescent="0.3">
      <c r="A179" s="21" t="str">
        <f t="shared" si="34"/>
        <v>UHID-00178</v>
      </c>
      <c r="B179" s="18">
        <v>20</v>
      </c>
      <c r="C179" s="10" t="s">
        <v>18</v>
      </c>
      <c r="D179" s="13" t="s">
        <v>28</v>
      </c>
      <c r="E179" s="13" t="s">
        <v>13</v>
      </c>
      <c r="F179" s="15">
        <v>46189.772649455997</v>
      </c>
      <c r="G179" s="4">
        <v>46189</v>
      </c>
      <c r="H179" s="1">
        <v>46191.434055682897</v>
      </c>
      <c r="I179" s="22">
        <v>46191</v>
      </c>
      <c r="J179" s="24">
        <f t="shared" si="28"/>
        <v>46191.341998867087</v>
      </c>
      <c r="K179" s="24">
        <f t="shared" si="29"/>
        <v>0.43405568289745133</v>
      </c>
      <c r="L179" s="29">
        <f t="shared" si="35"/>
        <v>46190</v>
      </c>
      <c r="M179" s="27" t="str">
        <f t="shared" si="30"/>
        <v>Doctor Round Delay/Report Delay</v>
      </c>
      <c r="N179" s="31">
        <f t="shared" si="31"/>
        <v>2</v>
      </c>
      <c r="O179" s="27"/>
      <c r="Q179" s="8">
        <v>0.93873005873591131</v>
      </c>
      <c r="R179" s="8" t="str">
        <f t="shared" si="32"/>
        <v>Minor Delay</v>
      </c>
      <c r="S179" s="33">
        <v>2.2093635794664008</v>
      </c>
      <c r="T179" t="s">
        <v>31</v>
      </c>
      <c r="U179" s="3">
        <v>0</v>
      </c>
      <c r="V179" s="3" t="str">
        <f t="shared" si="36"/>
        <v>Normal</v>
      </c>
      <c r="W179" s="3" t="s">
        <v>51</v>
      </c>
      <c r="X179" s="32">
        <f t="shared" si="33"/>
        <v>9.2056815810792614E-2</v>
      </c>
      <c r="Z179" s="38">
        <f t="shared" si="37"/>
        <v>0</v>
      </c>
      <c r="AC179" s="36">
        <v>0.125</v>
      </c>
      <c r="AL179" t="str">
        <f t="shared" si="38"/>
        <v>Doctor Round Delay/Report Delay</v>
      </c>
      <c r="AM179" t="str">
        <f t="shared" si="39"/>
        <v>No</v>
      </c>
      <c r="AN179" t="str">
        <f t="shared" si="40"/>
        <v>Elective</v>
      </c>
      <c r="AO179" t="str">
        <f t="shared" si="41"/>
        <v>General Ward</v>
      </c>
    </row>
    <row r="180" spans="1:41" x14ac:dyDescent="0.3">
      <c r="A180" s="21" t="str">
        <f t="shared" si="34"/>
        <v>UHID-00179</v>
      </c>
      <c r="B180" s="18">
        <v>71</v>
      </c>
      <c r="C180" s="10" t="s">
        <v>18</v>
      </c>
      <c r="D180" s="13" t="s">
        <v>27</v>
      </c>
      <c r="E180" s="13" t="s">
        <v>13</v>
      </c>
      <c r="F180" s="15">
        <v>46192.849075856502</v>
      </c>
      <c r="G180" s="4">
        <v>46192</v>
      </c>
      <c r="H180" s="1">
        <v>46193.6653335995</v>
      </c>
      <c r="I180" s="22">
        <v>46193</v>
      </c>
      <c r="J180" s="24">
        <f t="shared" si="28"/>
        <v>46193.609036427471</v>
      </c>
      <c r="K180" s="24">
        <f t="shared" si="29"/>
        <v>0.66533359949971782</v>
      </c>
      <c r="L180" s="29">
        <f t="shared" si="35"/>
        <v>46192</v>
      </c>
      <c r="M180" s="27" t="str">
        <f t="shared" si="30"/>
        <v>Normal</v>
      </c>
      <c r="N180" s="31">
        <f t="shared" si="31"/>
        <v>1</v>
      </c>
      <c r="O180" s="27"/>
      <c r="Q180" s="8">
        <v>0.23039185687090658</v>
      </c>
      <c r="R180" s="8" t="str">
        <f t="shared" si="32"/>
        <v>On Time</v>
      </c>
      <c r="S180" s="33">
        <v>1.3511321286067497</v>
      </c>
      <c r="T180" t="s">
        <v>30</v>
      </c>
      <c r="U180" s="3">
        <v>0</v>
      </c>
      <c r="V180" s="3" t="str">
        <f t="shared" si="36"/>
        <v/>
      </c>
      <c r="W180" s="3" t="s">
        <v>51</v>
      </c>
      <c r="X180" s="32">
        <f t="shared" si="33"/>
        <v>5.6297172028280329E-2</v>
      </c>
      <c r="Z180" s="38">
        <f t="shared" si="37"/>
        <v>0</v>
      </c>
      <c r="AC180" s="36">
        <v>0.125</v>
      </c>
      <c r="AL180" t="str">
        <f t="shared" si="38"/>
        <v>Normal</v>
      </c>
      <c r="AM180" t="str">
        <f t="shared" si="39"/>
        <v>No</v>
      </c>
      <c r="AN180" t="str">
        <f t="shared" si="40"/>
        <v>Elective</v>
      </c>
      <c r="AO180" t="str">
        <f t="shared" si="41"/>
        <v>General Ward</v>
      </c>
    </row>
    <row r="181" spans="1:41" x14ac:dyDescent="0.3">
      <c r="A181" s="21" t="str">
        <f t="shared" si="34"/>
        <v>UHID-00180</v>
      </c>
      <c r="B181" s="18">
        <v>28</v>
      </c>
      <c r="C181" s="10" t="s">
        <v>18</v>
      </c>
      <c r="D181" s="13" t="s">
        <v>26</v>
      </c>
      <c r="E181" s="13" t="s">
        <v>13</v>
      </c>
      <c r="F181" s="15">
        <v>46191.968684224499</v>
      </c>
      <c r="G181" s="4">
        <v>46191</v>
      </c>
      <c r="H181" s="1">
        <v>46194.4940505208</v>
      </c>
      <c r="I181" s="22">
        <v>46194</v>
      </c>
      <c r="J181" s="24">
        <f t="shared" si="28"/>
        <v>46194.202200545937</v>
      </c>
      <c r="K181" s="24">
        <f t="shared" si="29"/>
        <v>0.49405052079964662</v>
      </c>
      <c r="L181" s="29">
        <f t="shared" si="35"/>
        <v>46193</v>
      </c>
      <c r="M181" s="27" t="str">
        <f t="shared" si="30"/>
        <v>Health Deterioration/TPA Approval Delay</v>
      </c>
      <c r="N181" s="31">
        <f t="shared" si="31"/>
        <v>3</v>
      </c>
      <c r="O181" s="27"/>
      <c r="Q181" s="8">
        <v>0.78646925435036641</v>
      </c>
      <c r="R181" s="8" t="str">
        <f t="shared" si="32"/>
        <v>Critical Delay</v>
      </c>
      <c r="S181" s="33">
        <v>3.0043993966809328</v>
      </c>
      <c r="T181" t="s">
        <v>31</v>
      </c>
      <c r="U181" s="3">
        <v>4</v>
      </c>
      <c r="V181" s="3" t="str">
        <f t="shared" si="36"/>
        <v>Normal</v>
      </c>
      <c r="W181" s="3" t="s">
        <v>50</v>
      </c>
      <c r="X181" s="32">
        <f t="shared" si="33"/>
        <v>0.29184997486299835</v>
      </c>
      <c r="Z181" s="38">
        <f t="shared" si="37"/>
        <v>0.16684997486299835</v>
      </c>
      <c r="AC181" s="36">
        <v>0.125</v>
      </c>
      <c r="AL181" t="str">
        <f t="shared" si="38"/>
        <v>Health Deterioration/TPA Approval Delay</v>
      </c>
      <c r="AM181" t="str">
        <f t="shared" si="39"/>
        <v>No</v>
      </c>
      <c r="AN181" t="str">
        <f t="shared" si="40"/>
        <v>Emergency</v>
      </c>
      <c r="AO181" t="str">
        <f t="shared" si="41"/>
        <v>General Ward</v>
      </c>
    </row>
    <row r="182" spans="1:41" x14ac:dyDescent="0.3">
      <c r="A182" s="21" t="str">
        <f t="shared" si="34"/>
        <v>UHID-00181</v>
      </c>
      <c r="B182" s="18">
        <v>52</v>
      </c>
      <c r="C182" s="10" t="s">
        <v>18</v>
      </c>
      <c r="D182" s="13" t="s">
        <v>26</v>
      </c>
      <c r="E182" s="13" t="s">
        <v>13</v>
      </c>
      <c r="F182" s="15">
        <v>46192.817283495402</v>
      </c>
      <c r="G182" s="4">
        <v>46192</v>
      </c>
      <c r="H182" s="1">
        <v>46194.500754490698</v>
      </c>
      <c r="I182" s="22">
        <v>46194</v>
      </c>
      <c r="J182" s="24">
        <f t="shared" si="28"/>
        <v>46194.261551045252</v>
      </c>
      <c r="K182" s="24">
        <f t="shared" si="29"/>
        <v>0.5007544906984549</v>
      </c>
      <c r="L182" s="29">
        <f t="shared" si="35"/>
        <v>46193</v>
      </c>
      <c r="M182" s="27" t="str">
        <f t="shared" si="30"/>
        <v>Health Deterioration/TPA Approval Delay</v>
      </c>
      <c r="N182" s="31">
        <f t="shared" si="31"/>
        <v>2</v>
      </c>
      <c r="O182" s="27"/>
      <c r="Q182" s="8">
        <v>0.50024748704171862</v>
      </c>
      <c r="R182" s="8" t="str">
        <f t="shared" si="32"/>
        <v>Critical Delay</v>
      </c>
      <c r="S182" s="33">
        <v>3.7408826907573531</v>
      </c>
      <c r="T182" t="s">
        <v>31</v>
      </c>
      <c r="U182" s="3">
        <v>2</v>
      </c>
      <c r="V182" s="3" t="str">
        <f t="shared" si="36"/>
        <v>Normal</v>
      </c>
      <c r="W182" s="3" t="s">
        <v>50</v>
      </c>
      <c r="X182" s="32">
        <f t="shared" si="33"/>
        <v>0.23920344544603722</v>
      </c>
      <c r="Z182" s="38">
        <f t="shared" si="37"/>
        <v>0.11420344544603722</v>
      </c>
      <c r="AC182" s="36">
        <v>0.125</v>
      </c>
      <c r="AL182" t="str">
        <f t="shared" si="38"/>
        <v>Health Deterioration/TPA Approval Delay</v>
      </c>
      <c r="AM182" t="str">
        <f t="shared" si="39"/>
        <v>No</v>
      </c>
      <c r="AN182" t="str">
        <f t="shared" si="40"/>
        <v>Emergency</v>
      </c>
      <c r="AO182" t="str">
        <f t="shared" si="41"/>
        <v>General Ward</v>
      </c>
    </row>
    <row r="183" spans="1:41" x14ac:dyDescent="0.3">
      <c r="A183" s="21" t="str">
        <f t="shared" si="34"/>
        <v>UHID-00182</v>
      </c>
      <c r="B183" s="18">
        <v>38</v>
      </c>
      <c r="C183" s="10" t="s">
        <v>18</v>
      </c>
      <c r="D183" s="13" t="s">
        <v>26</v>
      </c>
      <c r="E183" s="13" t="s">
        <v>13</v>
      </c>
      <c r="F183" s="15">
        <v>46195.653603194398</v>
      </c>
      <c r="G183" s="4">
        <v>46195</v>
      </c>
      <c r="H183" s="1">
        <v>46195.914650752296</v>
      </c>
      <c r="I183" s="22">
        <v>46195</v>
      </c>
      <c r="J183" s="24">
        <f t="shared" si="28"/>
        <v>46195.752993784081</v>
      </c>
      <c r="K183" s="24">
        <f t="shared" si="29"/>
        <v>0.91465075229643844</v>
      </c>
      <c r="L183" s="29">
        <f t="shared" si="35"/>
        <v>46194</v>
      </c>
      <c r="M183" s="27" t="str">
        <f t="shared" si="30"/>
        <v>TPA Approval Delay</v>
      </c>
      <c r="N183" s="31">
        <f t="shared" si="31"/>
        <v>0</v>
      </c>
      <c r="O183" s="27"/>
      <c r="Q183" s="8">
        <v>0.64138793387635473</v>
      </c>
      <c r="R183" s="8" t="str">
        <f t="shared" si="32"/>
        <v>Major Delay</v>
      </c>
      <c r="S183" s="33">
        <v>3.879767237146813</v>
      </c>
      <c r="T183" t="s">
        <v>31</v>
      </c>
      <c r="U183" s="3">
        <v>0</v>
      </c>
      <c r="V183" s="3" t="str">
        <f t="shared" si="36"/>
        <v>Normal</v>
      </c>
      <c r="W183" s="3" t="s">
        <v>51</v>
      </c>
      <c r="X183" s="32">
        <f t="shared" si="33"/>
        <v>0.16165696821553865</v>
      </c>
      <c r="Z183" s="38">
        <f t="shared" si="37"/>
        <v>3.6656968215538654E-2</v>
      </c>
      <c r="AC183" s="36">
        <v>0.125</v>
      </c>
      <c r="AL183" t="str">
        <f t="shared" si="38"/>
        <v>TPA Approval Delay</v>
      </c>
      <c r="AM183" t="str">
        <f t="shared" si="39"/>
        <v>No</v>
      </c>
      <c r="AN183" t="str">
        <f t="shared" si="40"/>
        <v>Elective</v>
      </c>
      <c r="AO183" t="str">
        <f t="shared" si="41"/>
        <v>General Ward</v>
      </c>
    </row>
    <row r="184" spans="1:41" x14ac:dyDescent="0.3">
      <c r="A184" s="21" t="str">
        <f t="shared" si="34"/>
        <v>UHID-00183</v>
      </c>
      <c r="B184" s="18">
        <v>49</v>
      </c>
      <c r="C184" s="10" t="s">
        <v>17</v>
      </c>
      <c r="D184" s="13" t="s">
        <v>27</v>
      </c>
      <c r="E184" s="13" t="s">
        <v>13</v>
      </c>
      <c r="F184" s="15">
        <v>46196.753112627302</v>
      </c>
      <c r="G184" s="4">
        <v>46196</v>
      </c>
      <c r="H184" s="1">
        <v>46197.582547453698</v>
      </c>
      <c r="I184" s="22">
        <v>46197</v>
      </c>
      <c r="J184" s="24">
        <f t="shared" si="28"/>
        <v>46197.540427037748</v>
      </c>
      <c r="K184" s="24">
        <f t="shared" si="29"/>
        <v>0.58254745369777083</v>
      </c>
      <c r="L184" s="29">
        <f t="shared" si="35"/>
        <v>46196</v>
      </c>
      <c r="M184" s="27" t="str">
        <f t="shared" si="30"/>
        <v>Normal</v>
      </c>
      <c r="N184" s="31">
        <f t="shared" si="31"/>
        <v>1</v>
      </c>
      <c r="O184" s="27"/>
      <c r="Q184" s="8">
        <v>0.17790157329463474</v>
      </c>
      <c r="R184" s="8" t="str">
        <f t="shared" si="32"/>
        <v>On Time</v>
      </c>
      <c r="S184" s="33">
        <v>1.0108899828175431</v>
      </c>
      <c r="T184" t="s">
        <v>30</v>
      </c>
      <c r="U184" s="3">
        <v>0</v>
      </c>
      <c r="V184" s="3" t="str">
        <f t="shared" si="36"/>
        <v/>
      </c>
      <c r="W184" s="3" t="s">
        <v>51</v>
      </c>
      <c r="X184" s="32">
        <f t="shared" si="33"/>
        <v>4.2120415950194001E-2</v>
      </c>
      <c r="Z184" s="38">
        <f t="shared" si="37"/>
        <v>0</v>
      </c>
      <c r="AC184" s="36">
        <v>0.125</v>
      </c>
      <c r="AL184" t="str">
        <f t="shared" si="38"/>
        <v>Normal</v>
      </c>
      <c r="AM184" t="str">
        <f t="shared" si="39"/>
        <v>No</v>
      </c>
      <c r="AN184" t="str">
        <f t="shared" si="40"/>
        <v>Elective</v>
      </c>
      <c r="AO184" t="str">
        <f t="shared" si="41"/>
        <v>General Ward</v>
      </c>
    </row>
    <row r="185" spans="1:41" x14ac:dyDescent="0.3">
      <c r="A185" s="21" t="str">
        <f t="shared" si="34"/>
        <v>UHID-00184</v>
      </c>
      <c r="B185" s="19">
        <v>43</v>
      </c>
      <c r="C185" s="11" t="s">
        <v>17</v>
      </c>
      <c r="D185" s="13" t="s">
        <v>26</v>
      </c>
      <c r="E185" s="13" t="s">
        <v>13</v>
      </c>
      <c r="F185" s="16">
        <v>46198.705775463</v>
      </c>
      <c r="G185" s="5">
        <v>46198</v>
      </c>
      <c r="H185" s="2">
        <v>46199.726461331004</v>
      </c>
      <c r="I185" s="23">
        <v>46199</v>
      </c>
      <c r="J185" s="24">
        <f t="shared" si="28"/>
        <v>46199.488803511369</v>
      </c>
      <c r="K185" s="24">
        <f t="shared" si="29"/>
        <v>0.72646133100352017</v>
      </c>
      <c r="L185" s="29">
        <f t="shared" si="35"/>
        <v>46198</v>
      </c>
      <c r="M185" s="27" t="str">
        <f t="shared" si="30"/>
        <v>Health Deterioration/TPA Approval Delay</v>
      </c>
      <c r="N185" s="31">
        <f t="shared" si="31"/>
        <v>1</v>
      </c>
      <c r="O185" s="27"/>
      <c r="Q185" s="8">
        <v>0.7201673308658505</v>
      </c>
      <c r="R185" s="8" t="str">
        <f t="shared" si="32"/>
        <v>Critical Delay</v>
      </c>
      <c r="S185" s="33">
        <v>3.7037876712985449</v>
      </c>
      <c r="T185" t="s">
        <v>31</v>
      </c>
      <c r="U185" s="3">
        <v>2</v>
      </c>
      <c r="V185" s="3" t="str">
        <f t="shared" si="36"/>
        <v>Normal</v>
      </c>
      <c r="W185" s="3" t="s">
        <v>50</v>
      </c>
      <c r="X185" s="32">
        <f t="shared" si="33"/>
        <v>0.23765781963447807</v>
      </c>
      <c r="Z185" s="38">
        <f t="shared" si="37"/>
        <v>0.11265781963447807</v>
      </c>
      <c r="AC185" s="36">
        <v>0.125</v>
      </c>
      <c r="AL185" t="str">
        <f t="shared" si="38"/>
        <v>Health Deterioration/TPA Approval Delay</v>
      </c>
      <c r="AM185" t="str">
        <f t="shared" si="39"/>
        <v>No</v>
      </c>
      <c r="AN185" t="str">
        <f t="shared" si="40"/>
        <v>Emergency</v>
      </c>
      <c r="AO185" t="str">
        <f t="shared" si="41"/>
        <v>General Ward</v>
      </c>
    </row>
    <row r="186" spans="1:41" x14ac:dyDescent="0.3">
      <c r="A186" s="21" t="str">
        <f t="shared" si="34"/>
        <v>UHID-00185</v>
      </c>
      <c r="B186" s="19">
        <v>51</v>
      </c>
      <c r="C186" s="11" t="s">
        <v>18</v>
      </c>
      <c r="D186" s="13" t="s">
        <v>27</v>
      </c>
      <c r="E186" s="13" t="s">
        <v>13</v>
      </c>
      <c r="F186" s="16">
        <v>46196.556339097202</v>
      </c>
      <c r="G186" s="5">
        <v>46196</v>
      </c>
      <c r="H186" s="2">
        <v>46199.5062854282</v>
      </c>
      <c r="I186" s="23">
        <v>46199</v>
      </c>
      <c r="J186" s="24">
        <f t="shared" si="28"/>
        <v>46199.431530659102</v>
      </c>
      <c r="K186" s="24">
        <f t="shared" si="29"/>
        <v>0.50628542820049915</v>
      </c>
      <c r="L186" s="29">
        <f t="shared" si="35"/>
        <v>46198</v>
      </c>
      <c r="M186" s="27" t="str">
        <f t="shared" si="30"/>
        <v>Normal</v>
      </c>
      <c r="N186" s="31">
        <f t="shared" si="31"/>
        <v>3</v>
      </c>
      <c r="O186" s="27"/>
      <c r="Q186" s="8">
        <v>0.28283071450734321</v>
      </c>
      <c r="R186" s="8" t="str">
        <f t="shared" si="32"/>
        <v>On Time</v>
      </c>
      <c r="S186" s="33">
        <v>1.7941144583864965</v>
      </c>
      <c r="T186" t="s">
        <v>30</v>
      </c>
      <c r="U186" s="3">
        <v>0</v>
      </c>
      <c r="V186" s="3" t="str">
        <f t="shared" si="36"/>
        <v/>
      </c>
      <c r="W186" s="3" t="s">
        <v>51</v>
      </c>
      <c r="X186" s="32">
        <f t="shared" si="33"/>
        <v>7.4754769098944962E-2</v>
      </c>
      <c r="Z186" s="38">
        <f t="shared" si="37"/>
        <v>0</v>
      </c>
      <c r="AC186" s="36">
        <v>0.125</v>
      </c>
      <c r="AL186" t="str">
        <f t="shared" si="38"/>
        <v>Normal</v>
      </c>
      <c r="AM186" t="str">
        <f t="shared" si="39"/>
        <v>No</v>
      </c>
      <c r="AN186" t="str">
        <f t="shared" si="40"/>
        <v>Elective</v>
      </c>
      <c r="AO186" t="str">
        <f t="shared" si="41"/>
        <v>General Ward</v>
      </c>
    </row>
    <row r="187" spans="1:41" x14ac:dyDescent="0.3">
      <c r="A187" s="21" t="str">
        <f t="shared" si="34"/>
        <v>UHID-00186</v>
      </c>
      <c r="B187" s="19">
        <v>47</v>
      </c>
      <c r="C187" s="11" t="s">
        <v>17</v>
      </c>
      <c r="D187" s="13" t="s">
        <v>26</v>
      </c>
      <c r="E187" s="13" t="s">
        <v>13</v>
      </c>
      <c r="F187" s="16">
        <v>46195.943166122699</v>
      </c>
      <c r="G187" s="5">
        <v>46195</v>
      </c>
      <c r="H187" s="2">
        <v>46200.430737164403</v>
      </c>
      <c r="I187" s="23">
        <v>46200</v>
      </c>
      <c r="J187" s="24">
        <f t="shared" si="28"/>
        <v>46200.120542757279</v>
      </c>
      <c r="K187" s="24">
        <f t="shared" si="29"/>
        <v>0.43073716440267162</v>
      </c>
      <c r="L187" s="29">
        <f t="shared" si="35"/>
        <v>46199</v>
      </c>
      <c r="M187" s="27" t="str">
        <f t="shared" si="30"/>
        <v>Health Deterioration/TPA Approval Delay</v>
      </c>
      <c r="N187" s="31">
        <f t="shared" si="31"/>
        <v>5</v>
      </c>
      <c r="O187" s="27"/>
      <c r="Q187" s="8">
        <v>0.59574754777326444</v>
      </c>
      <c r="R187" s="8" t="str">
        <f t="shared" si="32"/>
        <v>Critical Delay</v>
      </c>
      <c r="S187" s="33">
        <v>3.4446657709115773</v>
      </c>
      <c r="T187" t="s">
        <v>31</v>
      </c>
      <c r="U187" s="3">
        <v>4</v>
      </c>
      <c r="V187" s="3" t="str">
        <f t="shared" si="36"/>
        <v>Normal</v>
      </c>
      <c r="W187" s="3" t="s">
        <v>50</v>
      </c>
      <c r="X187" s="32">
        <f t="shared" si="33"/>
        <v>0.31019440712407231</v>
      </c>
      <c r="Z187" s="38">
        <f t="shared" si="37"/>
        <v>0.18519440712407231</v>
      </c>
      <c r="AC187" s="36">
        <v>0.125</v>
      </c>
      <c r="AL187" t="str">
        <f t="shared" si="38"/>
        <v>Health Deterioration/TPA Approval Delay</v>
      </c>
      <c r="AM187" t="str">
        <f t="shared" si="39"/>
        <v>No</v>
      </c>
      <c r="AN187" t="str">
        <f t="shared" si="40"/>
        <v>Emergency</v>
      </c>
      <c r="AO187" t="str">
        <f t="shared" si="41"/>
        <v>HDU</v>
      </c>
    </row>
    <row r="188" spans="1:41" x14ac:dyDescent="0.3">
      <c r="A188" s="21" t="str">
        <f t="shared" si="34"/>
        <v>UHID-00187</v>
      </c>
      <c r="B188" s="19">
        <v>40</v>
      </c>
      <c r="C188" s="11" t="s">
        <v>18</v>
      </c>
      <c r="D188" s="13" t="s">
        <v>27</v>
      </c>
      <c r="E188" s="13" t="s">
        <v>13</v>
      </c>
      <c r="F188" s="16">
        <v>46197.786984039398</v>
      </c>
      <c r="G188" s="5">
        <v>46197</v>
      </c>
      <c r="H188" s="2">
        <v>46200.475811828699</v>
      </c>
      <c r="I188" s="23">
        <v>46200</v>
      </c>
      <c r="J188" s="24">
        <f t="shared" si="28"/>
        <v>46200.405264898392</v>
      </c>
      <c r="K188" s="24">
        <f t="shared" si="29"/>
        <v>0.47581182869907934</v>
      </c>
      <c r="L188" s="29">
        <f t="shared" si="35"/>
        <v>46199</v>
      </c>
      <c r="M188" s="27" t="str">
        <f t="shared" si="30"/>
        <v>Normal</v>
      </c>
      <c r="N188" s="31">
        <f t="shared" si="31"/>
        <v>3</v>
      </c>
      <c r="O188" s="27"/>
      <c r="Q188" s="8">
        <v>0.12593495675613608</v>
      </c>
      <c r="R188" s="8" t="str">
        <f t="shared" si="32"/>
        <v>On Time</v>
      </c>
      <c r="S188" s="33">
        <v>1.693126327356316</v>
      </c>
      <c r="T188" t="s">
        <v>30</v>
      </c>
      <c r="U188" s="3">
        <v>0</v>
      </c>
      <c r="V188" s="3" t="str">
        <f t="shared" si="36"/>
        <v/>
      </c>
      <c r="W188" s="3" t="s">
        <v>51</v>
      </c>
      <c r="X188" s="32">
        <f t="shared" si="33"/>
        <v>7.0546930306591094E-2</v>
      </c>
      <c r="Z188" s="38">
        <f t="shared" si="37"/>
        <v>0</v>
      </c>
      <c r="AC188" s="36">
        <v>0.125</v>
      </c>
      <c r="AL188" t="str">
        <f t="shared" si="38"/>
        <v>Normal</v>
      </c>
      <c r="AM188" t="str">
        <f t="shared" si="39"/>
        <v>No</v>
      </c>
      <c r="AN188" t="str">
        <f t="shared" si="40"/>
        <v>Elective</v>
      </c>
      <c r="AO188" t="str">
        <f t="shared" si="41"/>
        <v>General Ward</v>
      </c>
    </row>
    <row r="189" spans="1:41" x14ac:dyDescent="0.3">
      <c r="A189" s="21" t="str">
        <f t="shared" si="34"/>
        <v>UHID-00188</v>
      </c>
      <c r="B189" s="19">
        <v>71</v>
      </c>
      <c r="C189" s="11" t="s">
        <v>17</v>
      </c>
      <c r="D189" s="13" t="s">
        <v>27</v>
      </c>
      <c r="E189" s="13" t="s">
        <v>13</v>
      </c>
      <c r="F189" s="16">
        <v>46199.2779070139</v>
      </c>
      <c r="G189" s="5">
        <v>46199</v>
      </c>
      <c r="H189" s="2">
        <v>46200.655610995404</v>
      </c>
      <c r="I189" s="23">
        <v>46200</v>
      </c>
      <c r="J189" s="24">
        <f t="shared" si="28"/>
        <v>46200.601952767378</v>
      </c>
      <c r="K189" s="24">
        <f t="shared" si="29"/>
        <v>0.65561099540354917</v>
      </c>
      <c r="L189" s="29">
        <f t="shared" si="35"/>
        <v>46199</v>
      </c>
      <c r="M189" s="27" t="str">
        <f t="shared" si="30"/>
        <v>Normal</v>
      </c>
      <c r="N189" s="31">
        <f t="shared" si="31"/>
        <v>1</v>
      </c>
      <c r="O189" s="27"/>
      <c r="Q189" s="8">
        <v>0.10137913131406118</v>
      </c>
      <c r="R189" s="8" t="str">
        <f t="shared" si="32"/>
        <v>On Time</v>
      </c>
      <c r="S189" s="33">
        <v>1.2877974725563832</v>
      </c>
      <c r="T189" t="s">
        <v>30</v>
      </c>
      <c r="U189" s="3">
        <v>0</v>
      </c>
      <c r="V189" s="3" t="str">
        <f t="shared" si="36"/>
        <v/>
      </c>
      <c r="W189" s="3" t="s">
        <v>51</v>
      </c>
      <c r="X189" s="32">
        <f t="shared" si="33"/>
        <v>5.3658228025597055E-2</v>
      </c>
      <c r="Z189" s="38">
        <f t="shared" si="37"/>
        <v>0</v>
      </c>
      <c r="AC189" s="36">
        <v>0.125</v>
      </c>
      <c r="AL189" t="str">
        <f t="shared" si="38"/>
        <v>Normal</v>
      </c>
      <c r="AM189" t="str">
        <f t="shared" si="39"/>
        <v>No</v>
      </c>
      <c r="AN189" t="str">
        <f t="shared" si="40"/>
        <v>Elective</v>
      </c>
      <c r="AO189" t="str">
        <f t="shared" si="41"/>
        <v>General Ward</v>
      </c>
    </row>
    <row r="190" spans="1:41" x14ac:dyDescent="0.3">
      <c r="A190" s="21" t="str">
        <f t="shared" si="34"/>
        <v>UHID-00189</v>
      </c>
      <c r="B190" s="19">
        <v>59</v>
      </c>
      <c r="C190" s="11" t="s">
        <v>17</v>
      </c>
      <c r="D190" s="13" t="s">
        <v>28</v>
      </c>
      <c r="E190" s="13" t="s">
        <v>13</v>
      </c>
      <c r="F190" s="16">
        <v>46199.814084976897</v>
      </c>
      <c r="G190" s="5">
        <v>46199</v>
      </c>
      <c r="H190" s="2">
        <v>46202.457026794</v>
      </c>
      <c r="I190" s="23">
        <v>46202</v>
      </c>
      <c r="J190" s="24">
        <f t="shared" si="28"/>
        <v>46202.077312900379</v>
      </c>
      <c r="K190" s="24">
        <f t="shared" si="29"/>
        <v>0.45702679399983026</v>
      </c>
      <c r="L190" s="29">
        <f t="shared" si="35"/>
        <v>46201</v>
      </c>
      <c r="M190" s="27" t="str">
        <f t="shared" si="30"/>
        <v>Health Deterioration</v>
      </c>
      <c r="N190" s="31">
        <f t="shared" si="31"/>
        <v>3</v>
      </c>
      <c r="O190" s="27"/>
      <c r="Q190" s="8">
        <v>0.97901324385689592</v>
      </c>
      <c r="R190" s="8" t="str">
        <f t="shared" si="32"/>
        <v>Critical Delay</v>
      </c>
      <c r="S190" s="33">
        <v>2.1131334469166543</v>
      </c>
      <c r="T190" t="s">
        <v>31</v>
      </c>
      <c r="U190" s="3">
        <v>7</v>
      </c>
      <c r="V190" s="3" t="str">
        <f t="shared" si="36"/>
        <v>Normal</v>
      </c>
      <c r="W190" s="3" t="s">
        <v>52</v>
      </c>
      <c r="X190" s="32">
        <f t="shared" si="33"/>
        <v>0.37971389362064656</v>
      </c>
      <c r="Z190" s="38">
        <f t="shared" si="37"/>
        <v>0.25471389362064656</v>
      </c>
      <c r="AC190" s="36">
        <v>0.125</v>
      </c>
      <c r="AL190" t="str">
        <f t="shared" si="38"/>
        <v>Health Deterioration</v>
      </c>
      <c r="AM190" t="str">
        <f t="shared" si="39"/>
        <v>No</v>
      </c>
      <c r="AN190" t="str">
        <f t="shared" si="40"/>
        <v>Elective</v>
      </c>
      <c r="AO190" t="str">
        <f t="shared" si="41"/>
        <v>General Ward</v>
      </c>
    </row>
    <row r="191" spans="1:41" x14ac:dyDescent="0.3">
      <c r="A191" s="21" t="str">
        <f t="shared" si="34"/>
        <v>UHID-00190</v>
      </c>
      <c r="B191" s="19">
        <v>43</v>
      </c>
      <c r="C191" s="11" t="s">
        <v>18</v>
      </c>
      <c r="D191" s="13" t="s">
        <v>26</v>
      </c>
      <c r="E191" s="13" t="s">
        <v>13</v>
      </c>
      <c r="F191" s="16">
        <v>46199.7924543634</v>
      </c>
      <c r="G191" s="5">
        <v>46199</v>
      </c>
      <c r="H191" s="2">
        <v>46202.388225463001</v>
      </c>
      <c r="I191" s="23">
        <v>46202</v>
      </c>
      <c r="J191" s="24">
        <f t="shared" si="28"/>
        <v>46202.232587446422</v>
      </c>
      <c r="K191" s="24">
        <f t="shared" si="29"/>
        <v>0.38822546300070826</v>
      </c>
      <c r="L191" s="29">
        <f t="shared" si="35"/>
        <v>46201</v>
      </c>
      <c r="M191" s="27" t="str">
        <f t="shared" si="30"/>
        <v>TPA Approval Delay</v>
      </c>
      <c r="N191" s="31">
        <f t="shared" si="31"/>
        <v>3</v>
      </c>
      <c r="O191" s="27"/>
      <c r="Q191" s="8">
        <v>0.6431963643005375</v>
      </c>
      <c r="R191" s="8" t="str">
        <f t="shared" si="32"/>
        <v>Major Delay</v>
      </c>
      <c r="S191" s="33">
        <v>3.735312397939766</v>
      </c>
      <c r="T191" t="s">
        <v>31</v>
      </c>
      <c r="U191" s="3">
        <v>0</v>
      </c>
      <c r="V191" s="3" t="str">
        <f t="shared" si="36"/>
        <v>Normal</v>
      </c>
      <c r="W191" s="3" t="s">
        <v>51</v>
      </c>
      <c r="X191" s="32">
        <f t="shared" si="33"/>
        <v>0.15563801657845033</v>
      </c>
      <c r="Z191" s="38">
        <f t="shared" si="37"/>
        <v>3.0638016578450333E-2</v>
      </c>
      <c r="AC191" s="36">
        <v>0.125</v>
      </c>
      <c r="AL191" t="str">
        <f t="shared" si="38"/>
        <v>TPA Approval Delay</v>
      </c>
      <c r="AM191" t="str">
        <f t="shared" si="39"/>
        <v>No</v>
      </c>
      <c r="AN191" t="str">
        <f t="shared" si="40"/>
        <v>Elective</v>
      </c>
      <c r="AO191" t="str">
        <f t="shared" si="41"/>
        <v>General Ward</v>
      </c>
    </row>
    <row r="192" spans="1:41" x14ac:dyDescent="0.3">
      <c r="A192" s="21" t="str">
        <f t="shared" si="34"/>
        <v>UHID-00191</v>
      </c>
      <c r="B192" s="18">
        <v>34</v>
      </c>
      <c r="C192" s="10" t="s">
        <v>18</v>
      </c>
      <c r="D192" s="13" t="s">
        <v>27</v>
      </c>
      <c r="E192" s="13" t="s">
        <v>3</v>
      </c>
      <c r="F192" s="15">
        <v>46165.049407939798</v>
      </c>
      <c r="G192" s="4">
        <v>46165</v>
      </c>
      <c r="H192" s="1">
        <v>46174.625732627297</v>
      </c>
      <c r="I192" s="22">
        <v>46174</v>
      </c>
      <c r="J192" s="24">
        <f t="shared" si="28"/>
        <v>46174.489397179794</v>
      </c>
      <c r="K192" s="24">
        <f t="shared" si="29"/>
        <v>0.62573262729711132</v>
      </c>
      <c r="L192" s="29">
        <f t="shared" si="35"/>
        <v>46173</v>
      </c>
      <c r="M192" s="27" t="str">
        <f t="shared" si="30"/>
        <v>Medication Change</v>
      </c>
      <c r="N192" s="31">
        <f t="shared" si="31"/>
        <v>9</v>
      </c>
      <c r="O192" s="27"/>
      <c r="Q192" s="8">
        <v>2.1135765916184268E-2</v>
      </c>
      <c r="R192" s="8" t="str">
        <f t="shared" si="32"/>
        <v>Major Delay</v>
      </c>
      <c r="S192" s="33">
        <v>1.2720507400787791</v>
      </c>
      <c r="T192" t="s">
        <v>30</v>
      </c>
      <c r="U192" s="3">
        <v>2</v>
      </c>
      <c r="V192" s="3" t="str">
        <f t="shared" si="36"/>
        <v/>
      </c>
      <c r="W192" s="3" t="s">
        <v>50</v>
      </c>
      <c r="X192" s="32">
        <f t="shared" si="33"/>
        <v>0.13633544750337023</v>
      </c>
      <c r="Z192" s="38">
        <f t="shared" si="37"/>
        <v>1.1335447503370233E-2</v>
      </c>
      <c r="AC192" s="36">
        <v>0.125</v>
      </c>
      <c r="AL192" t="str">
        <f t="shared" si="38"/>
        <v>Medication Change</v>
      </c>
      <c r="AM192" t="str">
        <f t="shared" si="39"/>
        <v>No</v>
      </c>
      <c r="AN192" t="str">
        <f t="shared" si="40"/>
        <v>Emergency</v>
      </c>
      <c r="AO192" t="str">
        <f t="shared" si="41"/>
        <v>ICU</v>
      </c>
    </row>
    <row r="193" spans="1:41" x14ac:dyDescent="0.3">
      <c r="A193" s="21" t="str">
        <f t="shared" si="34"/>
        <v>UHID-00192</v>
      </c>
      <c r="B193" s="18">
        <v>67</v>
      </c>
      <c r="C193" s="10" t="s">
        <v>18</v>
      </c>
      <c r="D193" s="13" t="s">
        <v>28</v>
      </c>
      <c r="E193" s="13" t="s">
        <v>3</v>
      </c>
      <c r="F193" s="15">
        <v>46169.918401747702</v>
      </c>
      <c r="G193" s="4">
        <v>46169</v>
      </c>
      <c r="H193" s="1">
        <v>46174.7542133565</v>
      </c>
      <c r="I193" s="22">
        <v>46174</v>
      </c>
      <c r="J193" s="24">
        <f t="shared" si="28"/>
        <v>46174.498541335321</v>
      </c>
      <c r="K193" s="24">
        <f t="shared" si="29"/>
        <v>0.75421335650025867</v>
      </c>
      <c r="L193" s="29">
        <f t="shared" si="35"/>
        <v>46173</v>
      </c>
      <c r="M193" s="27" t="str">
        <f t="shared" si="30"/>
        <v>Health Deterioration</v>
      </c>
      <c r="N193" s="31">
        <f t="shared" si="31"/>
        <v>5</v>
      </c>
      <c r="O193" s="27"/>
      <c r="Q193" s="8">
        <v>0.85224025768494971</v>
      </c>
      <c r="R193" s="8" t="str">
        <f t="shared" si="32"/>
        <v>Critical Delay</v>
      </c>
      <c r="S193" s="33">
        <v>2.136128508371899</v>
      </c>
      <c r="T193" t="s">
        <v>31</v>
      </c>
      <c r="U193" s="3">
        <v>4</v>
      </c>
      <c r="V193" s="3" t="str">
        <f t="shared" si="36"/>
        <v>Normal</v>
      </c>
      <c r="W193" s="3" t="s">
        <v>50</v>
      </c>
      <c r="X193" s="32">
        <f t="shared" si="33"/>
        <v>0.25567202117963461</v>
      </c>
      <c r="Z193" s="38">
        <f t="shared" si="37"/>
        <v>0.13067202117963461</v>
      </c>
      <c r="AC193" s="36">
        <v>0.125</v>
      </c>
      <c r="AL193" t="str">
        <f t="shared" si="38"/>
        <v>Health Deterioration</v>
      </c>
      <c r="AM193" t="str">
        <f t="shared" si="39"/>
        <v>Yes</v>
      </c>
      <c r="AN193" t="str">
        <f t="shared" si="40"/>
        <v>Elective</v>
      </c>
      <c r="AO193" t="str">
        <f t="shared" si="41"/>
        <v>HDU</v>
      </c>
    </row>
    <row r="194" spans="1:41" x14ac:dyDescent="0.3">
      <c r="A194" s="21" t="str">
        <f t="shared" si="34"/>
        <v>UHID-00193</v>
      </c>
      <c r="B194" s="18">
        <v>41</v>
      </c>
      <c r="C194" s="10" t="s">
        <v>18</v>
      </c>
      <c r="D194" s="13" t="s">
        <v>27</v>
      </c>
      <c r="E194" s="13" t="s">
        <v>3</v>
      </c>
      <c r="F194" s="15">
        <v>46168.772222036998</v>
      </c>
      <c r="G194" s="4">
        <v>46168</v>
      </c>
      <c r="H194" s="1">
        <v>46174.533598263901</v>
      </c>
      <c r="I194" s="22">
        <v>46174</v>
      </c>
      <c r="J194" s="24">
        <f t="shared" ref="J194:J257" si="42">I194+K194-((S194+U194)/24)</f>
        <v>46174.483602500324</v>
      </c>
      <c r="K194" s="24">
        <f t="shared" ref="K194:K257" si="43">MOD(H194,1)</f>
        <v>0.53359826390078524</v>
      </c>
      <c r="L194" s="29">
        <f t="shared" si="35"/>
        <v>46173</v>
      </c>
      <c r="M194" s="27" t="str">
        <f t="shared" ref="M194:M257" si="44">IF(X194="","",IF(X194&lt;=TIME(2,0,0),"Normal",IF(X194&lt;=TIME(3,0,0),IF(D194="CASH","Bill Settlement Delay","Doctor Round Delay/Report Delay"),IF(X194&lt;=TIME(5,0,0),IF(D194="TPA","TPA Approval Delay","Medication Change"),IF(D194="TPA","Health Deterioration/TPA Approval Delay","Health Deterioration")))))</f>
        <v>Normal</v>
      </c>
      <c r="N194" s="31">
        <f t="shared" ref="N194:N257" si="45">I194-G194</f>
        <v>6</v>
      </c>
      <c r="O194" s="27"/>
      <c r="Q194" s="8">
        <v>0.36789780602193678</v>
      </c>
      <c r="R194" s="8" t="str">
        <f t="shared" ref="R194:R257" si="46">IF(X194="","",IF(X194&lt;=TIME(2,0,0),"On Time",IF(X194&lt;=TIME(3,0,0),"Minor Delay",IF(X194&lt;=TIME(5,0,0),"Major Delay","Critical Delay"))))</f>
        <v>On Time</v>
      </c>
      <c r="S194" s="33">
        <v>1.1998983257840496</v>
      </c>
      <c r="T194" t="s">
        <v>31</v>
      </c>
      <c r="U194" s="3">
        <v>0</v>
      </c>
      <c r="V194" s="3" t="str">
        <f t="shared" si="36"/>
        <v>Normal</v>
      </c>
      <c r="W194" s="3" t="s">
        <v>51</v>
      </c>
      <c r="X194" s="32">
        <f t="shared" ref="X194:X257" si="47">MOD(K194-J194,1)</f>
        <v>4.9995763576589525E-2</v>
      </c>
      <c r="Z194" s="38">
        <f t="shared" si="37"/>
        <v>0</v>
      </c>
      <c r="AC194" s="36">
        <v>0.125</v>
      </c>
      <c r="AL194" t="str">
        <f t="shared" si="38"/>
        <v>Normal</v>
      </c>
      <c r="AM194" t="str">
        <f t="shared" si="39"/>
        <v>No</v>
      </c>
      <c r="AN194" t="str">
        <f t="shared" si="40"/>
        <v>Elective</v>
      </c>
      <c r="AO194" t="str">
        <f t="shared" si="41"/>
        <v>HDU</v>
      </c>
    </row>
    <row r="195" spans="1:41" x14ac:dyDescent="0.3">
      <c r="A195" s="21" t="str">
        <f t="shared" ref="A195:A258" si="48">"UHID-"&amp;TEXT(ROW(A195)-1,"00000")</f>
        <v>UHID-00194</v>
      </c>
      <c r="B195" s="18">
        <v>49</v>
      </c>
      <c r="C195" s="10" t="s">
        <v>18</v>
      </c>
      <c r="D195" s="13" t="s">
        <v>26</v>
      </c>
      <c r="E195" s="13" t="s">
        <v>3</v>
      </c>
      <c r="F195" s="15">
        <v>46171.061321238398</v>
      </c>
      <c r="G195" s="4">
        <v>46171</v>
      </c>
      <c r="H195" s="1">
        <v>46174.621561585598</v>
      </c>
      <c r="I195" s="22">
        <v>46174</v>
      </c>
      <c r="J195" s="24">
        <f t="shared" si="42"/>
        <v>46174.485989125205</v>
      </c>
      <c r="K195" s="24">
        <f t="shared" si="43"/>
        <v>0.62156158559810137</v>
      </c>
      <c r="L195" s="29">
        <f t="shared" ref="L195:L258" si="49">IF(J195&gt;MOD(H195,1),INT(H195)-1,INT(H195))</f>
        <v>46173</v>
      </c>
      <c r="M195" s="27" t="str">
        <f t="shared" si="44"/>
        <v>TPA Approval Delay</v>
      </c>
      <c r="N195" s="31">
        <f t="shared" si="45"/>
        <v>3</v>
      </c>
      <c r="O195" s="27"/>
      <c r="Q195" s="8">
        <v>0.74238252769970003</v>
      </c>
      <c r="R195" s="8" t="str">
        <f t="shared" si="46"/>
        <v>Major Delay</v>
      </c>
      <c r="S195" s="33">
        <v>3.2537390494191398</v>
      </c>
      <c r="T195" t="s">
        <v>31</v>
      </c>
      <c r="U195" s="3">
        <v>0</v>
      </c>
      <c r="V195" s="3" t="str">
        <f t="shared" ref="V195:V258" si="50">IF(T195="NO","Normal","")</f>
        <v>Normal</v>
      </c>
      <c r="W195" s="3" t="s">
        <v>51</v>
      </c>
      <c r="X195" s="32">
        <f t="shared" si="47"/>
        <v>0.13557246039272286</v>
      </c>
      <c r="Z195" s="38">
        <f t="shared" ref="Z195:Z258" si="51">IF(X195 &gt; TIME(3,0,0), X195 - TIME(3,0,0), 0)</f>
        <v>1.057246039272286E-2</v>
      </c>
      <c r="AC195" s="36">
        <v>0.125</v>
      </c>
      <c r="AL195" t="str">
        <f t="shared" ref="AL195:AL258" si="52">IF(X195="","",IF(X195&lt;=TIME(2,0,0),"Normal",IF(X195&lt;=TIME(3,0,0),IF(D195="CASH","Bill Settlement Delay","Doctor Round Delay/Report Delay"),IF(Z195&lt;=TIME(2,0,0),IF(D195="TPA","TPA Approval Delay","Medication Change"),IF(D195="TPA","Health Deterioration/TPA Approval Delay","Health Deterioration")))))</f>
        <v>TPA Approval Delay</v>
      </c>
      <c r="AM195" t="str">
        <f t="shared" ref="AM195:AM258" si="53">IF(OR(AND(B195&gt;65, R195="Critical Delay"), N195&gt;10), "Yes", "No")</f>
        <v>No</v>
      </c>
      <c r="AN195" t="str">
        <f t="shared" ref="AN195:AN258" si="54">IF(E195="Cardiology &amp; Cardiothoracic", IF(MOD(ROW(),10)&lt;3, "Emergency", "Elective"), IF(E195="Neurology &amp; Neurosurgery", IF(MOD(ROW(),10)&lt;4, "Emergency", "Elective"), IF(D195="COR", IF(MOD(ROW(),20)&lt;7, "Emergency", "Elective"), IF(OR(R195="Critical Delay", N195&gt;=7), "Emergency", "Elective"))))</f>
        <v>Elective</v>
      </c>
      <c r="AO195" t="str">
        <f t="shared" ref="AO195:AO258" si="55">IF(OR(N195&gt;6, AND(E195="Cardiology &amp; Cardiothoracic", MOD(ROW(),10)&lt;4), AND(E195="Neurology &amp; Neurosurgery", MOD(ROW(),10)&lt;6)), "ICU", IF(OR(N195&gt;3, AND(E195="Cardiology &amp; Cardiothoracic", MOD(ROW(),10)&lt;6), E195="Neurology &amp; Neurosurgery"), "HDU", "General Ward"))</f>
        <v>General Ward</v>
      </c>
    </row>
    <row r="196" spans="1:41" x14ac:dyDescent="0.3">
      <c r="A196" s="21" t="str">
        <f t="shared" si="48"/>
        <v>UHID-00195</v>
      </c>
      <c r="B196" s="18">
        <v>45</v>
      </c>
      <c r="C196" s="10" t="s">
        <v>18</v>
      </c>
      <c r="D196" s="13" t="s">
        <v>26</v>
      </c>
      <c r="E196" s="13" t="s">
        <v>3</v>
      </c>
      <c r="F196" s="15">
        <v>46169.7248040509</v>
      </c>
      <c r="G196" s="4">
        <v>46169</v>
      </c>
      <c r="H196" s="1">
        <v>46174.533160196799</v>
      </c>
      <c r="I196" s="22">
        <v>46174</v>
      </c>
      <c r="J196" s="24">
        <f t="shared" si="42"/>
        <v>46174.391439677558</v>
      </c>
      <c r="K196" s="24">
        <f t="shared" si="43"/>
        <v>0.53316019679914461</v>
      </c>
      <c r="L196" s="29">
        <f t="shared" si="49"/>
        <v>46173</v>
      </c>
      <c r="M196" s="27" t="str">
        <f t="shared" si="44"/>
        <v>TPA Approval Delay</v>
      </c>
      <c r="N196" s="31">
        <f t="shared" si="45"/>
        <v>5</v>
      </c>
      <c r="O196" s="27"/>
      <c r="Q196" s="8">
        <v>0.64761063641127314</v>
      </c>
      <c r="R196" s="8" t="str">
        <f t="shared" si="46"/>
        <v>Major Delay</v>
      </c>
      <c r="S196" s="33">
        <v>3.401292461835288</v>
      </c>
      <c r="T196" t="s">
        <v>31</v>
      </c>
      <c r="U196" s="3">
        <v>0</v>
      </c>
      <c r="V196" s="3" t="str">
        <f t="shared" si="50"/>
        <v>Normal</v>
      </c>
      <c r="W196" s="3" t="s">
        <v>51</v>
      </c>
      <c r="X196" s="32">
        <f t="shared" si="47"/>
        <v>0.14172051924106199</v>
      </c>
      <c r="Z196" s="38">
        <f t="shared" si="51"/>
        <v>1.6720519241061993E-2</v>
      </c>
      <c r="AC196" s="36">
        <v>0.125</v>
      </c>
      <c r="AL196" t="str">
        <f t="shared" si="52"/>
        <v>TPA Approval Delay</v>
      </c>
      <c r="AM196" t="str">
        <f t="shared" si="53"/>
        <v>No</v>
      </c>
      <c r="AN196" t="str">
        <f t="shared" si="54"/>
        <v>Elective</v>
      </c>
      <c r="AO196" t="str">
        <f t="shared" si="55"/>
        <v>HDU</v>
      </c>
    </row>
    <row r="197" spans="1:41" x14ac:dyDescent="0.3">
      <c r="A197" s="21" t="str">
        <f t="shared" si="48"/>
        <v>UHID-00196</v>
      </c>
      <c r="B197" s="18">
        <v>59</v>
      </c>
      <c r="C197" s="10" t="s">
        <v>17</v>
      </c>
      <c r="D197" s="13" t="s">
        <v>27</v>
      </c>
      <c r="E197" s="13" t="s">
        <v>3</v>
      </c>
      <c r="F197" s="15">
        <v>46170.711858726798</v>
      </c>
      <c r="G197" s="4">
        <v>46170</v>
      </c>
      <c r="H197" s="1">
        <v>46174.8264994329</v>
      </c>
      <c r="I197" s="22">
        <v>46174</v>
      </c>
      <c r="J197" s="24">
        <f t="shared" si="42"/>
        <v>46174.663386344117</v>
      </c>
      <c r="K197" s="24">
        <f t="shared" si="43"/>
        <v>0.82649943290016381</v>
      </c>
      <c r="L197" s="29">
        <f t="shared" si="49"/>
        <v>46173</v>
      </c>
      <c r="M197" s="27" t="str">
        <f t="shared" si="44"/>
        <v>Medication Change</v>
      </c>
      <c r="N197" s="31">
        <f t="shared" si="45"/>
        <v>4</v>
      </c>
      <c r="O197" s="27"/>
      <c r="Q197" s="8">
        <v>1.8943253727842335E-2</v>
      </c>
      <c r="R197" s="8" t="str">
        <f t="shared" si="46"/>
        <v>Major Delay</v>
      </c>
      <c r="S197" s="33">
        <v>1.9147141308119875</v>
      </c>
      <c r="T197" t="s">
        <v>30</v>
      </c>
      <c r="U197" s="3">
        <v>2</v>
      </c>
      <c r="V197" s="3" t="str">
        <f t="shared" si="50"/>
        <v/>
      </c>
      <c r="W197" s="3" t="s">
        <v>50</v>
      </c>
      <c r="X197" s="32">
        <f t="shared" si="47"/>
        <v>0.16311308878357522</v>
      </c>
      <c r="Z197" s="38">
        <f t="shared" si="51"/>
        <v>3.8113088783575222E-2</v>
      </c>
      <c r="AC197" s="36">
        <v>0.125</v>
      </c>
      <c r="AL197" t="str">
        <f t="shared" si="52"/>
        <v>Medication Change</v>
      </c>
      <c r="AM197" t="str">
        <f t="shared" si="53"/>
        <v>No</v>
      </c>
      <c r="AN197" t="str">
        <f t="shared" si="54"/>
        <v>Elective</v>
      </c>
      <c r="AO197" t="str">
        <f t="shared" si="55"/>
        <v>HDU</v>
      </c>
    </row>
    <row r="198" spans="1:41" x14ac:dyDescent="0.3">
      <c r="A198" s="21" t="str">
        <f t="shared" si="48"/>
        <v>UHID-00197</v>
      </c>
      <c r="B198" s="18">
        <v>34</v>
      </c>
      <c r="C198" s="10" t="s">
        <v>18</v>
      </c>
      <c r="D198" s="13" t="s">
        <v>26</v>
      </c>
      <c r="E198" s="13" t="s">
        <v>3</v>
      </c>
      <c r="F198" s="15">
        <v>46173.001391840298</v>
      </c>
      <c r="G198" s="4">
        <v>46173</v>
      </c>
      <c r="H198" s="1">
        <v>46174.847480601798</v>
      </c>
      <c r="I198" s="22">
        <v>46174</v>
      </c>
      <c r="J198" s="24">
        <f t="shared" si="42"/>
        <v>46174.718200927389</v>
      </c>
      <c r="K198" s="24">
        <f t="shared" si="43"/>
        <v>0.84748060179845197</v>
      </c>
      <c r="L198" s="29">
        <f t="shared" si="49"/>
        <v>46173</v>
      </c>
      <c r="M198" s="27" t="str">
        <f t="shared" si="44"/>
        <v>TPA Approval Delay</v>
      </c>
      <c r="N198" s="31">
        <f t="shared" si="45"/>
        <v>1</v>
      </c>
      <c r="O198" s="27"/>
      <c r="Q198" s="8">
        <v>0.8050457768842646</v>
      </c>
      <c r="R198" s="8" t="str">
        <f t="shared" si="46"/>
        <v>Major Delay</v>
      </c>
      <c r="S198" s="33">
        <v>3.1027121858380031</v>
      </c>
      <c r="T198" t="s">
        <v>31</v>
      </c>
      <c r="U198" s="3">
        <v>0</v>
      </c>
      <c r="V198" s="3" t="str">
        <f t="shared" si="50"/>
        <v>Normal</v>
      </c>
      <c r="W198" s="3" t="s">
        <v>51</v>
      </c>
      <c r="X198" s="32">
        <f t="shared" si="47"/>
        <v>0.12927967440919019</v>
      </c>
      <c r="Z198" s="38">
        <f t="shared" si="51"/>
        <v>4.2796744091901928E-3</v>
      </c>
      <c r="AC198" s="36">
        <v>0.125</v>
      </c>
      <c r="AL198" t="str">
        <f t="shared" si="52"/>
        <v>TPA Approval Delay</v>
      </c>
      <c r="AM198" t="str">
        <f t="shared" si="53"/>
        <v>No</v>
      </c>
      <c r="AN198" t="str">
        <f t="shared" si="54"/>
        <v>Elective</v>
      </c>
      <c r="AO198" t="str">
        <f t="shared" si="55"/>
        <v>General Ward</v>
      </c>
    </row>
    <row r="199" spans="1:41" x14ac:dyDescent="0.3">
      <c r="A199" s="21" t="str">
        <f t="shared" si="48"/>
        <v>UHID-00198</v>
      </c>
      <c r="B199" s="18">
        <v>43</v>
      </c>
      <c r="C199" s="10" t="s">
        <v>18</v>
      </c>
      <c r="D199" s="13" t="s">
        <v>28</v>
      </c>
      <c r="E199" s="13" t="s">
        <v>3</v>
      </c>
      <c r="F199" s="15">
        <v>46174.632707152799</v>
      </c>
      <c r="G199" s="4">
        <v>46174</v>
      </c>
      <c r="H199" s="1">
        <v>46174.907863680601</v>
      </c>
      <c r="I199" s="22">
        <v>46174</v>
      </c>
      <c r="J199" s="24">
        <f t="shared" si="42"/>
        <v>46174.799053880728</v>
      </c>
      <c r="K199" s="24">
        <f t="shared" si="43"/>
        <v>0.90786368060071254</v>
      </c>
      <c r="L199" s="29">
        <f t="shared" si="49"/>
        <v>46173</v>
      </c>
      <c r="M199" s="27" t="str">
        <f t="shared" si="44"/>
        <v>Doctor Round Delay/Report Delay</v>
      </c>
      <c r="N199" s="31">
        <f t="shared" si="45"/>
        <v>0</v>
      </c>
      <c r="O199" s="27"/>
      <c r="Q199" s="8">
        <v>0.99017246454612617</v>
      </c>
      <c r="R199" s="8" t="str">
        <f t="shared" si="46"/>
        <v>Minor Delay</v>
      </c>
      <c r="S199" s="33">
        <v>2.6114351968938783</v>
      </c>
      <c r="T199" t="s">
        <v>31</v>
      </c>
      <c r="U199" s="3">
        <v>0</v>
      </c>
      <c r="V199" s="3" t="str">
        <f t="shared" si="50"/>
        <v>Normal</v>
      </c>
      <c r="W199" s="3" t="s">
        <v>51</v>
      </c>
      <c r="X199" s="32">
        <f t="shared" si="47"/>
        <v>0.10880979987268802</v>
      </c>
      <c r="Z199" s="38">
        <f t="shared" si="51"/>
        <v>0</v>
      </c>
      <c r="AC199" s="36">
        <v>0.125</v>
      </c>
      <c r="AL199" t="str">
        <f t="shared" si="52"/>
        <v>Doctor Round Delay/Report Delay</v>
      </c>
      <c r="AM199" t="str">
        <f t="shared" si="53"/>
        <v>No</v>
      </c>
      <c r="AN199" t="str">
        <f t="shared" si="54"/>
        <v>Elective</v>
      </c>
      <c r="AO199" t="str">
        <f t="shared" si="55"/>
        <v>General Ward</v>
      </c>
    </row>
    <row r="200" spans="1:41" x14ac:dyDescent="0.3">
      <c r="A200" s="21" t="str">
        <f t="shared" si="48"/>
        <v>UHID-00199</v>
      </c>
      <c r="B200" s="18">
        <v>72</v>
      </c>
      <c r="C200" s="10" t="s">
        <v>18</v>
      </c>
      <c r="D200" s="13" t="s">
        <v>26</v>
      </c>
      <c r="E200" s="13" t="s">
        <v>3</v>
      </c>
      <c r="F200" s="15">
        <v>46167.995231018504</v>
      </c>
      <c r="G200" s="4">
        <v>46167</v>
      </c>
      <c r="H200" s="1">
        <v>46175.343072453703</v>
      </c>
      <c r="I200" s="22">
        <v>46175</v>
      </c>
      <c r="J200" s="24">
        <f t="shared" si="42"/>
        <v>46175.072005972012</v>
      </c>
      <c r="K200" s="24">
        <f t="shared" si="43"/>
        <v>0.34307245370291639</v>
      </c>
      <c r="L200" s="29">
        <f t="shared" si="49"/>
        <v>46174</v>
      </c>
      <c r="M200" s="27" t="str">
        <f t="shared" si="44"/>
        <v>Health Deterioration/TPA Approval Delay</v>
      </c>
      <c r="N200" s="31">
        <f t="shared" si="45"/>
        <v>8</v>
      </c>
      <c r="O200" s="27"/>
      <c r="Q200" s="8">
        <v>0.84648997750499999</v>
      </c>
      <c r="R200" s="8" t="str">
        <f t="shared" si="46"/>
        <v>Critical Delay</v>
      </c>
      <c r="S200" s="33">
        <v>3.5055955605962517</v>
      </c>
      <c r="T200" t="s">
        <v>31</v>
      </c>
      <c r="U200" s="3">
        <v>3</v>
      </c>
      <c r="V200" s="3" t="str">
        <f t="shared" si="50"/>
        <v>Normal</v>
      </c>
      <c r="W200" s="3" t="s">
        <v>50</v>
      </c>
      <c r="X200" s="32">
        <f t="shared" si="47"/>
        <v>0.2710664816913777</v>
      </c>
      <c r="Z200" s="38">
        <f t="shared" si="51"/>
        <v>0.1460664816913777</v>
      </c>
      <c r="AC200" s="36">
        <v>0.125</v>
      </c>
      <c r="AL200" t="str">
        <f t="shared" si="52"/>
        <v>Health Deterioration/TPA Approval Delay</v>
      </c>
      <c r="AM200" t="str">
        <f t="shared" si="53"/>
        <v>Yes</v>
      </c>
      <c r="AN200" t="str">
        <f t="shared" si="54"/>
        <v>Emergency</v>
      </c>
      <c r="AO200" t="str">
        <f t="shared" si="55"/>
        <v>ICU</v>
      </c>
    </row>
    <row r="201" spans="1:41" x14ac:dyDescent="0.3">
      <c r="A201" s="21" t="str">
        <f t="shared" si="48"/>
        <v>UHID-00200</v>
      </c>
      <c r="B201" s="18">
        <v>74</v>
      </c>
      <c r="C201" s="10" t="s">
        <v>17</v>
      </c>
      <c r="D201" s="13" t="s">
        <v>27</v>
      </c>
      <c r="E201" s="13" t="s">
        <v>3</v>
      </c>
      <c r="F201" s="15">
        <v>46172.919681631902</v>
      </c>
      <c r="G201" s="4">
        <v>46172</v>
      </c>
      <c r="H201" s="1">
        <v>46175.584838645802</v>
      </c>
      <c r="I201" s="22">
        <v>46175</v>
      </c>
      <c r="J201" s="24">
        <f t="shared" si="42"/>
        <v>46175.532440862546</v>
      </c>
      <c r="K201" s="24">
        <f t="shared" si="43"/>
        <v>0.58483864580193767</v>
      </c>
      <c r="L201" s="29">
        <f t="shared" si="49"/>
        <v>46174</v>
      </c>
      <c r="M201" s="27" t="str">
        <f t="shared" si="44"/>
        <v>Normal</v>
      </c>
      <c r="N201" s="31">
        <f t="shared" si="45"/>
        <v>3</v>
      </c>
      <c r="O201" s="27"/>
      <c r="Q201" s="8">
        <v>0.46957823556800604</v>
      </c>
      <c r="R201" s="8" t="str">
        <f t="shared" si="46"/>
        <v>On Time</v>
      </c>
      <c r="S201" s="33">
        <v>1.2575467981434065</v>
      </c>
      <c r="T201" t="s">
        <v>31</v>
      </c>
      <c r="U201" s="3">
        <v>0</v>
      </c>
      <c r="V201" s="3" t="str">
        <f t="shared" si="50"/>
        <v>Normal</v>
      </c>
      <c r="W201" s="3" t="s">
        <v>51</v>
      </c>
      <c r="X201" s="32">
        <f t="shared" si="47"/>
        <v>5.2397783256310504E-2</v>
      </c>
      <c r="Z201" s="38">
        <f t="shared" si="51"/>
        <v>0</v>
      </c>
      <c r="AC201" s="36">
        <v>0.125</v>
      </c>
      <c r="AL201" t="str">
        <f t="shared" si="52"/>
        <v>Normal</v>
      </c>
      <c r="AM201" t="str">
        <f t="shared" si="53"/>
        <v>No</v>
      </c>
      <c r="AN201" t="str">
        <f t="shared" si="54"/>
        <v>Elective</v>
      </c>
      <c r="AO201" t="str">
        <f t="shared" si="55"/>
        <v>General Ward</v>
      </c>
    </row>
    <row r="202" spans="1:41" x14ac:dyDescent="0.3">
      <c r="A202" s="21" t="str">
        <f t="shared" si="48"/>
        <v>UHID-00201</v>
      </c>
      <c r="B202" s="18">
        <v>42</v>
      </c>
      <c r="C202" s="10" t="s">
        <v>18</v>
      </c>
      <c r="D202" s="13" t="s">
        <v>26</v>
      </c>
      <c r="E202" s="13" t="s">
        <v>3</v>
      </c>
      <c r="F202" s="15">
        <v>46175.404988877301</v>
      </c>
      <c r="G202" s="4">
        <v>46175</v>
      </c>
      <c r="H202" s="1">
        <v>46175.636184641196</v>
      </c>
      <c r="I202" s="22">
        <v>46175</v>
      </c>
      <c r="J202" s="24">
        <f t="shared" si="42"/>
        <v>46175.484849204113</v>
      </c>
      <c r="K202" s="24">
        <f t="shared" si="43"/>
        <v>0.63618464119645068</v>
      </c>
      <c r="L202" s="29">
        <f t="shared" si="49"/>
        <v>46174</v>
      </c>
      <c r="M202" s="27" t="str">
        <f t="shared" si="44"/>
        <v>TPA Approval Delay</v>
      </c>
      <c r="N202" s="31">
        <f t="shared" si="45"/>
        <v>0</v>
      </c>
      <c r="O202" s="27"/>
      <c r="Q202" s="8">
        <v>0.84887621213119846</v>
      </c>
      <c r="R202" s="8" t="str">
        <f t="shared" si="46"/>
        <v>Major Delay</v>
      </c>
      <c r="S202" s="33">
        <v>3.6320504900680302</v>
      </c>
      <c r="T202" t="s">
        <v>31</v>
      </c>
      <c r="U202" s="3">
        <v>0</v>
      </c>
      <c r="V202" s="3" t="str">
        <f t="shared" si="50"/>
        <v>Normal</v>
      </c>
      <c r="W202" s="3" t="s">
        <v>51</v>
      </c>
      <c r="X202" s="32">
        <f t="shared" si="47"/>
        <v>0.15133543708361685</v>
      </c>
      <c r="Z202" s="38">
        <f t="shared" si="51"/>
        <v>2.6335437083616853E-2</v>
      </c>
      <c r="AC202" s="36">
        <v>0.125</v>
      </c>
      <c r="AL202" t="str">
        <f t="shared" si="52"/>
        <v>TPA Approval Delay</v>
      </c>
      <c r="AM202" t="str">
        <f t="shared" si="53"/>
        <v>No</v>
      </c>
      <c r="AN202" t="str">
        <f t="shared" si="54"/>
        <v>Elective</v>
      </c>
      <c r="AO202" t="str">
        <f t="shared" si="55"/>
        <v>General Ward</v>
      </c>
    </row>
    <row r="203" spans="1:41" x14ac:dyDescent="0.3">
      <c r="A203" s="21" t="str">
        <f t="shared" si="48"/>
        <v>UHID-00202</v>
      </c>
      <c r="B203" s="18">
        <v>58</v>
      </c>
      <c r="C203" s="10" t="s">
        <v>18</v>
      </c>
      <c r="D203" s="13" t="s">
        <v>26</v>
      </c>
      <c r="E203" s="13" t="s">
        <v>3</v>
      </c>
      <c r="F203" s="15">
        <v>46172.851324583302</v>
      </c>
      <c r="G203" s="4">
        <v>46172</v>
      </c>
      <c r="H203" s="1">
        <v>46175.724585439799</v>
      </c>
      <c r="I203" s="22">
        <v>46175</v>
      </c>
      <c r="J203" s="24">
        <f t="shared" si="42"/>
        <v>46175.560771009645</v>
      </c>
      <c r="K203" s="24">
        <f t="shared" si="43"/>
        <v>0.72458543979882961</v>
      </c>
      <c r="L203" s="29">
        <f t="shared" si="49"/>
        <v>46174</v>
      </c>
      <c r="M203" s="27" t="str">
        <f t="shared" si="44"/>
        <v>TPA Approval Delay</v>
      </c>
      <c r="N203" s="31">
        <f t="shared" si="45"/>
        <v>3</v>
      </c>
      <c r="O203" s="27"/>
      <c r="Q203" s="8">
        <v>0.78713493479818841</v>
      </c>
      <c r="R203" s="8" t="str">
        <f t="shared" si="46"/>
        <v>Major Delay</v>
      </c>
      <c r="S203" s="33">
        <v>3.9315463236166717</v>
      </c>
      <c r="T203" t="s">
        <v>31</v>
      </c>
      <c r="U203" s="3">
        <v>0</v>
      </c>
      <c r="V203" s="3" t="str">
        <f t="shared" si="50"/>
        <v>Normal</v>
      </c>
      <c r="W203" s="3" t="s">
        <v>51</v>
      </c>
      <c r="X203" s="32">
        <f t="shared" si="47"/>
        <v>0.16381443015416153</v>
      </c>
      <c r="Z203" s="38">
        <f t="shared" si="51"/>
        <v>3.8814430154161528E-2</v>
      </c>
      <c r="AC203" s="36">
        <v>0.125</v>
      </c>
      <c r="AL203" t="str">
        <f t="shared" si="52"/>
        <v>TPA Approval Delay</v>
      </c>
      <c r="AM203" t="str">
        <f t="shared" si="53"/>
        <v>No</v>
      </c>
      <c r="AN203" t="str">
        <f t="shared" si="54"/>
        <v>Elective</v>
      </c>
      <c r="AO203" t="str">
        <f t="shared" si="55"/>
        <v>General Ward</v>
      </c>
    </row>
    <row r="204" spans="1:41" x14ac:dyDescent="0.3">
      <c r="A204" s="21" t="str">
        <f t="shared" si="48"/>
        <v>UHID-00203</v>
      </c>
      <c r="B204" s="18">
        <v>62</v>
      </c>
      <c r="C204" s="10" t="s">
        <v>18</v>
      </c>
      <c r="D204" s="13" t="s">
        <v>26</v>
      </c>
      <c r="E204" s="13" t="s">
        <v>3</v>
      </c>
      <c r="F204" s="15">
        <v>46171.991572974497</v>
      </c>
      <c r="G204" s="4">
        <v>46171</v>
      </c>
      <c r="H204" s="1">
        <v>46175.714682199097</v>
      </c>
      <c r="I204" s="22">
        <v>46175</v>
      </c>
      <c r="J204" s="24">
        <f t="shared" si="42"/>
        <v>46175.459037808847</v>
      </c>
      <c r="K204" s="24">
        <f t="shared" si="43"/>
        <v>0.71468219909729669</v>
      </c>
      <c r="L204" s="29">
        <f t="shared" si="49"/>
        <v>46174</v>
      </c>
      <c r="M204" s="27" t="str">
        <f t="shared" si="44"/>
        <v>Health Deterioration/TPA Approval Delay</v>
      </c>
      <c r="N204" s="31">
        <f t="shared" si="45"/>
        <v>4</v>
      </c>
      <c r="O204" s="27"/>
      <c r="Q204" s="8">
        <v>0.82567701680508054</v>
      </c>
      <c r="R204" s="8" t="str">
        <f t="shared" si="46"/>
        <v>Critical Delay</v>
      </c>
      <c r="S204" s="33">
        <v>3.135465365932721</v>
      </c>
      <c r="T204" t="s">
        <v>31</v>
      </c>
      <c r="U204" s="3">
        <v>3</v>
      </c>
      <c r="V204" s="3" t="str">
        <f t="shared" si="50"/>
        <v>Normal</v>
      </c>
      <c r="W204" s="3" t="s">
        <v>50</v>
      </c>
      <c r="X204" s="32">
        <f t="shared" si="47"/>
        <v>0.25564439025038155</v>
      </c>
      <c r="Z204" s="38">
        <f t="shared" si="51"/>
        <v>0.13064439025038155</v>
      </c>
      <c r="AC204" s="36">
        <v>0.125</v>
      </c>
      <c r="AL204" t="str">
        <f t="shared" si="52"/>
        <v>Health Deterioration/TPA Approval Delay</v>
      </c>
      <c r="AM204" t="str">
        <f t="shared" si="53"/>
        <v>No</v>
      </c>
      <c r="AN204" t="str">
        <f t="shared" si="54"/>
        <v>Emergency</v>
      </c>
      <c r="AO204" t="str">
        <f t="shared" si="55"/>
        <v>HDU</v>
      </c>
    </row>
    <row r="205" spans="1:41" x14ac:dyDescent="0.3">
      <c r="A205" s="21" t="str">
        <f t="shared" si="48"/>
        <v>UHID-00204</v>
      </c>
      <c r="B205" s="18">
        <v>84</v>
      </c>
      <c r="C205" s="10" t="s">
        <v>18</v>
      </c>
      <c r="D205" s="13" t="s">
        <v>27</v>
      </c>
      <c r="E205" s="13" t="s">
        <v>3</v>
      </c>
      <c r="F205" s="15">
        <v>46173.520536539298</v>
      </c>
      <c r="G205" s="4">
        <v>46173</v>
      </c>
      <c r="H205" s="1">
        <v>46175.764694432903</v>
      </c>
      <c r="I205" s="22">
        <v>46175</v>
      </c>
      <c r="J205" s="24">
        <f t="shared" si="42"/>
        <v>46175.711585962694</v>
      </c>
      <c r="K205" s="24">
        <f t="shared" si="43"/>
        <v>0.76469443290261552</v>
      </c>
      <c r="L205" s="29">
        <f t="shared" si="49"/>
        <v>46174</v>
      </c>
      <c r="M205" s="27" t="str">
        <f t="shared" si="44"/>
        <v>Normal</v>
      </c>
      <c r="N205" s="31">
        <f t="shared" si="45"/>
        <v>2</v>
      </c>
      <c r="O205" s="27"/>
      <c r="Q205" s="8">
        <v>0.27199702009495264</v>
      </c>
      <c r="R205" s="8" t="str">
        <f t="shared" si="46"/>
        <v>On Time</v>
      </c>
      <c r="S205" s="33">
        <v>1.2746032850077889</v>
      </c>
      <c r="T205" t="s">
        <v>30</v>
      </c>
      <c r="U205" s="3">
        <v>0</v>
      </c>
      <c r="V205" s="3" t="str">
        <f t="shared" si="50"/>
        <v/>
      </c>
      <c r="W205" s="3" t="s">
        <v>51</v>
      </c>
      <c r="X205" s="32">
        <f t="shared" si="47"/>
        <v>5.3108470208826475E-2</v>
      </c>
      <c r="Z205" s="38">
        <f t="shared" si="51"/>
        <v>0</v>
      </c>
      <c r="AC205" s="36">
        <v>0.125</v>
      </c>
      <c r="AL205" t="str">
        <f t="shared" si="52"/>
        <v>Normal</v>
      </c>
      <c r="AM205" t="str">
        <f t="shared" si="53"/>
        <v>No</v>
      </c>
      <c r="AN205" t="str">
        <f t="shared" si="54"/>
        <v>Elective</v>
      </c>
      <c r="AO205" t="str">
        <f t="shared" si="55"/>
        <v>General Ward</v>
      </c>
    </row>
    <row r="206" spans="1:41" x14ac:dyDescent="0.3">
      <c r="A206" s="21" t="str">
        <f t="shared" si="48"/>
        <v>UHID-00205</v>
      </c>
      <c r="B206" s="18">
        <v>2</v>
      </c>
      <c r="C206" s="10" t="s">
        <v>17</v>
      </c>
      <c r="D206" s="13" t="s">
        <v>26</v>
      </c>
      <c r="E206" s="13" t="s">
        <v>3</v>
      </c>
      <c r="F206" s="15">
        <v>46174.471960717601</v>
      </c>
      <c r="G206" s="4">
        <v>46174</v>
      </c>
      <c r="H206" s="1">
        <v>46175.577834560201</v>
      </c>
      <c r="I206" s="22">
        <v>46175</v>
      </c>
      <c r="J206" s="24">
        <f t="shared" si="42"/>
        <v>46175.411997766707</v>
      </c>
      <c r="K206" s="24">
        <f t="shared" si="43"/>
        <v>0.57783456020115409</v>
      </c>
      <c r="L206" s="29">
        <f t="shared" si="49"/>
        <v>46174</v>
      </c>
      <c r="M206" s="27" t="str">
        <f t="shared" si="44"/>
        <v>TPA Approval Delay</v>
      </c>
      <c r="N206" s="31">
        <f t="shared" si="45"/>
        <v>1</v>
      </c>
      <c r="O206" s="27"/>
      <c r="Q206" s="8">
        <v>0.57817579438222788</v>
      </c>
      <c r="R206" s="8" t="str">
        <f t="shared" si="46"/>
        <v>Major Delay</v>
      </c>
      <c r="S206" s="33">
        <v>3.9800830438206809</v>
      </c>
      <c r="T206" t="s">
        <v>31</v>
      </c>
      <c r="U206" s="3">
        <v>0</v>
      </c>
      <c r="V206" s="3" t="str">
        <f t="shared" si="50"/>
        <v>Normal</v>
      </c>
      <c r="W206" s="3" t="s">
        <v>51</v>
      </c>
      <c r="X206" s="32">
        <f t="shared" si="47"/>
        <v>0.16583679349423619</v>
      </c>
      <c r="Z206" s="38">
        <f t="shared" si="51"/>
        <v>4.083679349423619E-2</v>
      </c>
      <c r="AC206" s="36">
        <v>0.125</v>
      </c>
      <c r="AL206" t="str">
        <f t="shared" si="52"/>
        <v>TPA Approval Delay</v>
      </c>
      <c r="AM206" t="str">
        <f t="shared" si="53"/>
        <v>No</v>
      </c>
      <c r="AN206" t="str">
        <f t="shared" si="54"/>
        <v>Elective</v>
      </c>
      <c r="AO206" t="str">
        <f t="shared" si="55"/>
        <v>General Ward</v>
      </c>
    </row>
    <row r="207" spans="1:41" x14ac:dyDescent="0.3">
      <c r="A207" s="21" t="str">
        <f t="shared" si="48"/>
        <v>UHID-00206</v>
      </c>
      <c r="B207" s="18">
        <v>81</v>
      </c>
      <c r="C207" s="10" t="s">
        <v>17</v>
      </c>
      <c r="D207" s="13" t="s">
        <v>27</v>
      </c>
      <c r="E207" s="13" t="s">
        <v>3</v>
      </c>
      <c r="F207" s="15">
        <v>46171.549387766201</v>
      </c>
      <c r="G207" s="4">
        <v>46171</v>
      </c>
      <c r="H207" s="1">
        <v>46176.4674217477</v>
      </c>
      <c r="I207" s="22">
        <v>46176</v>
      </c>
      <c r="J207" s="24">
        <f t="shared" si="42"/>
        <v>46176.389859195726</v>
      </c>
      <c r="K207" s="24">
        <f t="shared" si="43"/>
        <v>0.46742174770042766</v>
      </c>
      <c r="L207" s="29">
        <f t="shared" si="49"/>
        <v>46175</v>
      </c>
      <c r="M207" s="27" t="str">
        <f t="shared" si="44"/>
        <v>Normal</v>
      </c>
      <c r="N207" s="31">
        <f t="shared" si="45"/>
        <v>5</v>
      </c>
      <c r="O207" s="27"/>
      <c r="Q207" s="8">
        <v>0.43258298527673766</v>
      </c>
      <c r="R207" s="8" t="str">
        <f t="shared" si="46"/>
        <v>On Time</v>
      </c>
      <c r="S207" s="33">
        <v>1.8615012473320203</v>
      </c>
      <c r="T207" t="s">
        <v>31</v>
      </c>
      <c r="U207" s="3">
        <v>0</v>
      </c>
      <c r="V207" s="3" t="str">
        <f t="shared" si="50"/>
        <v>Normal</v>
      </c>
      <c r="W207" s="3" t="s">
        <v>51</v>
      </c>
      <c r="X207" s="32">
        <f t="shared" si="47"/>
        <v>7.7562551974551752E-2</v>
      </c>
      <c r="Z207" s="38">
        <f t="shared" si="51"/>
        <v>0</v>
      </c>
      <c r="AC207" s="36">
        <v>0.125</v>
      </c>
      <c r="AL207" t="str">
        <f t="shared" si="52"/>
        <v>Normal</v>
      </c>
      <c r="AM207" t="str">
        <f t="shared" si="53"/>
        <v>No</v>
      </c>
      <c r="AN207" t="str">
        <f t="shared" si="54"/>
        <v>Elective</v>
      </c>
      <c r="AO207" t="str">
        <f t="shared" si="55"/>
        <v>HDU</v>
      </c>
    </row>
    <row r="208" spans="1:41" x14ac:dyDescent="0.3">
      <c r="A208" s="21" t="str">
        <f t="shared" si="48"/>
        <v>UHID-00207</v>
      </c>
      <c r="B208" s="18">
        <v>60</v>
      </c>
      <c r="C208" s="10" t="s">
        <v>17</v>
      </c>
      <c r="D208" s="13" t="s">
        <v>26</v>
      </c>
      <c r="E208" s="13" t="s">
        <v>3</v>
      </c>
      <c r="F208" s="15">
        <v>46173.7717336227</v>
      </c>
      <c r="G208" s="4">
        <v>46173</v>
      </c>
      <c r="H208" s="1">
        <v>46176.527508263898</v>
      </c>
      <c r="I208" s="22">
        <v>46176</v>
      </c>
      <c r="J208" s="24">
        <f t="shared" si="42"/>
        <v>46176.393780135266</v>
      </c>
      <c r="K208" s="24">
        <f t="shared" si="43"/>
        <v>0.52750826389819849</v>
      </c>
      <c r="L208" s="29">
        <f t="shared" si="49"/>
        <v>46175</v>
      </c>
      <c r="M208" s="27" t="str">
        <f t="shared" si="44"/>
        <v>TPA Approval Delay</v>
      </c>
      <c r="N208" s="31">
        <f t="shared" si="45"/>
        <v>3</v>
      </c>
      <c r="O208" s="27"/>
      <c r="Q208" s="8">
        <v>0.7680939778193695</v>
      </c>
      <c r="R208" s="8" t="str">
        <f t="shared" si="46"/>
        <v>Major Delay</v>
      </c>
      <c r="S208" s="33">
        <v>3.209475087097744</v>
      </c>
      <c r="T208" t="s">
        <v>31</v>
      </c>
      <c r="U208" s="3">
        <v>0</v>
      </c>
      <c r="V208" s="3" t="str">
        <f t="shared" si="50"/>
        <v>Normal</v>
      </c>
      <c r="W208" s="3" t="s">
        <v>51</v>
      </c>
      <c r="X208" s="32">
        <f t="shared" si="47"/>
        <v>0.13372812863235595</v>
      </c>
      <c r="Z208" s="38">
        <f t="shared" si="51"/>
        <v>8.728128632355947E-3</v>
      </c>
      <c r="AC208" s="36">
        <v>0.125</v>
      </c>
      <c r="AL208" t="str">
        <f t="shared" si="52"/>
        <v>TPA Approval Delay</v>
      </c>
      <c r="AM208" t="str">
        <f t="shared" si="53"/>
        <v>No</v>
      </c>
      <c r="AN208" t="str">
        <f t="shared" si="54"/>
        <v>Elective</v>
      </c>
      <c r="AO208" t="str">
        <f t="shared" si="55"/>
        <v>General Ward</v>
      </c>
    </row>
    <row r="209" spans="1:41" x14ac:dyDescent="0.3">
      <c r="A209" s="21" t="str">
        <f t="shared" si="48"/>
        <v>UHID-00208</v>
      </c>
      <c r="B209" s="18">
        <v>40</v>
      </c>
      <c r="C209" s="10" t="s">
        <v>18</v>
      </c>
      <c r="D209" s="13" t="s">
        <v>27</v>
      </c>
      <c r="E209" s="13" t="s">
        <v>3</v>
      </c>
      <c r="F209" s="15">
        <v>46171.776644849502</v>
      </c>
      <c r="G209" s="4">
        <v>46171</v>
      </c>
      <c r="H209" s="1">
        <v>46176.463234444403</v>
      </c>
      <c r="I209" s="22">
        <v>46176</v>
      </c>
      <c r="J209" s="24">
        <f t="shared" si="42"/>
        <v>46176.145139236185</v>
      </c>
      <c r="K209" s="24">
        <f t="shared" si="43"/>
        <v>0.46323444440349704</v>
      </c>
      <c r="L209" s="29">
        <f t="shared" si="49"/>
        <v>46175</v>
      </c>
      <c r="M209" s="27" t="str">
        <f t="shared" si="44"/>
        <v>Health Deterioration</v>
      </c>
      <c r="N209" s="31">
        <f t="shared" si="45"/>
        <v>5</v>
      </c>
      <c r="O209" s="27"/>
      <c r="Q209" s="8">
        <v>3.5068237141439029E-3</v>
      </c>
      <c r="R209" s="8" t="str">
        <f t="shared" si="46"/>
        <v>Critical Delay</v>
      </c>
      <c r="S209" s="33">
        <v>1.6342849972877636</v>
      </c>
      <c r="T209" t="s">
        <v>30</v>
      </c>
      <c r="U209" s="3">
        <v>6</v>
      </c>
      <c r="V209" s="3" t="str">
        <f t="shared" si="50"/>
        <v/>
      </c>
      <c r="W209" s="3" t="s">
        <v>52</v>
      </c>
      <c r="X209" s="32">
        <f t="shared" si="47"/>
        <v>0.31809520821843762</v>
      </c>
      <c r="Z209" s="38">
        <f t="shared" si="51"/>
        <v>0.19309520821843762</v>
      </c>
      <c r="AC209" s="36">
        <v>0.125</v>
      </c>
      <c r="AL209" t="str">
        <f t="shared" si="52"/>
        <v>Health Deterioration</v>
      </c>
      <c r="AM209" t="str">
        <f t="shared" si="53"/>
        <v>No</v>
      </c>
      <c r="AN209" t="str">
        <f t="shared" si="54"/>
        <v>Emergency</v>
      </c>
      <c r="AO209" t="str">
        <f t="shared" si="55"/>
        <v>HDU</v>
      </c>
    </row>
    <row r="210" spans="1:41" x14ac:dyDescent="0.3">
      <c r="A210" s="21" t="str">
        <f t="shared" si="48"/>
        <v>UHID-00209</v>
      </c>
      <c r="B210" s="18">
        <v>32</v>
      </c>
      <c r="C210" s="10" t="s">
        <v>17</v>
      </c>
      <c r="D210" s="13" t="s">
        <v>27</v>
      </c>
      <c r="E210" s="13" t="s">
        <v>3</v>
      </c>
      <c r="F210" s="15">
        <v>46174.5133759491</v>
      </c>
      <c r="G210" s="4">
        <v>46174</v>
      </c>
      <c r="H210" s="1">
        <v>46176.595252835701</v>
      </c>
      <c r="I210" s="22">
        <v>46176</v>
      </c>
      <c r="J210" s="24">
        <f t="shared" si="42"/>
        <v>46176.547625620566</v>
      </c>
      <c r="K210" s="24">
        <f t="shared" si="43"/>
        <v>0.59525283570110332</v>
      </c>
      <c r="L210" s="29">
        <f t="shared" si="49"/>
        <v>46175</v>
      </c>
      <c r="M210" s="27" t="str">
        <f t="shared" si="44"/>
        <v>Normal</v>
      </c>
      <c r="N210" s="31">
        <f t="shared" si="45"/>
        <v>2</v>
      </c>
      <c r="O210" s="27"/>
      <c r="Q210" s="8">
        <v>0.3650188418510828</v>
      </c>
      <c r="R210" s="8" t="str">
        <f t="shared" si="46"/>
        <v>On Time</v>
      </c>
      <c r="S210" s="33">
        <v>1.1430531632009235</v>
      </c>
      <c r="T210" t="s">
        <v>31</v>
      </c>
      <c r="U210" s="3">
        <v>0</v>
      </c>
      <c r="V210" s="3" t="str">
        <f t="shared" si="50"/>
        <v>Normal</v>
      </c>
      <c r="W210" s="3" t="s">
        <v>51</v>
      </c>
      <c r="X210" s="32">
        <f t="shared" si="47"/>
        <v>4.7627215135435108E-2</v>
      </c>
      <c r="Z210" s="38">
        <f t="shared" si="51"/>
        <v>0</v>
      </c>
      <c r="AC210" s="36">
        <v>0.125</v>
      </c>
      <c r="AL210" t="str">
        <f t="shared" si="52"/>
        <v>Normal</v>
      </c>
      <c r="AM210" t="str">
        <f t="shared" si="53"/>
        <v>No</v>
      </c>
      <c r="AN210" t="str">
        <f t="shared" si="54"/>
        <v>Elective</v>
      </c>
      <c r="AO210" t="str">
        <f t="shared" si="55"/>
        <v>General Ward</v>
      </c>
    </row>
    <row r="211" spans="1:41" x14ac:dyDescent="0.3">
      <c r="A211" s="21" t="str">
        <f t="shared" si="48"/>
        <v>UHID-00210</v>
      </c>
      <c r="B211" s="18">
        <v>40</v>
      </c>
      <c r="C211" s="10" t="s">
        <v>18</v>
      </c>
      <c r="D211" s="13" t="s">
        <v>27</v>
      </c>
      <c r="E211" s="13" t="s">
        <v>3</v>
      </c>
      <c r="F211" s="15">
        <v>46173.897568831002</v>
      </c>
      <c r="G211" s="4">
        <v>46173</v>
      </c>
      <c r="H211" s="1">
        <v>46176.671596296299</v>
      </c>
      <c r="I211" s="22">
        <v>46176</v>
      </c>
      <c r="J211" s="24">
        <f t="shared" si="42"/>
        <v>46176.499537424657</v>
      </c>
      <c r="K211" s="24">
        <f t="shared" si="43"/>
        <v>0.6715962962989579</v>
      </c>
      <c r="L211" s="29">
        <f t="shared" si="49"/>
        <v>46175</v>
      </c>
      <c r="M211" s="27" t="str">
        <f t="shared" si="44"/>
        <v>Medication Change</v>
      </c>
      <c r="N211" s="31">
        <f t="shared" si="45"/>
        <v>3</v>
      </c>
      <c r="O211" s="27"/>
      <c r="Q211" s="8">
        <v>2.4697438019241069E-2</v>
      </c>
      <c r="R211" s="8" t="str">
        <f t="shared" si="46"/>
        <v>Major Delay</v>
      </c>
      <c r="S211" s="33">
        <v>1.1294129193840077</v>
      </c>
      <c r="T211" t="s">
        <v>30</v>
      </c>
      <c r="U211" s="3">
        <v>3</v>
      </c>
      <c r="V211" s="3" t="str">
        <f t="shared" si="50"/>
        <v/>
      </c>
      <c r="W211" s="3" t="s">
        <v>50</v>
      </c>
      <c r="X211" s="32">
        <f t="shared" si="47"/>
        <v>0.17205887164163869</v>
      </c>
      <c r="Z211" s="38">
        <f t="shared" si="51"/>
        <v>4.7058871641638689E-2</v>
      </c>
      <c r="AC211" s="36">
        <v>0.125</v>
      </c>
      <c r="AL211" t="str">
        <f t="shared" si="52"/>
        <v>Medication Change</v>
      </c>
      <c r="AM211" t="str">
        <f t="shared" si="53"/>
        <v>No</v>
      </c>
      <c r="AN211" t="str">
        <f t="shared" si="54"/>
        <v>Elective</v>
      </c>
      <c r="AO211" t="str">
        <f t="shared" si="55"/>
        <v>General Ward</v>
      </c>
    </row>
    <row r="212" spans="1:41" x14ac:dyDescent="0.3">
      <c r="A212" s="21" t="str">
        <f t="shared" si="48"/>
        <v>UHID-00211</v>
      </c>
      <c r="B212" s="18">
        <v>37</v>
      </c>
      <c r="C212" s="10" t="s">
        <v>18</v>
      </c>
      <c r="D212" s="13" t="s">
        <v>27</v>
      </c>
      <c r="E212" s="13" t="s">
        <v>3</v>
      </c>
      <c r="F212" s="15">
        <v>46170.686618402797</v>
      </c>
      <c r="G212" s="4">
        <v>46170</v>
      </c>
      <c r="H212" s="1">
        <v>46177.485051944401</v>
      </c>
      <c r="I212" s="22">
        <v>46177</v>
      </c>
      <c r="J212" s="24">
        <f t="shared" si="42"/>
        <v>46177.401977761794</v>
      </c>
      <c r="K212" s="24">
        <f t="shared" si="43"/>
        <v>0.48505194440076593</v>
      </c>
      <c r="L212" s="29">
        <f t="shared" si="49"/>
        <v>46176</v>
      </c>
      <c r="M212" s="27" t="str">
        <f t="shared" si="44"/>
        <v>Normal</v>
      </c>
      <c r="N212" s="31">
        <f t="shared" si="45"/>
        <v>7</v>
      </c>
      <c r="O212" s="27"/>
      <c r="Q212" s="8">
        <v>0.30383707501000357</v>
      </c>
      <c r="R212" s="8" t="str">
        <f t="shared" si="46"/>
        <v>On Time</v>
      </c>
      <c r="S212" s="33">
        <v>1.9937803826265588</v>
      </c>
      <c r="T212" t="s">
        <v>30</v>
      </c>
      <c r="U212" s="3">
        <v>0</v>
      </c>
      <c r="V212" s="3" t="str">
        <f t="shared" si="50"/>
        <v/>
      </c>
      <c r="W212" s="3" t="s">
        <v>51</v>
      </c>
      <c r="X212" s="32">
        <f t="shared" si="47"/>
        <v>8.3074182606651448E-2</v>
      </c>
      <c r="Z212" s="38">
        <f t="shared" si="51"/>
        <v>0</v>
      </c>
      <c r="AC212" s="36">
        <v>0.125</v>
      </c>
      <c r="AL212" t="str">
        <f t="shared" si="52"/>
        <v>Normal</v>
      </c>
      <c r="AM212" t="str">
        <f t="shared" si="53"/>
        <v>No</v>
      </c>
      <c r="AN212" t="str">
        <f t="shared" si="54"/>
        <v>Emergency</v>
      </c>
      <c r="AO212" t="str">
        <f t="shared" si="55"/>
        <v>ICU</v>
      </c>
    </row>
    <row r="213" spans="1:41" x14ac:dyDescent="0.3">
      <c r="A213" s="21" t="str">
        <f t="shared" si="48"/>
        <v>UHID-00212</v>
      </c>
      <c r="B213" s="18">
        <v>61</v>
      </c>
      <c r="C213" s="10" t="s">
        <v>18</v>
      </c>
      <c r="D213" s="13" t="s">
        <v>28</v>
      </c>
      <c r="E213" s="13" t="s">
        <v>3</v>
      </c>
      <c r="F213" s="15">
        <v>46174.812182326401</v>
      </c>
      <c r="G213" s="4">
        <v>46174</v>
      </c>
      <c r="H213" s="1">
        <v>46177.641740115701</v>
      </c>
      <c r="I213" s="22">
        <v>46177</v>
      </c>
      <c r="J213" s="24">
        <f t="shared" si="42"/>
        <v>46177.449264015027</v>
      </c>
      <c r="K213" s="24">
        <f t="shared" si="43"/>
        <v>0.64174011570139555</v>
      </c>
      <c r="L213" s="29">
        <f t="shared" si="49"/>
        <v>46176</v>
      </c>
      <c r="M213" s="27" t="str">
        <f t="shared" si="44"/>
        <v>Medication Change</v>
      </c>
      <c r="N213" s="31">
        <f t="shared" si="45"/>
        <v>3</v>
      </c>
      <c r="O213" s="27"/>
      <c r="Q213" s="8">
        <v>0.93406528665017852</v>
      </c>
      <c r="R213" s="8" t="str">
        <f t="shared" si="46"/>
        <v>Major Delay</v>
      </c>
      <c r="S213" s="33">
        <v>2.6194264161103091</v>
      </c>
      <c r="T213" t="s">
        <v>31</v>
      </c>
      <c r="U213" s="3">
        <v>2</v>
      </c>
      <c r="V213" s="3" t="str">
        <f t="shared" si="50"/>
        <v>Normal</v>
      </c>
      <c r="W213" s="3" t="s">
        <v>50</v>
      </c>
      <c r="X213" s="32">
        <f t="shared" si="47"/>
        <v>0.19247610067395726</v>
      </c>
      <c r="Z213" s="38">
        <f t="shared" si="51"/>
        <v>6.7476100673957262E-2</v>
      </c>
      <c r="AC213" s="36">
        <v>0.125</v>
      </c>
      <c r="AL213" t="str">
        <f t="shared" si="52"/>
        <v>Medication Change</v>
      </c>
      <c r="AM213" t="str">
        <f t="shared" si="53"/>
        <v>No</v>
      </c>
      <c r="AN213" t="str">
        <f t="shared" si="54"/>
        <v>Elective</v>
      </c>
      <c r="AO213" t="str">
        <f t="shared" si="55"/>
        <v>General Ward</v>
      </c>
    </row>
    <row r="214" spans="1:41" x14ac:dyDescent="0.3">
      <c r="A214" s="21" t="str">
        <f t="shared" si="48"/>
        <v>UHID-00213</v>
      </c>
      <c r="B214" s="18">
        <v>19</v>
      </c>
      <c r="C214" s="10" t="s">
        <v>18</v>
      </c>
      <c r="D214" s="13" t="s">
        <v>27</v>
      </c>
      <c r="E214" s="13" t="s">
        <v>3</v>
      </c>
      <c r="F214" s="15">
        <v>46174.2621545949</v>
      </c>
      <c r="G214" s="4">
        <v>46174</v>
      </c>
      <c r="H214" s="1">
        <v>46177.477158182897</v>
      </c>
      <c r="I214" s="22">
        <v>46177</v>
      </c>
      <c r="J214" s="24">
        <f t="shared" si="42"/>
        <v>46177.396618956598</v>
      </c>
      <c r="K214" s="24">
        <f t="shared" si="43"/>
        <v>0.47715818289725576</v>
      </c>
      <c r="L214" s="29">
        <f t="shared" si="49"/>
        <v>46176</v>
      </c>
      <c r="M214" s="27" t="str">
        <f t="shared" si="44"/>
        <v>Normal</v>
      </c>
      <c r="N214" s="31">
        <f t="shared" si="45"/>
        <v>3</v>
      </c>
      <c r="O214" s="27"/>
      <c r="Q214" s="8">
        <v>3.2465504485457375E-2</v>
      </c>
      <c r="R214" s="8" t="str">
        <f t="shared" si="46"/>
        <v>On Time</v>
      </c>
      <c r="S214" s="33">
        <v>1.9329414311107986</v>
      </c>
      <c r="T214" t="s">
        <v>30</v>
      </c>
      <c r="U214" s="3">
        <v>0</v>
      </c>
      <c r="V214" s="3" t="str">
        <f t="shared" si="50"/>
        <v/>
      </c>
      <c r="W214" s="3" t="s">
        <v>51</v>
      </c>
      <c r="X214" s="32">
        <f t="shared" si="47"/>
        <v>8.0539226299151778E-2</v>
      </c>
      <c r="Z214" s="38">
        <f t="shared" si="51"/>
        <v>0</v>
      </c>
      <c r="AC214" s="36">
        <v>0.125</v>
      </c>
      <c r="AL214" t="str">
        <f t="shared" si="52"/>
        <v>Normal</v>
      </c>
      <c r="AM214" t="str">
        <f t="shared" si="53"/>
        <v>No</v>
      </c>
      <c r="AN214" t="str">
        <f t="shared" si="54"/>
        <v>Elective</v>
      </c>
      <c r="AO214" t="str">
        <f t="shared" si="55"/>
        <v>General Ward</v>
      </c>
    </row>
    <row r="215" spans="1:41" x14ac:dyDescent="0.3">
      <c r="A215" s="21" t="str">
        <f t="shared" si="48"/>
        <v>UHID-00214</v>
      </c>
      <c r="B215" s="18">
        <v>52</v>
      </c>
      <c r="C215" s="10" t="s">
        <v>18</v>
      </c>
      <c r="D215" s="13" t="s">
        <v>26</v>
      </c>
      <c r="E215" s="13" t="s">
        <v>3</v>
      </c>
      <c r="F215" s="15">
        <v>46169.793617349504</v>
      </c>
      <c r="G215" s="4">
        <v>46169</v>
      </c>
      <c r="H215" s="1">
        <v>46177.577074976798</v>
      </c>
      <c r="I215" s="22">
        <v>46177</v>
      </c>
      <c r="J215" s="24">
        <f t="shared" si="42"/>
        <v>46177.349006656645</v>
      </c>
      <c r="K215" s="24">
        <f t="shared" si="43"/>
        <v>0.57707497679803055</v>
      </c>
      <c r="L215" s="29">
        <f t="shared" si="49"/>
        <v>46176</v>
      </c>
      <c r="M215" s="27" t="str">
        <f t="shared" si="44"/>
        <v>Health Deterioration/TPA Approval Delay</v>
      </c>
      <c r="N215" s="31">
        <f t="shared" si="45"/>
        <v>8</v>
      </c>
      <c r="O215" s="27"/>
      <c r="Q215" s="8">
        <v>0.69308641762046064</v>
      </c>
      <c r="R215" s="8" t="str">
        <f t="shared" si="46"/>
        <v>Critical Delay</v>
      </c>
      <c r="S215" s="33">
        <v>3.47363968375738</v>
      </c>
      <c r="T215" t="s">
        <v>31</v>
      </c>
      <c r="U215" s="3">
        <v>2</v>
      </c>
      <c r="V215" s="3" t="str">
        <f t="shared" si="50"/>
        <v>Normal</v>
      </c>
      <c r="W215" s="3" t="s">
        <v>50</v>
      </c>
      <c r="X215" s="32">
        <f t="shared" si="47"/>
        <v>0.22806832015339751</v>
      </c>
      <c r="Z215" s="38">
        <f t="shared" si="51"/>
        <v>0.10306832015339751</v>
      </c>
      <c r="AC215" s="36">
        <v>0.125</v>
      </c>
      <c r="AL215" t="str">
        <f t="shared" si="52"/>
        <v>Health Deterioration/TPA Approval Delay</v>
      </c>
      <c r="AM215" t="str">
        <f t="shared" si="53"/>
        <v>No</v>
      </c>
      <c r="AN215" t="str">
        <f t="shared" si="54"/>
        <v>Emergency</v>
      </c>
      <c r="AO215" t="str">
        <f t="shared" si="55"/>
        <v>ICU</v>
      </c>
    </row>
    <row r="216" spans="1:41" x14ac:dyDescent="0.3">
      <c r="A216" s="21" t="str">
        <f t="shared" si="48"/>
        <v>UHID-00215</v>
      </c>
      <c r="B216" s="18">
        <v>83</v>
      </c>
      <c r="C216" s="10" t="s">
        <v>18</v>
      </c>
      <c r="D216" s="13" t="s">
        <v>26</v>
      </c>
      <c r="E216" s="13" t="s">
        <v>3</v>
      </c>
      <c r="F216" s="15">
        <v>46174.751026678197</v>
      </c>
      <c r="G216" s="4">
        <v>46174</v>
      </c>
      <c r="H216" s="1">
        <v>46177.558514270801</v>
      </c>
      <c r="I216" s="22">
        <v>46177</v>
      </c>
      <c r="J216" s="24">
        <f t="shared" si="42"/>
        <v>46177.427632884363</v>
      </c>
      <c r="K216" s="24">
        <f t="shared" si="43"/>
        <v>0.55851427080051508</v>
      </c>
      <c r="L216" s="29">
        <f t="shared" si="49"/>
        <v>46176</v>
      </c>
      <c r="M216" s="27" t="str">
        <f t="shared" si="44"/>
        <v>TPA Approval Delay</v>
      </c>
      <c r="N216" s="31">
        <f t="shared" si="45"/>
        <v>3</v>
      </c>
      <c r="O216" s="27"/>
      <c r="Q216" s="8">
        <v>0.72198211750983587</v>
      </c>
      <c r="R216" s="8" t="str">
        <f t="shared" si="46"/>
        <v>Major Delay</v>
      </c>
      <c r="S216" s="33">
        <v>3.1411532745424573</v>
      </c>
      <c r="T216" t="s">
        <v>31</v>
      </c>
      <c r="U216" s="3">
        <v>0</v>
      </c>
      <c r="V216" s="3" t="str">
        <f t="shared" si="50"/>
        <v>Normal</v>
      </c>
      <c r="W216" s="3" t="s">
        <v>51</v>
      </c>
      <c r="X216" s="32">
        <f t="shared" si="47"/>
        <v>0.1308813864379772</v>
      </c>
      <c r="Z216" s="38">
        <f t="shared" si="51"/>
        <v>5.8813864379771985E-3</v>
      </c>
      <c r="AC216" s="36">
        <v>0.125</v>
      </c>
      <c r="AL216" t="str">
        <f t="shared" si="52"/>
        <v>TPA Approval Delay</v>
      </c>
      <c r="AM216" t="str">
        <f t="shared" si="53"/>
        <v>No</v>
      </c>
      <c r="AN216" t="str">
        <f t="shared" si="54"/>
        <v>Elective</v>
      </c>
      <c r="AO216" t="str">
        <f t="shared" si="55"/>
        <v>General Ward</v>
      </c>
    </row>
    <row r="217" spans="1:41" x14ac:dyDescent="0.3">
      <c r="A217" s="21" t="str">
        <f t="shared" si="48"/>
        <v>UHID-00216</v>
      </c>
      <c r="B217" s="18">
        <v>73</v>
      </c>
      <c r="C217" s="10" t="s">
        <v>18</v>
      </c>
      <c r="D217" s="13" t="s">
        <v>26</v>
      </c>
      <c r="E217" s="13" t="s">
        <v>3</v>
      </c>
      <c r="F217" s="15">
        <v>46171.362100520797</v>
      </c>
      <c r="G217" s="4">
        <v>46171</v>
      </c>
      <c r="H217" s="1">
        <v>46177.636182303198</v>
      </c>
      <c r="I217" s="22">
        <v>46177</v>
      </c>
      <c r="J217" s="24">
        <f t="shared" si="42"/>
        <v>46177.379876000974</v>
      </c>
      <c r="K217" s="24">
        <f t="shared" si="43"/>
        <v>0.6361823031984386</v>
      </c>
      <c r="L217" s="29">
        <f t="shared" si="49"/>
        <v>46176</v>
      </c>
      <c r="M217" s="27" t="str">
        <f t="shared" si="44"/>
        <v>Health Deterioration/TPA Approval Delay</v>
      </c>
      <c r="N217" s="31">
        <f t="shared" si="45"/>
        <v>6</v>
      </c>
      <c r="O217" s="27"/>
      <c r="Q217" s="8">
        <v>0.81080168451657875</v>
      </c>
      <c r="R217" s="8" t="str">
        <f t="shared" si="46"/>
        <v>Critical Delay</v>
      </c>
      <c r="S217" s="33">
        <v>3.1513512533606844</v>
      </c>
      <c r="T217" t="s">
        <v>31</v>
      </c>
      <c r="U217" s="3">
        <v>3</v>
      </c>
      <c r="V217" s="3" t="str">
        <f t="shared" si="50"/>
        <v>Normal</v>
      </c>
      <c r="W217" s="3" t="s">
        <v>50</v>
      </c>
      <c r="X217" s="32">
        <f t="shared" si="47"/>
        <v>0.25630630222440232</v>
      </c>
      <c r="Z217" s="38">
        <f t="shared" si="51"/>
        <v>0.13130630222440232</v>
      </c>
      <c r="AC217" s="36">
        <v>0.125</v>
      </c>
      <c r="AL217" t="str">
        <f t="shared" si="52"/>
        <v>Health Deterioration/TPA Approval Delay</v>
      </c>
      <c r="AM217" t="str">
        <f t="shared" si="53"/>
        <v>Yes</v>
      </c>
      <c r="AN217" t="str">
        <f t="shared" si="54"/>
        <v>Emergency</v>
      </c>
      <c r="AO217" t="str">
        <f t="shared" si="55"/>
        <v>HDU</v>
      </c>
    </row>
    <row r="218" spans="1:41" x14ac:dyDescent="0.3">
      <c r="A218" s="21" t="str">
        <f t="shared" si="48"/>
        <v>UHID-00217</v>
      </c>
      <c r="B218" s="18">
        <v>45</v>
      </c>
      <c r="C218" s="10" t="s">
        <v>17</v>
      </c>
      <c r="D218" s="13" t="s">
        <v>27</v>
      </c>
      <c r="E218" s="13" t="s">
        <v>3</v>
      </c>
      <c r="F218" s="15">
        <v>46175.987534537002</v>
      </c>
      <c r="G218" s="4">
        <v>46175</v>
      </c>
      <c r="H218" s="1">
        <v>46177.711558229203</v>
      </c>
      <c r="I218" s="22">
        <v>46177</v>
      </c>
      <c r="J218" s="24">
        <f t="shared" si="42"/>
        <v>46177.641574720445</v>
      </c>
      <c r="K218" s="24">
        <f t="shared" si="43"/>
        <v>0.71155822920263745</v>
      </c>
      <c r="L218" s="29">
        <f t="shared" si="49"/>
        <v>46176</v>
      </c>
      <c r="M218" s="27" t="str">
        <f t="shared" si="44"/>
        <v>Normal</v>
      </c>
      <c r="N218" s="31">
        <f t="shared" si="45"/>
        <v>2</v>
      </c>
      <c r="O218" s="27"/>
      <c r="Q218" s="8">
        <v>8.0170020913283846E-4</v>
      </c>
      <c r="R218" s="8" t="str">
        <f t="shared" si="46"/>
        <v>On Time</v>
      </c>
      <c r="S218" s="33">
        <v>1.6796042102077946</v>
      </c>
      <c r="T218" t="s">
        <v>30</v>
      </c>
      <c r="U218" s="3">
        <v>0</v>
      </c>
      <c r="V218" s="3" t="str">
        <f t="shared" si="50"/>
        <v/>
      </c>
      <c r="W218" s="3" t="s">
        <v>51</v>
      </c>
      <c r="X218" s="32">
        <f t="shared" si="47"/>
        <v>6.9983508758014068E-2</v>
      </c>
      <c r="Z218" s="38">
        <f t="shared" si="51"/>
        <v>0</v>
      </c>
      <c r="AC218" s="36">
        <v>0.125</v>
      </c>
      <c r="AL218" t="str">
        <f t="shared" si="52"/>
        <v>Normal</v>
      </c>
      <c r="AM218" t="str">
        <f t="shared" si="53"/>
        <v>No</v>
      </c>
      <c r="AN218" t="str">
        <f t="shared" si="54"/>
        <v>Elective</v>
      </c>
      <c r="AO218" t="str">
        <f t="shared" si="55"/>
        <v>General Ward</v>
      </c>
    </row>
    <row r="219" spans="1:41" x14ac:dyDescent="0.3">
      <c r="A219" s="21" t="str">
        <f t="shared" si="48"/>
        <v>UHID-00218</v>
      </c>
      <c r="B219" s="18">
        <v>18</v>
      </c>
      <c r="C219" s="10" t="s">
        <v>17</v>
      </c>
      <c r="D219" s="13" t="s">
        <v>27</v>
      </c>
      <c r="E219" s="13" t="s">
        <v>3</v>
      </c>
      <c r="F219" s="15">
        <v>46175.893381724498</v>
      </c>
      <c r="G219" s="4">
        <v>46175</v>
      </c>
      <c r="H219" s="1">
        <v>46178.5347773264</v>
      </c>
      <c r="I219" s="22">
        <v>46178</v>
      </c>
      <c r="J219" s="24">
        <f t="shared" si="42"/>
        <v>46178.295622163896</v>
      </c>
      <c r="K219" s="24">
        <f t="shared" si="43"/>
        <v>0.53477732640021713</v>
      </c>
      <c r="L219" s="29">
        <f t="shared" si="49"/>
        <v>46177</v>
      </c>
      <c r="M219" s="27" t="str">
        <f t="shared" si="44"/>
        <v>Health Deterioration</v>
      </c>
      <c r="N219" s="31">
        <f t="shared" si="45"/>
        <v>3</v>
      </c>
      <c r="O219" s="27"/>
      <c r="Q219" s="8">
        <v>2.3237594549430973E-2</v>
      </c>
      <c r="R219" s="8" t="str">
        <f t="shared" si="46"/>
        <v>Critical Delay</v>
      </c>
      <c r="S219" s="33">
        <v>1.7397239001172757</v>
      </c>
      <c r="T219" t="s">
        <v>30</v>
      </c>
      <c r="U219" s="3">
        <v>4</v>
      </c>
      <c r="V219" s="3" t="str">
        <f t="shared" si="50"/>
        <v/>
      </c>
      <c r="W219" s="3" t="s">
        <v>50</v>
      </c>
      <c r="X219" s="32">
        <f t="shared" si="47"/>
        <v>0.23915516250417568</v>
      </c>
      <c r="Z219" s="38">
        <f t="shared" si="51"/>
        <v>0.11415516250417568</v>
      </c>
      <c r="AC219" s="36">
        <v>0.125</v>
      </c>
      <c r="AL219" t="str">
        <f t="shared" si="52"/>
        <v>Health Deterioration</v>
      </c>
      <c r="AM219" t="str">
        <f t="shared" si="53"/>
        <v>No</v>
      </c>
      <c r="AN219" t="str">
        <f t="shared" si="54"/>
        <v>Emergency</v>
      </c>
      <c r="AO219" t="str">
        <f t="shared" si="55"/>
        <v>General Ward</v>
      </c>
    </row>
    <row r="220" spans="1:41" x14ac:dyDescent="0.3">
      <c r="A220" s="21" t="str">
        <f t="shared" si="48"/>
        <v>UHID-00219</v>
      </c>
      <c r="B220" s="18">
        <v>39</v>
      </c>
      <c r="C220" s="10" t="s">
        <v>18</v>
      </c>
      <c r="D220" s="13" t="s">
        <v>27</v>
      </c>
      <c r="E220" s="13" t="s">
        <v>3</v>
      </c>
      <c r="F220" s="15">
        <v>46175.531865532401</v>
      </c>
      <c r="G220" s="4">
        <v>46175</v>
      </c>
      <c r="H220" s="1">
        <v>46178.550454004602</v>
      </c>
      <c r="I220" s="22">
        <v>46178</v>
      </c>
      <c r="J220" s="24">
        <f t="shared" si="42"/>
        <v>46178.502996629875</v>
      </c>
      <c r="K220" s="24">
        <f t="shared" si="43"/>
        <v>0.55045400460221572</v>
      </c>
      <c r="L220" s="29">
        <f t="shared" si="49"/>
        <v>46177</v>
      </c>
      <c r="M220" s="27" t="str">
        <f t="shared" si="44"/>
        <v>Normal</v>
      </c>
      <c r="N220" s="31">
        <f t="shared" si="45"/>
        <v>3</v>
      </c>
      <c r="O220" s="27"/>
      <c r="Q220" s="8">
        <v>0.28642070186195645</v>
      </c>
      <c r="R220" s="8" t="str">
        <f t="shared" si="46"/>
        <v>On Time</v>
      </c>
      <c r="S220" s="33">
        <v>1.1389769934290053</v>
      </c>
      <c r="T220" t="s">
        <v>30</v>
      </c>
      <c r="U220" s="3">
        <v>0</v>
      </c>
      <c r="V220" s="3" t="str">
        <f t="shared" si="50"/>
        <v/>
      </c>
      <c r="W220" s="3" t="s">
        <v>51</v>
      </c>
      <c r="X220" s="32">
        <f t="shared" si="47"/>
        <v>4.7457374726946E-2</v>
      </c>
      <c r="Z220" s="38">
        <f t="shared" si="51"/>
        <v>0</v>
      </c>
      <c r="AC220" s="36">
        <v>0.125</v>
      </c>
      <c r="AL220" t="str">
        <f t="shared" si="52"/>
        <v>Normal</v>
      </c>
      <c r="AM220" t="str">
        <f t="shared" si="53"/>
        <v>No</v>
      </c>
      <c r="AN220" t="str">
        <f t="shared" si="54"/>
        <v>Elective</v>
      </c>
      <c r="AO220" t="str">
        <f t="shared" si="55"/>
        <v>General Ward</v>
      </c>
    </row>
    <row r="221" spans="1:41" x14ac:dyDescent="0.3">
      <c r="A221" s="21" t="str">
        <f t="shared" si="48"/>
        <v>UHID-00220</v>
      </c>
      <c r="B221" s="18">
        <v>71</v>
      </c>
      <c r="C221" s="10" t="s">
        <v>17</v>
      </c>
      <c r="D221" s="13" t="s">
        <v>26</v>
      </c>
      <c r="E221" s="13" t="s">
        <v>3</v>
      </c>
      <c r="F221" s="15">
        <v>46174.848946712998</v>
      </c>
      <c r="G221" s="4">
        <v>46174</v>
      </c>
      <c r="H221" s="1">
        <v>46178.5708932407</v>
      </c>
      <c r="I221" s="22">
        <v>46178</v>
      </c>
      <c r="J221" s="24">
        <f t="shared" si="42"/>
        <v>46178.43985348093</v>
      </c>
      <c r="K221" s="24">
        <f t="shared" si="43"/>
        <v>0.57089324069966096</v>
      </c>
      <c r="L221" s="29">
        <f t="shared" si="49"/>
        <v>46177</v>
      </c>
      <c r="M221" s="27" t="str">
        <f t="shared" si="44"/>
        <v>TPA Approval Delay</v>
      </c>
      <c r="N221" s="31">
        <f t="shared" si="45"/>
        <v>4</v>
      </c>
      <c r="O221" s="27"/>
      <c r="Q221" s="8">
        <v>0.62269870461576804</v>
      </c>
      <c r="R221" s="8" t="str">
        <f t="shared" si="46"/>
        <v>Major Delay</v>
      </c>
      <c r="S221" s="33">
        <v>3.1449542345169559</v>
      </c>
      <c r="T221" t="s">
        <v>31</v>
      </c>
      <c r="U221" s="3">
        <v>0</v>
      </c>
      <c r="V221" s="3" t="str">
        <f t="shared" si="50"/>
        <v>Normal</v>
      </c>
      <c r="W221" s="3" t="s">
        <v>51</v>
      </c>
      <c r="X221" s="32">
        <f t="shared" si="47"/>
        <v>0.13103975976991933</v>
      </c>
      <c r="Z221" s="38">
        <f t="shared" si="51"/>
        <v>6.0397597699193284E-3</v>
      </c>
      <c r="AC221" s="36">
        <v>0.125</v>
      </c>
      <c r="AL221" t="str">
        <f t="shared" si="52"/>
        <v>TPA Approval Delay</v>
      </c>
      <c r="AM221" t="str">
        <f t="shared" si="53"/>
        <v>No</v>
      </c>
      <c r="AN221" t="str">
        <f t="shared" si="54"/>
        <v>Elective</v>
      </c>
      <c r="AO221" t="str">
        <f t="shared" si="55"/>
        <v>HDU</v>
      </c>
    </row>
    <row r="222" spans="1:41" x14ac:dyDescent="0.3">
      <c r="A222" s="21" t="str">
        <f t="shared" si="48"/>
        <v>UHID-00221</v>
      </c>
      <c r="B222" s="18">
        <v>46</v>
      </c>
      <c r="C222" s="10" t="s">
        <v>18</v>
      </c>
      <c r="D222" s="13" t="s">
        <v>27</v>
      </c>
      <c r="E222" s="13" t="s">
        <v>3</v>
      </c>
      <c r="F222" s="15">
        <v>46173.0440588657</v>
      </c>
      <c r="G222" s="4">
        <v>46173</v>
      </c>
      <c r="H222" s="1">
        <v>46178.548658854197</v>
      </c>
      <c r="I222" s="22">
        <v>46178</v>
      </c>
      <c r="J222" s="24">
        <f t="shared" si="42"/>
        <v>46178.482376652246</v>
      </c>
      <c r="K222" s="24">
        <f t="shared" si="43"/>
        <v>0.54865885419712868</v>
      </c>
      <c r="L222" s="29">
        <f t="shared" si="49"/>
        <v>46177</v>
      </c>
      <c r="M222" s="27" t="str">
        <f t="shared" si="44"/>
        <v>Normal</v>
      </c>
      <c r="N222" s="31">
        <f t="shared" si="45"/>
        <v>5</v>
      </c>
      <c r="O222" s="27"/>
      <c r="Q222" s="8">
        <v>0.26540860258808074</v>
      </c>
      <c r="R222" s="8" t="str">
        <f t="shared" si="46"/>
        <v>On Time</v>
      </c>
      <c r="S222" s="33">
        <v>1.5907728468796996</v>
      </c>
      <c r="T222" t="s">
        <v>30</v>
      </c>
      <c r="U222" s="3">
        <v>0</v>
      </c>
      <c r="V222" s="3" t="str">
        <f t="shared" si="50"/>
        <v/>
      </c>
      <c r="W222" s="3" t="s">
        <v>51</v>
      </c>
      <c r="X222" s="32">
        <f t="shared" si="47"/>
        <v>6.6282201951253228E-2</v>
      </c>
      <c r="Z222" s="38">
        <f t="shared" si="51"/>
        <v>0</v>
      </c>
      <c r="AC222" s="36">
        <v>0.125</v>
      </c>
      <c r="AL222" t="str">
        <f t="shared" si="52"/>
        <v>Normal</v>
      </c>
      <c r="AM222" t="str">
        <f t="shared" si="53"/>
        <v>No</v>
      </c>
      <c r="AN222" t="str">
        <f t="shared" si="54"/>
        <v>Elective</v>
      </c>
      <c r="AO222" t="str">
        <f t="shared" si="55"/>
        <v>HDU</v>
      </c>
    </row>
    <row r="223" spans="1:41" x14ac:dyDescent="0.3">
      <c r="A223" s="21" t="str">
        <f t="shared" si="48"/>
        <v>UHID-00222</v>
      </c>
      <c r="B223" s="18">
        <v>62</v>
      </c>
      <c r="C223" s="10" t="s">
        <v>17</v>
      </c>
      <c r="D223" s="13" t="s">
        <v>26</v>
      </c>
      <c r="E223" s="13" t="s">
        <v>3</v>
      </c>
      <c r="F223" s="15">
        <v>46177.728496446798</v>
      </c>
      <c r="G223" s="4">
        <v>46177</v>
      </c>
      <c r="H223" s="1">
        <v>46178.779166666704</v>
      </c>
      <c r="I223" s="22">
        <v>46178</v>
      </c>
      <c r="J223" s="24">
        <f t="shared" si="42"/>
        <v>46178.54491682088</v>
      </c>
      <c r="K223" s="24">
        <f t="shared" si="43"/>
        <v>0.77916666670353152</v>
      </c>
      <c r="L223" s="29">
        <f t="shared" si="49"/>
        <v>46177</v>
      </c>
      <c r="M223" s="27" t="str">
        <f t="shared" si="44"/>
        <v>Health Deterioration/TPA Approval Delay</v>
      </c>
      <c r="N223" s="31">
        <f t="shared" si="45"/>
        <v>1</v>
      </c>
      <c r="O223" s="27"/>
      <c r="Q223" s="8">
        <v>0.76389305513694006</v>
      </c>
      <c r="R223" s="8" t="str">
        <f t="shared" si="46"/>
        <v>Critical Delay</v>
      </c>
      <c r="S223" s="33">
        <v>3.6219962997755846</v>
      </c>
      <c r="T223" t="s">
        <v>31</v>
      </c>
      <c r="U223" s="3">
        <v>2</v>
      </c>
      <c r="V223" s="3" t="str">
        <f t="shared" si="50"/>
        <v>Normal</v>
      </c>
      <c r="W223" s="3" t="s">
        <v>50</v>
      </c>
      <c r="X223" s="32">
        <f t="shared" si="47"/>
        <v>0.23424984582379693</v>
      </c>
      <c r="Z223" s="38">
        <f t="shared" si="51"/>
        <v>0.10924984582379693</v>
      </c>
      <c r="AC223" s="36">
        <v>0.125</v>
      </c>
      <c r="AL223" t="str">
        <f t="shared" si="52"/>
        <v>Health Deterioration/TPA Approval Delay</v>
      </c>
      <c r="AM223" t="str">
        <f t="shared" si="53"/>
        <v>No</v>
      </c>
      <c r="AN223" t="str">
        <f t="shared" si="54"/>
        <v>Emergency</v>
      </c>
      <c r="AO223" t="str">
        <f t="shared" si="55"/>
        <v>General Ward</v>
      </c>
    </row>
    <row r="224" spans="1:41" x14ac:dyDescent="0.3">
      <c r="A224" s="21" t="str">
        <f t="shared" si="48"/>
        <v>UHID-00223</v>
      </c>
      <c r="B224" s="18">
        <v>34</v>
      </c>
      <c r="C224" s="10" t="s">
        <v>17</v>
      </c>
      <c r="D224" s="13" t="s">
        <v>28</v>
      </c>
      <c r="E224" s="13" t="s">
        <v>3</v>
      </c>
      <c r="F224" s="15">
        <v>46177.7984185764</v>
      </c>
      <c r="G224" s="4">
        <v>46177</v>
      </c>
      <c r="H224" s="1">
        <v>46179.538941574101</v>
      </c>
      <c r="I224" s="22">
        <v>46179</v>
      </c>
      <c r="J224" s="24">
        <f t="shared" si="42"/>
        <v>46179.43230090187</v>
      </c>
      <c r="K224" s="24">
        <f t="shared" si="43"/>
        <v>0.53894157410104526</v>
      </c>
      <c r="L224" s="29">
        <f t="shared" si="49"/>
        <v>46178</v>
      </c>
      <c r="M224" s="27" t="str">
        <f t="shared" si="44"/>
        <v>Doctor Round Delay/Report Delay</v>
      </c>
      <c r="N224" s="31">
        <f t="shared" si="45"/>
        <v>2</v>
      </c>
      <c r="O224" s="27"/>
      <c r="Q224" s="8">
        <v>0.90789432110579404</v>
      </c>
      <c r="R224" s="8" t="str">
        <f t="shared" si="46"/>
        <v>Minor Delay</v>
      </c>
      <c r="S224" s="33">
        <v>2.5593761334815466</v>
      </c>
      <c r="T224" t="s">
        <v>31</v>
      </c>
      <c r="U224" s="3">
        <v>0</v>
      </c>
      <c r="V224" s="3" t="str">
        <f t="shared" si="50"/>
        <v>Normal</v>
      </c>
      <c r="W224" s="3" t="s">
        <v>51</v>
      </c>
      <c r="X224" s="32">
        <f t="shared" si="47"/>
        <v>0.10664067223115126</v>
      </c>
      <c r="Z224" s="38">
        <f t="shared" si="51"/>
        <v>0</v>
      </c>
      <c r="AC224" s="36">
        <v>0.125</v>
      </c>
      <c r="AL224" t="str">
        <f t="shared" si="52"/>
        <v>Doctor Round Delay/Report Delay</v>
      </c>
      <c r="AM224" t="str">
        <f t="shared" si="53"/>
        <v>No</v>
      </c>
      <c r="AN224" t="str">
        <f t="shared" si="54"/>
        <v>Emergency</v>
      </c>
      <c r="AO224" t="str">
        <f t="shared" si="55"/>
        <v>General Ward</v>
      </c>
    </row>
    <row r="225" spans="1:41" x14ac:dyDescent="0.3">
      <c r="A225" s="21" t="str">
        <f t="shared" si="48"/>
        <v>UHID-00224</v>
      </c>
      <c r="B225" s="18">
        <v>9</v>
      </c>
      <c r="C225" s="10" t="s">
        <v>17</v>
      </c>
      <c r="D225" s="13" t="s">
        <v>26</v>
      </c>
      <c r="E225" s="13" t="s">
        <v>3</v>
      </c>
      <c r="F225" s="15">
        <v>46176.807586226903</v>
      </c>
      <c r="G225" s="4">
        <v>46176</v>
      </c>
      <c r="H225" s="1">
        <v>46179.5383893287</v>
      </c>
      <c r="I225" s="22">
        <v>46179</v>
      </c>
      <c r="J225" s="24">
        <f t="shared" si="42"/>
        <v>46179.407508687225</v>
      </c>
      <c r="K225" s="24">
        <f t="shared" si="43"/>
        <v>0.53838932869985001</v>
      </c>
      <c r="L225" s="29">
        <f t="shared" si="49"/>
        <v>46178</v>
      </c>
      <c r="M225" s="27" t="str">
        <f t="shared" si="44"/>
        <v>TPA Approval Delay</v>
      </c>
      <c r="N225" s="31">
        <f t="shared" si="45"/>
        <v>3</v>
      </c>
      <c r="O225" s="27"/>
      <c r="Q225" s="8">
        <v>0.50819745952645878</v>
      </c>
      <c r="R225" s="8" t="str">
        <f t="shared" si="46"/>
        <v>Major Delay</v>
      </c>
      <c r="S225" s="33">
        <v>3.1411353953206449</v>
      </c>
      <c r="T225" t="s">
        <v>31</v>
      </c>
      <c r="U225" s="3">
        <v>0</v>
      </c>
      <c r="V225" s="3" t="str">
        <f t="shared" si="50"/>
        <v>Normal</v>
      </c>
      <c r="W225" s="3" t="s">
        <v>51</v>
      </c>
      <c r="X225" s="32">
        <f t="shared" si="47"/>
        <v>0.13088064147450496</v>
      </c>
      <c r="Z225" s="38">
        <f t="shared" si="51"/>
        <v>5.8806414745049551E-3</v>
      </c>
      <c r="AC225" s="36">
        <v>0.125</v>
      </c>
      <c r="AL225" t="str">
        <f t="shared" si="52"/>
        <v>TPA Approval Delay</v>
      </c>
      <c r="AM225" t="str">
        <f t="shared" si="53"/>
        <v>No</v>
      </c>
      <c r="AN225" t="str">
        <f t="shared" si="54"/>
        <v>Elective</v>
      </c>
      <c r="AO225" t="str">
        <f t="shared" si="55"/>
        <v>General Ward</v>
      </c>
    </row>
    <row r="226" spans="1:41" x14ac:dyDescent="0.3">
      <c r="A226" s="21" t="str">
        <f t="shared" si="48"/>
        <v>UHID-00225</v>
      </c>
      <c r="B226" s="18">
        <v>30</v>
      </c>
      <c r="C226" s="10" t="s">
        <v>18</v>
      </c>
      <c r="D226" s="13" t="s">
        <v>28</v>
      </c>
      <c r="E226" s="13" t="s">
        <v>3</v>
      </c>
      <c r="F226" s="15">
        <v>46175.739018796303</v>
      </c>
      <c r="G226" s="4">
        <v>46175</v>
      </c>
      <c r="H226" s="1">
        <v>46179.4834539699</v>
      </c>
      <c r="I226" s="22">
        <v>46179</v>
      </c>
      <c r="J226" s="24">
        <f t="shared" si="42"/>
        <v>46179.392773616404</v>
      </c>
      <c r="K226" s="24">
        <f t="shared" si="43"/>
        <v>0.4834539699004381</v>
      </c>
      <c r="L226" s="29">
        <f t="shared" si="49"/>
        <v>46178</v>
      </c>
      <c r="M226" s="27" t="str">
        <f t="shared" si="44"/>
        <v>Doctor Round Delay/Report Delay</v>
      </c>
      <c r="N226" s="31">
        <f t="shared" si="45"/>
        <v>4</v>
      </c>
      <c r="O226" s="27"/>
      <c r="Q226" s="8">
        <v>0.87381815026300702</v>
      </c>
      <c r="R226" s="8" t="str">
        <f t="shared" si="46"/>
        <v>Minor Delay</v>
      </c>
      <c r="S226" s="33">
        <v>2.1763284839083088</v>
      </c>
      <c r="T226" t="s">
        <v>31</v>
      </c>
      <c r="U226" s="3">
        <v>0</v>
      </c>
      <c r="V226" s="3" t="str">
        <f t="shared" si="50"/>
        <v>Normal</v>
      </c>
      <c r="W226" s="3" t="s">
        <v>51</v>
      </c>
      <c r="X226" s="32">
        <f t="shared" si="47"/>
        <v>9.0680353496281896E-2</v>
      </c>
      <c r="Z226" s="38">
        <f t="shared" si="51"/>
        <v>0</v>
      </c>
      <c r="AC226" s="36">
        <v>0.125</v>
      </c>
      <c r="AL226" t="str">
        <f t="shared" si="52"/>
        <v>Doctor Round Delay/Report Delay</v>
      </c>
      <c r="AM226" t="str">
        <f t="shared" si="53"/>
        <v>No</v>
      </c>
      <c r="AN226" t="str">
        <f t="shared" si="54"/>
        <v>Emergency</v>
      </c>
      <c r="AO226" t="str">
        <f t="shared" si="55"/>
        <v>HDU</v>
      </c>
    </row>
    <row r="227" spans="1:41" x14ac:dyDescent="0.3">
      <c r="A227" s="21" t="str">
        <f t="shared" si="48"/>
        <v>UHID-00226</v>
      </c>
      <c r="B227" s="18">
        <v>37</v>
      </c>
      <c r="C227" s="10" t="s">
        <v>18</v>
      </c>
      <c r="D227" s="13" t="s">
        <v>26</v>
      </c>
      <c r="E227" s="13" t="s">
        <v>3</v>
      </c>
      <c r="F227" s="15">
        <v>46173.584830624997</v>
      </c>
      <c r="G227" s="4">
        <v>46173</v>
      </c>
      <c r="H227" s="1">
        <v>46179.4256289931</v>
      </c>
      <c r="I227" s="22">
        <v>46179</v>
      </c>
      <c r="J227" s="24">
        <f t="shared" si="42"/>
        <v>46179.205911170779</v>
      </c>
      <c r="K227" s="24">
        <f t="shared" si="43"/>
        <v>0.42562899309996283</v>
      </c>
      <c r="L227" s="29">
        <f t="shared" si="49"/>
        <v>46178</v>
      </c>
      <c r="M227" s="27" t="str">
        <f t="shared" si="44"/>
        <v>Health Deterioration/TPA Approval Delay</v>
      </c>
      <c r="N227" s="31">
        <f t="shared" si="45"/>
        <v>6</v>
      </c>
      <c r="O227" s="27"/>
      <c r="Q227" s="8">
        <v>0.67216538304311069</v>
      </c>
      <c r="R227" s="8" t="str">
        <f t="shared" si="46"/>
        <v>Critical Delay</v>
      </c>
      <c r="S227" s="33">
        <v>3.2732277357816151</v>
      </c>
      <c r="T227" t="s">
        <v>31</v>
      </c>
      <c r="U227" s="3">
        <v>2</v>
      </c>
      <c r="V227" s="3" t="str">
        <f t="shared" si="50"/>
        <v>Normal</v>
      </c>
      <c r="W227" s="3" t="s">
        <v>50</v>
      </c>
      <c r="X227" s="32">
        <f t="shared" si="47"/>
        <v>0.21971782232139958</v>
      </c>
      <c r="Z227" s="38">
        <f t="shared" si="51"/>
        <v>9.4717822321399581E-2</v>
      </c>
      <c r="AC227" s="36">
        <v>0.125</v>
      </c>
      <c r="AL227" t="str">
        <f t="shared" si="52"/>
        <v>Health Deterioration/TPA Approval Delay</v>
      </c>
      <c r="AM227" t="str">
        <f t="shared" si="53"/>
        <v>No</v>
      </c>
      <c r="AN227" t="str">
        <f t="shared" si="54"/>
        <v>Emergency</v>
      </c>
      <c r="AO227" t="str">
        <f t="shared" si="55"/>
        <v>HDU</v>
      </c>
    </row>
    <row r="228" spans="1:41" x14ac:dyDescent="0.3">
      <c r="A228" s="21" t="str">
        <f t="shared" si="48"/>
        <v>UHID-00227</v>
      </c>
      <c r="B228" s="18">
        <v>45</v>
      </c>
      <c r="C228" s="10" t="s">
        <v>17</v>
      </c>
      <c r="D228" s="13" t="s">
        <v>26</v>
      </c>
      <c r="E228" s="13" t="s">
        <v>3</v>
      </c>
      <c r="F228" s="15">
        <v>46175.462158113398</v>
      </c>
      <c r="G228" s="4">
        <v>46175</v>
      </c>
      <c r="H228" s="1">
        <v>46179.502141249999</v>
      </c>
      <c r="I228" s="22">
        <v>46179</v>
      </c>
      <c r="J228" s="24">
        <f t="shared" si="42"/>
        <v>46179.33784888262</v>
      </c>
      <c r="K228" s="24">
        <f t="shared" si="43"/>
        <v>0.50214124999911292</v>
      </c>
      <c r="L228" s="29">
        <f t="shared" si="49"/>
        <v>46178</v>
      </c>
      <c r="M228" s="27" t="str">
        <f t="shared" si="44"/>
        <v>TPA Approval Delay</v>
      </c>
      <c r="N228" s="31">
        <f t="shared" si="45"/>
        <v>4</v>
      </c>
      <c r="O228" s="27"/>
      <c r="Q228" s="8">
        <v>0.70578371897149028</v>
      </c>
      <c r="R228" s="8" t="str">
        <f t="shared" si="46"/>
        <v>Major Delay</v>
      </c>
      <c r="S228" s="33">
        <v>3.9430168170560203</v>
      </c>
      <c r="T228" t="s">
        <v>31</v>
      </c>
      <c r="U228" s="3">
        <v>0</v>
      </c>
      <c r="V228" s="3" t="str">
        <f t="shared" si="50"/>
        <v>Normal</v>
      </c>
      <c r="W228" s="3" t="s">
        <v>51</v>
      </c>
      <c r="X228" s="32">
        <f t="shared" si="47"/>
        <v>0.16429236737894826</v>
      </c>
      <c r="Z228" s="38">
        <f t="shared" si="51"/>
        <v>3.9292367378948256E-2</v>
      </c>
      <c r="AC228" s="36">
        <v>0.125</v>
      </c>
      <c r="AL228" t="str">
        <f t="shared" si="52"/>
        <v>TPA Approval Delay</v>
      </c>
      <c r="AM228" t="str">
        <f t="shared" si="53"/>
        <v>No</v>
      </c>
      <c r="AN228" t="str">
        <f t="shared" si="54"/>
        <v>Elective</v>
      </c>
      <c r="AO228" t="str">
        <f t="shared" si="55"/>
        <v>HDU</v>
      </c>
    </row>
    <row r="229" spans="1:41" x14ac:dyDescent="0.3">
      <c r="A229" s="21" t="str">
        <f t="shared" si="48"/>
        <v>UHID-00228</v>
      </c>
      <c r="B229" s="18">
        <v>35</v>
      </c>
      <c r="C229" s="10" t="s">
        <v>18</v>
      </c>
      <c r="D229" s="13" t="s">
        <v>26</v>
      </c>
      <c r="E229" s="13" t="s">
        <v>3</v>
      </c>
      <c r="F229" s="15">
        <v>46177.692999745399</v>
      </c>
      <c r="G229" s="4">
        <v>46177</v>
      </c>
      <c r="H229" s="1">
        <v>46179.527720544</v>
      </c>
      <c r="I229" s="22">
        <v>46179</v>
      </c>
      <c r="J229" s="24">
        <f t="shared" si="42"/>
        <v>46179.159087919434</v>
      </c>
      <c r="K229" s="24">
        <f t="shared" si="43"/>
        <v>0.52772054399974877</v>
      </c>
      <c r="L229" s="29">
        <f t="shared" si="49"/>
        <v>46178</v>
      </c>
      <c r="M229" s="27" t="str">
        <f t="shared" si="44"/>
        <v>Health Deterioration/TPA Approval Delay</v>
      </c>
      <c r="N229" s="31">
        <f t="shared" si="45"/>
        <v>2</v>
      </c>
      <c r="O229" s="27"/>
      <c r="Q229" s="8">
        <v>0.5254819607141068</v>
      </c>
      <c r="R229" s="8" t="str">
        <f t="shared" si="46"/>
        <v>Critical Delay</v>
      </c>
      <c r="S229" s="33">
        <v>3.8471829895139664</v>
      </c>
      <c r="T229" t="s">
        <v>31</v>
      </c>
      <c r="U229" s="3">
        <v>5</v>
      </c>
      <c r="V229" s="3" t="str">
        <f t="shared" si="50"/>
        <v>Normal</v>
      </c>
      <c r="W229" s="3" t="s">
        <v>52</v>
      </c>
      <c r="X229" s="32">
        <f t="shared" si="47"/>
        <v>0.36863262456608936</v>
      </c>
      <c r="Z229" s="38">
        <f t="shared" si="51"/>
        <v>0.24363262456608936</v>
      </c>
      <c r="AC229" s="36">
        <v>0.125</v>
      </c>
      <c r="AL229" t="str">
        <f t="shared" si="52"/>
        <v>Health Deterioration/TPA Approval Delay</v>
      </c>
      <c r="AM229" t="str">
        <f t="shared" si="53"/>
        <v>No</v>
      </c>
      <c r="AN229" t="str">
        <f t="shared" si="54"/>
        <v>Emergency</v>
      </c>
      <c r="AO229" t="str">
        <f t="shared" si="55"/>
        <v>General Ward</v>
      </c>
    </row>
    <row r="230" spans="1:41" x14ac:dyDescent="0.3">
      <c r="A230" s="21" t="str">
        <f t="shared" si="48"/>
        <v>UHID-00229</v>
      </c>
      <c r="B230" s="18">
        <v>64</v>
      </c>
      <c r="C230" s="10" t="s">
        <v>18</v>
      </c>
      <c r="D230" s="13" t="s">
        <v>28</v>
      </c>
      <c r="E230" s="13" t="s">
        <v>3</v>
      </c>
      <c r="F230" s="15">
        <v>46176.482378877299</v>
      </c>
      <c r="G230" s="4">
        <v>46176</v>
      </c>
      <c r="H230" s="1">
        <v>46179.6243470833</v>
      </c>
      <c r="I230" s="22">
        <v>46179</v>
      </c>
      <c r="J230" s="24">
        <f t="shared" si="42"/>
        <v>46179.280403952223</v>
      </c>
      <c r="K230" s="24">
        <f t="shared" si="43"/>
        <v>0.6243470832996536</v>
      </c>
      <c r="L230" s="29">
        <f t="shared" si="49"/>
        <v>46178</v>
      </c>
      <c r="M230" s="27" t="str">
        <f t="shared" si="44"/>
        <v>Health Deterioration</v>
      </c>
      <c r="N230" s="31">
        <f t="shared" si="45"/>
        <v>3</v>
      </c>
      <c r="O230" s="27"/>
      <c r="Q230" s="8">
        <v>0.9743487596754401</v>
      </c>
      <c r="R230" s="8" t="str">
        <f t="shared" si="46"/>
        <v>Critical Delay</v>
      </c>
      <c r="S230" s="33">
        <v>2.254635145790715</v>
      </c>
      <c r="T230" t="s">
        <v>31</v>
      </c>
      <c r="U230" s="3">
        <v>6</v>
      </c>
      <c r="V230" s="3" t="str">
        <f t="shared" si="50"/>
        <v>Normal</v>
      </c>
      <c r="W230" s="3" t="s">
        <v>52</v>
      </c>
      <c r="X230" s="32">
        <f t="shared" si="47"/>
        <v>0.3439431310762302</v>
      </c>
      <c r="Z230" s="38">
        <f t="shared" si="51"/>
        <v>0.2189431310762302</v>
      </c>
      <c r="AC230" s="36">
        <v>0.125</v>
      </c>
      <c r="AL230" t="str">
        <f t="shared" si="52"/>
        <v>Health Deterioration</v>
      </c>
      <c r="AM230" t="str">
        <f t="shared" si="53"/>
        <v>No</v>
      </c>
      <c r="AN230" t="str">
        <f t="shared" si="54"/>
        <v>Elective</v>
      </c>
      <c r="AO230" t="str">
        <f t="shared" si="55"/>
        <v>General Ward</v>
      </c>
    </row>
    <row r="231" spans="1:41" x14ac:dyDescent="0.3">
      <c r="A231" s="21" t="str">
        <f t="shared" si="48"/>
        <v>UHID-00230</v>
      </c>
      <c r="B231" s="18">
        <v>49</v>
      </c>
      <c r="C231" s="10" t="s">
        <v>18</v>
      </c>
      <c r="D231" s="13" t="s">
        <v>26</v>
      </c>
      <c r="E231" s="13" t="s">
        <v>3</v>
      </c>
      <c r="F231" s="15">
        <v>46173.673137662001</v>
      </c>
      <c r="G231" s="4">
        <v>46173</v>
      </c>
      <c r="H231" s="1">
        <v>46179.652122719897</v>
      </c>
      <c r="I231" s="22">
        <v>46179</v>
      </c>
      <c r="J231" s="24">
        <f t="shared" si="42"/>
        <v>46179.389117549748</v>
      </c>
      <c r="K231" s="24">
        <f t="shared" si="43"/>
        <v>0.65212271989730652</v>
      </c>
      <c r="L231" s="29">
        <f t="shared" si="49"/>
        <v>46178</v>
      </c>
      <c r="M231" s="27" t="str">
        <f t="shared" si="44"/>
        <v>Health Deterioration/TPA Approval Delay</v>
      </c>
      <c r="N231" s="31">
        <f t="shared" si="45"/>
        <v>6</v>
      </c>
      <c r="O231" s="27"/>
      <c r="Q231" s="8">
        <v>0.81603396337439515</v>
      </c>
      <c r="R231" s="8" t="str">
        <f t="shared" si="46"/>
        <v>Critical Delay</v>
      </c>
      <c r="S231" s="33">
        <v>3.3121240836455845</v>
      </c>
      <c r="T231" t="s">
        <v>31</v>
      </c>
      <c r="U231" s="3">
        <v>3</v>
      </c>
      <c r="V231" s="3" t="str">
        <f t="shared" si="50"/>
        <v>Normal</v>
      </c>
      <c r="W231" s="3" t="s">
        <v>50</v>
      </c>
      <c r="X231" s="32">
        <f t="shared" si="47"/>
        <v>0.26300517014897196</v>
      </c>
      <c r="Z231" s="38">
        <f t="shared" si="51"/>
        <v>0.13800517014897196</v>
      </c>
      <c r="AC231" s="36">
        <v>0.125</v>
      </c>
      <c r="AL231" t="str">
        <f t="shared" si="52"/>
        <v>Health Deterioration/TPA Approval Delay</v>
      </c>
      <c r="AM231" t="str">
        <f t="shared" si="53"/>
        <v>No</v>
      </c>
      <c r="AN231" t="str">
        <f t="shared" si="54"/>
        <v>Emergency</v>
      </c>
      <c r="AO231" t="str">
        <f t="shared" si="55"/>
        <v>HDU</v>
      </c>
    </row>
    <row r="232" spans="1:41" x14ac:dyDescent="0.3">
      <c r="A232" s="21" t="str">
        <f t="shared" si="48"/>
        <v>UHID-00231</v>
      </c>
      <c r="B232" s="18">
        <v>25</v>
      </c>
      <c r="C232" s="10" t="s">
        <v>17</v>
      </c>
      <c r="D232" s="13" t="s">
        <v>27</v>
      </c>
      <c r="E232" s="13" t="s">
        <v>3</v>
      </c>
      <c r="F232" s="15">
        <v>46179.642415972201</v>
      </c>
      <c r="G232" s="4">
        <v>46179</v>
      </c>
      <c r="H232" s="1">
        <v>46179.904372326397</v>
      </c>
      <c r="I232" s="22">
        <v>46179</v>
      </c>
      <c r="J232" s="24">
        <f t="shared" si="42"/>
        <v>46179.41313597039</v>
      </c>
      <c r="K232" s="24">
        <f t="shared" si="43"/>
        <v>0.90437232639669674</v>
      </c>
      <c r="L232" s="29">
        <f t="shared" si="49"/>
        <v>46178</v>
      </c>
      <c r="M232" s="27" t="str">
        <f t="shared" si="44"/>
        <v>Health Deterioration</v>
      </c>
      <c r="N232" s="31">
        <f t="shared" si="45"/>
        <v>0</v>
      </c>
      <c r="O232" s="27"/>
      <c r="Q232" s="8">
        <v>0.46998312038079437</v>
      </c>
      <c r="R232" s="8" t="str">
        <f t="shared" si="46"/>
        <v>Critical Delay</v>
      </c>
      <c r="S232" s="33">
        <v>1.7896725441578258</v>
      </c>
      <c r="T232" t="s">
        <v>31</v>
      </c>
      <c r="U232" s="3">
        <v>10</v>
      </c>
      <c r="V232" s="3" t="str">
        <f t="shared" si="50"/>
        <v>Normal</v>
      </c>
      <c r="W232" s="3" t="s">
        <v>52</v>
      </c>
      <c r="X232" s="32">
        <f t="shared" si="47"/>
        <v>0.49123635600699345</v>
      </c>
      <c r="Z232" s="38">
        <f t="shared" si="51"/>
        <v>0.36623635600699345</v>
      </c>
      <c r="AC232" s="36">
        <v>0.125</v>
      </c>
      <c r="AL232" t="str">
        <f t="shared" si="52"/>
        <v>Health Deterioration</v>
      </c>
      <c r="AM232" t="str">
        <f t="shared" si="53"/>
        <v>No</v>
      </c>
      <c r="AN232" t="str">
        <f t="shared" si="54"/>
        <v>Emergency</v>
      </c>
      <c r="AO232" t="str">
        <f t="shared" si="55"/>
        <v>General Ward</v>
      </c>
    </row>
    <row r="233" spans="1:41" x14ac:dyDescent="0.3">
      <c r="A233" s="21" t="str">
        <f t="shared" si="48"/>
        <v>UHID-00232</v>
      </c>
      <c r="B233" s="18">
        <v>37</v>
      </c>
      <c r="C233" s="10" t="s">
        <v>18</v>
      </c>
      <c r="D233" s="13" t="s">
        <v>28</v>
      </c>
      <c r="E233" s="13" t="s">
        <v>3</v>
      </c>
      <c r="F233" s="15">
        <v>46180.466008564799</v>
      </c>
      <c r="G233" s="4">
        <v>46180</v>
      </c>
      <c r="H233" s="1">
        <v>46180.641699490698</v>
      </c>
      <c r="I233" s="22">
        <v>46180</v>
      </c>
      <c r="J233" s="24">
        <f t="shared" si="42"/>
        <v>46180.546830111329</v>
      </c>
      <c r="K233" s="24">
        <f t="shared" si="43"/>
        <v>0.64169949069764698</v>
      </c>
      <c r="L233" s="29">
        <f t="shared" si="49"/>
        <v>46179</v>
      </c>
      <c r="M233" s="27" t="str">
        <f t="shared" si="44"/>
        <v>Doctor Round Delay/Report Delay</v>
      </c>
      <c r="N233" s="31">
        <f t="shared" si="45"/>
        <v>0</v>
      </c>
      <c r="O233" s="27"/>
      <c r="Q233" s="8">
        <v>0.93830408641872387</v>
      </c>
      <c r="R233" s="8" t="str">
        <f t="shared" si="46"/>
        <v>Minor Delay</v>
      </c>
      <c r="S233" s="33">
        <v>2.2768651048640067</v>
      </c>
      <c r="T233" t="s">
        <v>31</v>
      </c>
      <c r="U233" s="3">
        <v>0</v>
      </c>
      <c r="V233" s="3" t="str">
        <f t="shared" si="50"/>
        <v>Normal</v>
      </c>
      <c r="W233" s="3" t="s">
        <v>51</v>
      </c>
      <c r="X233" s="32">
        <f t="shared" si="47"/>
        <v>9.4869379368901718E-2</v>
      </c>
      <c r="Z233" s="38">
        <f t="shared" si="51"/>
        <v>0</v>
      </c>
      <c r="AC233" s="36">
        <v>0.125</v>
      </c>
      <c r="AL233" t="str">
        <f t="shared" si="52"/>
        <v>Doctor Round Delay/Report Delay</v>
      </c>
      <c r="AM233" t="str">
        <f t="shared" si="53"/>
        <v>No</v>
      </c>
      <c r="AN233" t="str">
        <f t="shared" si="54"/>
        <v>Elective</v>
      </c>
      <c r="AO233" t="str">
        <f t="shared" si="55"/>
        <v>General Ward</v>
      </c>
    </row>
    <row r="234" spans="1:41" x14ac:dyDescent="0.3">
      <c r="A234" s="21" t="str">
        <f t="shared" si="48"/>
        <v>UHID-00233</v>
      </c>
      <c r="B234" s="18">
        <v>18</v>
      </c>
      <c r="C234" s="10" t="s">
        <v>17</v>
      </c>
      <c r="D234" s="13" t="s">
        <v>27</v>
      </c>
      <c r="E234" s="13" t="s">
        <v>3</v>
      </c>
      <c r="F234" s="15">
        <v>46178.846792349497</v>
      </c>
      <c r="G234" s="4">
        <v>46178</v>
      </c>
      <c r="H234" s="1">
        <v>46180.533388344898</v>
      </c>
      <c r="I234" s="22">
        <v>46180</v>
      </c>
      <c r="J234" s="24">
        <f t="shared" si="42"/>
        <v>46180.451976801771</v>
      </c>
      <c r="K234" s="24">
        <f t="shared" si="43"/>
        <v>0.53338834489841247</v>
      </c>
      <c r="L234" s="29">
        <f t="shared" si="49"/>
        <v>46179</v>
      </c>
      <c r="M234" s="27" t="str">
        <f t="shared" si="44"/>
        <v>Normal</v>
      </c>
      <c r="N234" s="31">
        <f t="shared" si="45"/>
        <v>2</v>
      </c>
      <c r="O234" s="27"/>
      <c r="Q234" s="8">
        <v>0.44313644423986653</v>
      </c>
      <c r="R234" s="8" t="str">
        <f t="shared" si="46"/>
        <v>On Time</v>
      </c>
      <c r="S234" s="33">
        <v>1.9538770350531149</v>
      </c>
      <c r="T234" t="s">
        <v>31</v>
      </c>
      <c r="U234" s="3">
        <v>0</v>
      </c>
      <c r="V234" s="3" t="str">
        <f t="shared" si="50"/>
        <v>Normal</v>
      </c>
      <c r="W234" s="3" t="s">
        <v>51</v>
      </c>
      <c r="X234" s="32">
        <f t="shared" si="47"/>
        <v>8.1411543127615005E-2</v>
      </c>
      <c r="Z234" s="38">
        <f t="shared" si="51"/>
        <v>0</v>
      </c>
      <c r="AC234" s="36">
        <v>0.125</v>
      </c>
      <c r="AL234" t="str">
        <f t="shared" si="52"/>
        <v>Normal</v>
      </c>
      <c r="AM234" t="str">
        <f t="shared" si="53"/>
        <v>No</v>
      </c>
      <c r="AN234" t="str">
        <f t="shared" si="54"/>
        <v>Elective</v>
      </c>
      <c r="AO234" t="str">
        <f t="shared" si="55"/>
        <v>General Ward</v>
      </c>
    </row>
    <row r="235" spans="1:41" x14ac:dyDescent="0.3">
      <c r="A235" s="21" t="str">
        <f t="shared" si="48"/>
        <v>UHID-00234</v>
      </c>
      <c r="B235" s="18">
        <v>65</v>
      </c>
      <c r="C235" s="10" t="s">
        <v>17</v>
      </c>
      <c r="D235" s="13" t="s">
        <v>28</v>
      </c>
      <c r="E235" s="13" t="s">
        <v>3</v>
      </c>
      <c r="F235" s="15">
        <v>46175.846605578699</v>
      </c>
      <c r="G235" s="4">
        <v>46175</v>
      </c>
      <c r="H235" s="1">
        <v>46180.489552048602</v>
      </c>
      <c r="I235" s="22">
        <v>46180</v>
      </c>
      <c r="J235" s="24">
        <f t="shared" si="42"/>
        <v>46180.255844681109</v>
      </c>
      <c r="K235" s="24">
        <f t="shared" si="43"/>
        <v>0.48955204860249069</v>
      </c>
      <c r="L235" s="29">
        <f t="shared" si="49"/>
        <v>46179</v>
      </c>
      <c r="M235" s="27" t="str">
        <f t="shared" si="44"/>
        <v>Health Deterioration</v>
      </c>
      <c r="N235" s="31">
        <f t="shared" si="45"/>
        <v>5</v>
      </c>
      <c r="O235" s="27"/>
      <c r="Q235" s="8">
        <v>0.91375989589767537</v>
      </c>
      <c r="R235" s="8" t="str">
        <f t="shared" si="46"/>
        <v>Critical Delay</v>
      </c>
      <c r="S235" s="33">
        <v>2.6089768198918244</v>
      </c>
      <c r="T235" t="s">
        <v>31</v>
      </c>
      <c r="U235" s="3">
        <v>3</v>
      </c>
      <c r="V235" s="3" t="str">
        <f t="shared" si="50"/>
        <v>Normal</v>
      </c>
      <c r="W235" s="3" t="s">
        <v>50</v>
      </c>
      <c r="X235" s="32">
        <f t="shared" si="47"/>
        <v>0.23370736749347998</v>
      </c>
      <c r="Z235" s="38">
        <f t="shared" si="51"/>
        <v>0.10870736749347998</v>
      </c>
      <c r="AC235" s="36">
        <v>0.125</v>
      </c>
      <c r="AL235" t="str">
        <f t="shared" si="52"/>
        <v>Health Deterioration</v>
      </c>
      <c r="AM235" t="str">
        <f t="shared" si="53"/>
        <v>No</v>
      </c>
      <c r="AN235" t="str">
        <f t="shared" si="54"/>
        <v>Elective</v>
      </c>
      <c r="AO235" t="str">
        <f t="shared" si="55"/>
        <v>HDU</v>
      </c>
    </row>
    <row r="236" spans="1:41" x14ac:dyDescent="0.3">
      <c r="A236" s="21" t="str">
        <f t="shared" si="48"/>
        <v>UHID-00235</v>
      </c>
      <c r="B236" s="18">
        <v>53</v>
      </c>
      <c r="C236" s="10" t="s">
        <v>18</v>
      </c>
      <c r="D236" s="13" t="s">
        <v>26</v>
      </c>
      <c r="E236" s="13" t="s">
        <v>3</v>
      </c>
      <c r="F236" s="15">
        <v>46177.673738171303</v>
      </c>
      <c r="G236" s="4">
        <v>46177</v>
      </c>
      <c r="H236" s="1">
        <v>46180.600036747703</v>
      </c>
      <c r="I236" s="22">
        <v>46180</v>
      </c>
      <c r="J236" s="24">
        <f t="shared" si="42"/>
        <v>46180.440687436589</v>
      </c>
      <c r="K236" s="24">
        <f t="shared" si="43"/>
        <v>0.60003674770268844</v>
      </c>
      <c r="L236" s="29">
        <f t="shared" si="49"/>
        <v>46179</v>
      </c>
      <c r="M236" s="27" t="str">
        <f t="shared" si="44"/>
        <v>TPA Approval Delay</v>
      </c>
      <c r="N236" s="31">
        <f t="shared" si="45"/>
        <v>3</v>
      </c>
      <c r="O236" s="27"/>
      <c r="Q236" s="8">
        <v>0.62489674079528779</v>
      </c>
      <c r="R236" s="8" t="str">
        <f t="shared" si="46"/>
        <v>Major Delay</v>
      </c>
      <c r="S236" s="33">
        <v>3.8243834666565064</v>
      </c>
      <c r="T236" t="s">
        <v>31</v>
      </c>
      <c r="U236" s="3">
        <v>0</v>
      </c>
      <c r="V236" s="3" t="str">
        <f t="shared" si="50"/>
        <v>Normal</v>
      </c>
      <c r="W236" s="3" t="s">
        <v>51</v>
      </c>
      <c r="X236" s="32">
        <f t="shared" si="47"/>
        <v>0.15934931111405604</v>
      </c>
      <c r="Z236" s="38">
        <f t="shared" si="51"/>
        <v>3.4349311114056036E-2</v>
      </c>
      <c r="AC236" s="36">
        <v>0.125</v>
      </c>
      <c r="AL236" t="str">
        <f t="shared" si="52"/>
        <v>TPA Approval Delay</v>
      </c>
      <c r="AM236" t="str">
        <f t="shared" si="53"/>
        <v>No</v>
      </c>
      <c r="AN236" t="str">
        <f t="shared" si="54"/>
        <v>Elective</v>
      </c>
      <c r="AO236" t="str">
        <f t="shared" si="55"/>
        <v>General Ward</v>
      </c>
    </row>
    <row r="237" spans="1:41" x14ac:dyDescent="0.3">
      <c r="A237" s="21" t="str">
        <f t="shared" si="48"/>
        <v>UHID-00236</v>
      </c>
      <c r="B237" s="18">
        <v>79</v>
      </c>
      <c r="C237" s="10" t="s">
        <v>18</v>
      </c>
      <c r="D237" s="13" t="s">
        <v>27</v>
      </c>
      <c r="E237" s="13" t="s">
        <v>3</v>
      </c>
      <c r="F237" s="15">
        <v>46180.3900380208</v>
      </c>
      <c r="G237" s="4">
        <v>46180</v>
      </c>
      <c r="H237" s="1">
        <v>46180.645891354201</v>
      </c>
      <c r="I237" s="22">
        <v>46180</v>
      </c>
      <c r="J237" s="24">
        <f t="shared" si="42"/>
        <v>46180.451585848059</v>
      </c>
      <c r="K237" s="24">
        <f t="shared" si="43"/>
        <v>0.64589135420101229</v>
      </c>
      <c r="L237" s="29">
        <f t="shared" si="49"/>
        <v>46179</v>
      </c>
      <c r="M237" s="27" t="str">
        <f t="shared" si="44"/>
        <v>Medication Change</v>
      </c>
      <c r="N237" s="31">
        <f t="shared" si="45"/>
        <v>0</v>
      </c>
      <c r="O237" s="27"/>
      <c r="Q237" s="8">
        <v>0.28557994211212168</v>
      </c>
      <c r="R237" s="8" t="str">
        <f t="shared" si="46"/>
        <v>Major Delay</v>
      </c>
      <c r="S237" s="33">
        <v>1.6633321474549407</v>
      </c>
      <c r="T237" t="s">
        <v>30</v>
      </c>
      <c r="U237" s="3">
        <v>3</v>
      </c>
      <c r="V237" s="3" t="str">
        <f t="shared" si="50"/>
        <v/>
      </c>
      <c r="W237" s="3" t="s">
        <v>50</v>
      </c>
      <c r="X237" s="32">
        <f t="shared" si="47"/>
        <v>0.19430550614197273</v>
      </c>
      <c r="Z237" s="38">
        <f t="shared" si="51"/>
        <v>6.9305506141972728E-2</v>
      </c>
      <c r="AC237" s="36">
        <v>0.125</v>
      </c>
      <c r="AL237" t="str">
        <f t="shared" si="52"/>
        <v>Medication Change</v>
      </c>
      <c r="AM237" t="str">
        <f t="shared" si="53"/>
        <v>No</v>
      </c>
      <c r="AN237" t="str">
        <f t="shared" si="54"/>
        <v>Elective</v>
      </c>
      <c r="AO237" t="str">
        <f t="shared" si="55"/>
        <v>General Ward</v>
      </c>
    </row>
    <row r="238" spans="1:41" x14ac:dyDescent="0.3">
      <c r="A238" s="21" t="str">
        <f t="shared" si="48"/>
        <v>UHID-00237</v>
      </c>
      <c r="B238" s="18">
        <v>22</v>
      </c>
      <c r="C238" s="10" t="s">
        <v>17</v>
      </c>
      <c r="D238" s="13" t="s">
        <v>27</v>
      </c>
      <c r="E238" s="13" t="s">
        <v>3</v>
      </c>
      <c r="F238" s="15">
        <v>46176.598119421302</v>
      </c>
      <c r="G238" s="4">
        <v>46176</v>
      </c>
      <c r="H238" s="1">
        <v>46180.641012372696</v>
      </c>
      <c r="I238" s="22">
        <v>46180</v>
      </c>
      <c r="J238" s="24">
        <f t="shared" si="42"/>
        <v>46180.565905879463</v>
      </c>
      <c r="K238" s="24">
        <f t="shared" si="43"/>
        <v>0.64101237269642297</v>
      </c>
      <c r="L238" s="29">
        <f t="shared" si="49"/>
        <v>46179</v>
      </c>
      <c r="M238" s="27" t="str">
        <f t="shared" si="44"/>
        <v>Normal</v>
      </c>
      <c r="N238" s="31">
        <f t="shared" si="45"/>
        <v>4</v>
      </c>
      <c r="O238" s="27"/>
      <c r="Q238" s="8">
        <v>0.17524315073844121</v>
      </c>
      <c r="R238" s="8" t="str">
        <f t="shared" si="46"/>
        <v>On Time</v>
      </c>
      <c r="S238" s="33">
        <v>1.8025558375257631</v>
      </c>
      <c r="T238" t="s">
        <v>30</v>
      </c>
      <c r="U238" s="3">
        <v>0</v>
      </c>
      <c r="V238" s="3" t="str">
        <f t="shared" si="50"/>
        <v/>
      </c>
      <c r="W238" s="3" t="s">
        <v>51</v>
      </c>
      <c r="X238" s="32">
        <f t="shared" si="47"/>
        <v>7.5106493233761285E-2</v>
      </c>
      <c r="Z238" s="38">
        <f t="shared" si="51"/>
        <v>0</v>
      </c>
      <c r="AC238" s="36">
        <v>0.125</v>
      </c>
      <c r="AL238" t="str">
        <f t="shared" si="52"/>
        <v>Normal</v>
      </c>
      <c r="AM238" t="str">
        <f t="shared" si="53"/>
        <v>No</v>
      </c>
      <c r="AN238" t="str">
        <f t="shared" si="54"/>
        <v>Elective</v>
      </c>
      <c r="AO238" t="str">
        <f t="shared" si="55"/>
        <v>HDU</v>
      </c>
    </row>
    <row r="239" spans="1:41" x14ac:dyDescent="0.3">
      <c r="A239" s="21" t="str">
        <f t="shared" si="48"/>
        <v>UHID-00238</v>
      </c>
      <c r="B239" s="18">
        <v>28</v>
      </c>
      <c r="C239" s="10" t="s">
        <v>17</v>
      </c>
      <c r="D239" s="13" t="s">
        <v>27</v>
      </c>
      <c r="E239" s="13" t="s">
        <v>3</v>
      </c>
      <c r="F239" s="15">
        <v>46179.698225046297</v>
      </c>
      <c r="G239" s="4">
        <v>46179</v>
      </c>
      <c r="H239" s="1">
        <v>46180.816885115702</v>
      </c>
      <c r="I239" s="22">
        <v>46180</v>
      </c>
      <c r="J239" s="24">
        <f t="shared" si="42"/>
        <v>46180.498910826129</v>
      </c>
      <c r="K239" s="24">
        <f t="shared" si="43"/>
        <v>0.81688511570246192</v>
      </c>
      <c r="L239" s="29">
        <f t="shared" si="49"/>
        <v>46179</v>
      </c>
      <c r="M239" s="27" t="str">
        <f t="shared" si="44"/>
        <v>Health Deterioration</v>
      </c>
      <c r="N239" s="31">
        <f t="shared" si="45"/>
        <v>1</v>
      </c>
      <c r="O239" s="27"/>
      <c r="Q239" s="8">
        <v>0.32238697843674913</v>
      </c>
      <c r="R239" s="8" t="str">
        <f t="shared" si="46"/>
        <v>Critical Delay</v>
      </c>
      <c r="S239" s="33">
        <v>1.631382949679506</v>
      </c>
      <c r="T239" t="s">
        <v>30</v>
      </c>
      <c r="U239" s="3">
        <v>6</v>
      </c>
      <c r="V239" s="3" t="str">
        <f t="shared" si="50"/>
        <v/>
      </c>
      <c r="W239" s="3" t="s">
        <v>52</v>
      </c>
      <c r="X239" s="32">
        <f t="shared" si="47"/>
        <v>0.31797428957361262</v>
      </c>
      <c r="Z239" s="38">
        <f t="shared" si="51"/>
        <v>0.19297428957361262</v>
      </c>
      <c r="AC239" s="36">
        <v>0.125</v>
      </c>
      <c r="AL239" t="str">
        <f t="shared" si="52"/>
        <v>Health Deterioration</v>
      </c>
      <c r="AM239" t="str">
        <f t="shared" si="53"/>
        <v>No</v>
      </c>
      <c r="AN239" t="str">
        <f t="shared" si="54"/>
        <v>Emergency</v>
      </c>
      <c r="AO239" t="str">
        <f t="shared" si="55"/>
        <v>General Ward</v>
      </c>
    </row>
    <row r="240" spans="1:41" x14ac:dyDescent="0.3">
      <c r="A240" s="21" t="str">
        <f t="shared" si="48"/>
        <v>UHID-00239</v>
      </c>
      <c r="B240" s="18">
        <v>58</v>
      </c>
      <c r="C240" s="10" t="s">
        <v>18</v>
      </c>
      <c r="D240" s="13" t="s">
        <v>26</v>
      </c>
      <c r="E240" s="13" t="s">
        <v>3</v>
      </c>
      <c r="F240" s="15">
        <v>46175.926251180601</v>
      </c>
      <c r="G240" s="4">
        <v>46175</v>
      </c>
      <c r="H240" s="1">
        <v>46181.596701759299</v>
      </c>
      <c r="I240" s="22">
        <v>46181</v>
      </c>
      <c r="J240" s="24">
        <f t="shared" si="42"/>
        <v>46181.452310026718</v>
      </c>
      <c r="K240" s="24">
        <f t="shared" si="43"/>
        <v>0.59670175929932157</v>
      </c>
      <c r="L240" s="29">
        <f t="shared" si="49"/>
        <v>46180</v>
      </c>
      <c r="M240" s="27" t="str">
        <f t="shared" si="44"/>
        <v>TPA Approval Delay</v>
      </c>
      <c r="N240" s="31">
        <f t="shared" si="45"/>
        <v>6</v>
      </c>
      <c r="O240" s="27"/>
      <c r="Q240" s="8">
        <v>0.65133650869333926</v>
      </c>
      <c r="R240" s="8" t="str">
        <f t="shared" si="46"/>
        <v>Major Delay</v>
      </c>
      <c r="S240" s="33">
        <v>3.4654015819838713</v>
      </c>
      <c r="T240" t="s">
        <v>31</v>
      </c>
      <c r="U240" s="3">
        <v>0</v>
      </c>
      <c r="V240" s="3" t="str">
        <f t="shared" si="50"/>
        <v>Normal</v>
      </c>
      <c r="W240" s="3" t="s">
        <v>51</v>
      </c>
      <c r="X240" s="32">
        <f t="shared" si="47"/>
        <v>0.14439173258142546</v>
      </c>
      <c r="Z240" s="38">
        <f t="shared" si="51"/>
        <v>1.9391732581425458E-2</v>
      </c>
      <c r="AC240" s="36">
        <v>0.125</v>
      </c>
      <c r="AL240" t="str">
        <f t="shared" si="52"/>
        <v>TPA Approval Delay</v>
      </c>
      <c r="AM240" t="str">
        <f t="shared" si="53"/>
        <v>No</v>
      </c>
      <c r="AN240" t="str">
        <f t="shared" si="54"/>
        <v>Elective</v>
      </c>
      <c r="AO240" t="str">
        <f t="shared" si="55"/>
        <v>HDU</v>
      </c>
    </row>
    <row r="241" spans="1:41" x14ac:dyDescent="0.3">
      <c r="A241" s="21" t="str">
        <f t="shared" si="48"/>
        <v>UHID-00240</v>
      </c>
      <c r="B241" s="18">
        <v>71</v>
      </c>
      <c r="C241" s="10" t="s">
        <v>18</v>
      </c>
      <c r="D241" s="13" t="s">
        <v>27</v>
      </c>
      <c r="E241" s="13" t="s">
        <v>3</v>
      </c>
      <c r="F241" s="15">
        <v>46175.765224467599</v>
      </c>
      <c r="G241" s="4">
        <v>46175</v>
      </c>
      <c r="H241" s="1">
        <v>46181.630602500001</v>
      </c>
      <c r="I241" s="22">
        <v>46181</v>
      </c>
      <c r="J241" s="24">
        <f t="shared" si="42"/>
        <v>46181.582061570138</v>
      </c>
      <c r="K241" s="24">
        <f t="shared" si="43"/>
        <v>0.63060250000125961</v>
      </c>
      <c r="L241" s="29">
        <f t="shared" si="49"/>
        <v>46180</v>
      </c>
      <c r="M241" s="27" t="str">
        <f t="shared" si="44"/>
        <v>Normal</v>
      </c>
      <c r="N241" s="31">
        <f t="shared" si="45"/>
        <v>6</v>
      </c>
      <c r="O241" s="27"/>
      <c r="Q241" s="8">
        <v>0.11450255635898809</v>
      </c>
      <c r="R241" s="8" t="str">
        <f t="shared" si="46"/>
        <v>On Time</v>
      </c>
      <c r="S241" s="33">
        <v>1.164982316735488</v>
      </c>
      <c r="T241" t="s">
        <v>30</v>
      </c>
      <c r="U241" s="3">
        <v>0</v>
      </c>
      <c r="V241" s="3" t="str">
        <f t="shared" si="50"/>
        <v/>
      </c>
      <c r="W241" s="3" t="s">
        <v>51</v>
      </c>
      <c r="X241" s="32">
        <f t="shared" si="47"/>
        <v>4.8540929863520432E-2</v>
      </c>
      <c r="Z241" s="38">
        <f t="shared" si="51"/>
        <v>0</v>
      </c>
      <c r="AC241" s="36">
        <v>0.125</v>
      </c>
      <c r="AL241" t="str">
        <f t="shared" si="52"/>
        <v>Normal</v>
      </c>
      <c r="AM241" t="str">
        <f t="shared" si="53"/>
        <v>No</v>
      </c>
      <c r="AN241" t="str">
        <f t="shared" si="54"/>
        <v>Elective</v>
      </c>
      <c r="AO241" t="str">
        <f t="shared" si="55"/>
        <v>HDU</v>
      </c>
    </row>
    <row r="242" spans="1:41" x14ac:dyDescent="0.3">
      <c r="A242" s="21" t="str">
        <f t="shared" si="48"/>
        <v>UHID-00241</v>
      </c>
      <c r="B242" s="18">
        <v>33</v>
      </c>
      <c r="C242" s="10" t="s">
        <v>18</v>
      </c>
      <c r="D242" s="13" t="s">
        <v>26</v>
      </c>
      <c r="E242" s="13" t="s">
        <v>3</v>
      </c>
      <c r="F242" s="15">
        <v>46157.652417511599</v>
      </c>
      <c r="G242" s="4">
        <v>46157</v>
      </c>
      <c r="H242" s="1">
        <v>46181.611274942101</v>
      </c>
      <c r="I242" s="22">
        <v>46181</v>
      </c>
      <c r="J242" s="24">
        <f t="shared" si="42"/>
        <v>46181.344883476129</v>
      </c>
      <c r="K242" s="24">
        <f t="shared" si="43"/>
        <v>0.61127494210086297</v>
      </c>
      <c r="L242" s="29">
        <f t="shared" si="49"/>
        <v>46180</v>
      </c>
      <c r="M242" s="27" t="str">
        <f t="shared" si="44"/>
        <v>Health Deterioration/TPA Approval Delay</v>
      </c>
      <c r="N242" s="31">
        <f t="shared" si="45"/>
        <v>24</v>
      </c>
      <c r="O242" s="27"/>
      <c r="Q242" s="8">
        <v>0.66561229799353028</v>
      </c>
      <c r="R242" s="8" t="str">
        <f t="shared" si="46"/>
        <v>Critical Delay</v>
      </c>
      <c r="S242" s="33">
        <v>3.3933951833831535</v>
      </c>
      <c r="T242" t="s">
        <v>31</v>
      </c>
      <c r="U242" s="3">
        <v>3</v>
      </c>
      <c r="V242" s="3" t="str">
        <f t="shared" si="50"/>
        <v>Normal</v>
      </c>
      <c r="W242" s="3" t="s">
        <v>50</v>
      </c>
      <c r="X242" s="32">
        <f t="shared" si="47"/>
        <v>0.2663914659715374</v>
      </c>
      <c r="Z242" s="38">
        <f t="shared" si="51"/>
        <v>0.1413914659715374</v>
      </c>
      <c r="AC242" s="36">
        <v>0.125</v>
      </c>
      <c r="AL242" t="str">
        <f t="shared" si="52"/>
        <v>Health Deterioration/TPA Approval Delay</v>
      </c>
      <c r="AM242" t="str">
        <f t="shared" si="53"/>
        <v>Yes</v>
      </c>
      <c r="AN242" t="str">
        <f t="shared" si="54"/>
        <v>Emergency</v>
      </c>
      <c r="AO242" t="str">
        <f t="shared" si="55"/>
        <v>ICU</v>
      </c>
    </row>
    <row r="243" spans="1:41" x14ac:dyDescent="0.3">
      <c r="A243" s="21" t="str">
        <f t="shared" si="48"/>
        <v>UHID-00242</v>
      </c>
      <c r="B243" s="18">
        <v>60</v>
      </c>
      <c r="C243" s="10" t="s">
        <v>17</v>
      </c>
      <c r="D243" s="13" t="s">
        <v>28</v>
      </c>
      <c r="E243" s="13" t="s">
        <v>3</v>
      </c>
      <c r="F243" s="15">
        <v>46177.057646226902</v>
      </c>
      <c r="G243" s="4">
        <v>46177</v>
      </c>
      <c r="H243" s="1">
        <v>46181.654970381896</v>
      </c>
      <c r="I243" s="22">
        <v>46181</v>
      </c>
      <c r="J243" s="24">
        <f t="shared" si="42"/>
        <v>46181.420494499063</v>
      </c>
      <c r="K243" s="24">
        <f t="shared" si="43"/>
        <v>0.65497038189641898</v>
      </c>
      <c r="L243" s="29">
        <f t="shared" si="49"/>
        <v>46180</v>
      </c>
      <c r="M243" s="27" t="str">
        <f t="shared" si="44"/>
        <v>Health Deterioration</v>
      </c>
      <c r="N243" s="31">
        <f t="shared" si="45"/>
        <v>4</v>
      </c>
      <c r="O243" s="27"/>
      <c r="Q243" s="8">
        <v>0.89930628497061871</v>
      </c>
      <c r="R243" s="8" t="str">
        <f t="shared" si="46"/>
        <v>Critical Delay</v>
      </c>
      <c r="S243" s="33">
        <v>2.6274211880537388</v>
      </c>
      <c r="T243" t="s">
        <v>31</v>
      </c>
      <c r="U243" s="3">
        <v>3</v>
      </c>
      <c r="V243" s="3" t="str">
        <f t="shared" si="50"/>
        <v>Normal</v>
      </c>
      <c r="W243" s="3" t="s">
        <v>50</v>
      </c>
      <c r="X243" s="32">
        <f t="shared" si="47"/>
        <v>0.23447588283306686</v>
      </c>
      <c r="Z243" s="38">
        <f t="shared" si="51"/>
        <v>0.10947588283306686</v>
      </c>
      <c r="AC243" s="36">
        <v>0.125</v>
      </c>
      <c r="AL243" t="str">
        <f t="shared" si="52"/>
        <v>Health Deterioration</v>
      </c>
      <c r="AM243" t="str">
        <f t="shared" si="53"/>
        <v>No</v>
      </c>
      <c r="AN243" t="str">
        <f t="shared" si="54"/>
        <v>Emergency</v>
      </c>
      <c r="AO243" t="str">
        <f t="shared" si="55"/>
        <v>HDU</v>
      </c>
    </row>
    <row r="244" spans="1:41" x14ac:dyDescent="0.3">
      <c r="A244" s="21" t="str">
        <f t="shared" si="48"/>
        <v>UHID-00243</v>
      </c>
      <c r="B244" s="18">
        <v>61</v>
      </c>
      <c r="C244" s="10" t="s">
        <v>18</v>
      </c>
      <c r="D244" s="13" t="s">
        <v>27</v>
      </c>
      <c r="E244" s="13" t="s">
        <v>3</v>
      </c>
      <c r="F244" s="15">
        <v>46180.655414027802</v>
      </c>
      <c r="G244" s="4">
        <v>46180</v>
      </c>
      <c r="H244" s="1">
        <v>46181.703553958301</v>
      </c>
      <c r="I244" s="22">
        <v>46181</v>
      </c>
      <c r="J244" s="24">
        <f t="shared" si="42"/>
        <v>46181.625324075147</v>
      </c>
      <c r="K244" s="24">
        <f t="shared" si="43"/>
        <v>0.7035539583011996</v>
      </c>
      <c r="L244" s="29">
        <f t="shared" si="49"/>
        <v>46180</v>
      </c>
      <c r="M244" s="27" t="str">
        <f t="shared" si="44"/>
        <v>Normal</v>
      </c>
      <c r="N244" s="31">
        <f t="shared" si="45"/>
        <v>1</v>
      </c>
      <c r="O244" s="27"/>
      <c r="Q244" s="8">
        <v>0.20630074440619994</v>
      </c>
      <c r="R244" s="8" t="str">
        <f t="shared" si="46"/>
        <v>On Time</v>
      </c>
      <c r="S244" s="33">
        <v>1.8775171957572896</v>
      </c>
      <c r="T244" t="s">
        <v>30</v>
      </c>
      <c r="U244" s="3">
        <v>0</v>
      </c>
      <c r="V244" s="3" t="str">
        <f t="shared" si="50"/>
        <v/>
      </c>
      <c r="W244" s="3" t="s">
        <v>51</v>
      </c>
      <c r="X244" s="32">
        <f t="shared" si="47"/>
        <v>7.822988315456314E-2</v>
      </c>
      <c r="Z244" s="38">
        <f t="shared" si="51"/>
        <v>0</v>
      </c>
      <c r="AC244" s="36">
        <v>0.125</v>
      </c>
      <c r="AL244" t="str">
        <f t="shared" si="52"/>
        <v>Normal</v>
      </c>
      <c r="AM244" t="str">
        <f t="shared" si="53"/>
        <v>No</v>
      </c>
      <c r="AN244" t="str">
        <f t="shared" si="54"/>
        <v>Elective</v>
      </c>
      <c r="AO244" t="str">
        <f t="shared" si="55"/>
        <v>General Ward</v>
      </c>
    </row>
    <row r="245" spans="1:41" x14ac:dyDescent="0.3">
      <c r="A245" s="21" t="str">
        <f t="shared" si="48"/>
        <v>UHID-00244</v>
      </c>
      <c r="B245" s="18">
        <v>60</v>
      </c>
      <c r="C245" s="10" t="s">
        <v>18</v>
      </c>
      <c r="D245" s="13" t="s">
        <v>26</v>
      </c>
      <c r="E245" s="13" t="s">
        <v>3</v>
      </c>
      <c r="F245" s="15">
        <v>46174.777049236101</v>
      </c>
      <c r="G245" s="4">
        <v>46174</v>
      </c>
      <c r="H245" s="1">
        <v>46181.718446597202</v>
      </c>
      <c r="I245" s="22">
        <v>46181</v>
      </c>
      <c r="J245" s="24">
        <f t="shared" si="42"/>
        <v>46181.39375850396</v>
      </c>
      <c r="K245" s="24">
        <f t="shared" si="43"/>
        <v>0.71844659720227355</v>
      </c>
      <c r="L245" s="29">
        <f t="shared" si="49"/>
        <v>46180</v>
      </c>
      <c r="M245" s="27" t="str">
        <f t="shared" si="44"/>
        <v>Health Deterioration/TPA Approval Delay</v>
      </c>
      <c r="N245" s="31">
        <f t="shared" si="45"/>
        <v>7</v>
      </c>
      <c r="O245" s="27"/>
      <c r="Q245" s="8">
        <v>0.79287525744548282</v>
      </c>
      <c r="R245" s="8" t="str">
        <f t="shared" si="46"/>
        <v>Critical Delay</v>
      </c>
      <c r="S245" s="33">
        <v>3.7925142378644323</v>
      </c>
      <c r="T245" t="s">
        <v>31</v>
      </c>
      <c r="U245" s="3">
        <v>4</v>
      </c>
      <c r="V245" s="3" t="str">
        <f t="shared" si="50"/>
        <v>Normal</v>
      </c>
      <c r="W245" s="3" t="s">
        <v>50</v>
      </c>
      <c r="X245" s="32">
        <f t="shared" si="47"/>
        <v>0.32468809324200265</v>
      </c>
      <c r="Z245" s="38">
        <f t="shared" si="51"/>
        <v>0.19968809324200265</v>
      </c>
      <c r="AC245" s="36">
        <v>0.125</v>
      </c>
      <c r="AL245" t="str">
        <f t="shared" si="52"/>
        <v>Health Deterioration/TPA Approval Delay</v>
      </c>
      <c r="AM245" t="str">
        <f t="shared" si="53"/>
        <v>No</v>
      </c>
      <c r="AN245" t="str">
        <f t="shared" si="54"/>
        <v>Emergency</v>
      </c>
      <c r="AO245" t="str">
        <f t="shared" si="55"/>
        <v>ICU</v>
      </c>
    </row>
    <row r="246" spans="1:41" x14ac:dyDescent="0.3">
      <c r="A246" s="21" t="str">
        <f t="shared" si="48"/>
        <v>UHID-00245</v>
      </c>
      <c r="B246" s="18">
        <v>53</v>
      </c>
      <c r="C246" s="10" t="s">
        <v>18</v>
      </c>
      <c r="D246" s="13" t="s">
        <v>27</v>
      </c>
      <c r="E246" s="13" t="s">
        <v>3</v>
      </c>
      <c r="F246" s="15">
        <v>46176.497189780101</v>
      </c>
      <c r="G246" s="4">
        <v>46176</v>
      </c>
      <c r="H246" s="1">
        <v>46181.8059474537</v>
      </c>
      <c r="I246" s="22">
        <v>46181</v>
      </c>
      <c r="J246" s="24">
        <f t="shared" si="42"/>
        <v>46181.760981187006</v>
      </c>
      <c r="K246" s="24">
        <f t="shared" si="43"/>
        <v>0.80594745370035525</v>
      </c>
      <c r="L246" s="29">
        <f t="shared" si="49"/>
        <v>46180</v>
      </c>
      <c r="M246" s="27" t="str">
        <f t="shared" si="44"/>
        <v>Normal</v>
      </c>
      <c r="N246" s="31">
        <f t="shared" si="45"/>
        <v>5</v>
      </c>
      <c r="O246" s="27"/>
      <c r="Q246" s="8">
        <v>8.42966102125704E-2</v>
      </c>
      <c r="R246" s="8" t="str">
        <f t="shared" si="46"/>
        <v>On Time</v>
      </c>
      <c r="S246" s="33">
        <v>1.0791904005911874</v>
      </c>
      <c r="T246" t="s">
        <v>30</v>
      </c>
      <c r="U246" s="3">
        <v>0</v>
      </c>
      <c r="V246" s="3" t="str">
        <f t="shared" si="50"/>
        <v/>
      </c>
      <c r="W246" s="3" t="s">
        <v>51</v>
      </c>
      <c r="X246" s="32">
        <f t="shared" si="47"/>
        <v>4.496626669424586E-2</v>
      </c>
      <c r="Z246" s="38">
        <f t="shared" si="51"/>
        <v>0</v>
      </c>
      <c r="AC246" s="36">
        <v>0.125</v>
      </c>
      <c r="AL246" t="str">
        <f t="shared" si="52"/>
        <v>Normal</v>
      </c>
      <c r="AM246" t="str">
        <f t="shared" si="53"/>
        <v>No</v>
      </c>
      <c r="AN246" t="str">
        <f t="shared" si="54"/>
        <v>Elective</v>
      </c>
      <c r="AO246" t="str">
        <f t="shared" si="55"/>
        <v>HDU</v>
      </c>
    </row>
    <row r="247" spans="1:41" x14ac:dyDescent="0.3">
      <c r="A247" s="21" t="str">
        <f t="shared" si="48"/>
        <v>UHID-00246</v>
      </c>
      <c r="B247" s="18">
        <v>46</v>
      </c>
      <c r="C247" s="10" t="s">
        <v>17</v>
      </c>
      <c r="D247" s="13" t="s">
        <v>27</v>
      </c>
      <c r="E247" s="13" t="s">
        <v>3</v>
      </c>
      <c r="F247" s="15">
        <v>46181.431294097201</v>
      </c>
      <c r="G247" s="4">
        <v>46181</v>
      </c>
      <c r="H247" s="1">
        <v>46181.955787453699</v>
      </c>
      <c r="I247" s="22">
        <v>46181</v>
      </c>
      <c r="J247" s="24">
        <f t="shared" si="42"/>
        <v>46181.762191444868</v>
      </c>
      <c r="K247" s="24">
        <f t="shared" si="43"/>
        <v>0.95578745369857643</v>
      </c>
      <c r="L247" s="29">
        <f t="shared" si="49"/>
        <v>46180</v>
      </c>
      <c r="M247" s="27" t="str">
        <f t="shared" si="44"/>
        <v>Medication Change</v>
      </c>
      <c r="N247" s="31">
        <f t="shared" si="45"/>
        <v>0</v>
      </c>
      <c r="O247" s="27"/>
      <c r="Q247" s="8">
        <v>0.16702074990758375</v>
      </c>
      <c r="R247" s="8" t="str">
        <f t="shared" si="46"/>
        <v>Major Delay</v>
      </c>
      <c r="S247" s="33">
        <v>1.6463042118681193</v>
      </c>
      <c r="T247" t="s">
        <v>30</v>
      </c>
      <c r="U247" s="3">
        <v>3</v>
      </c>
      <c r="V247" s="3" t="str">
        <f t="shared" si="50"/>
        <v/>
      </c>
      <c r="W247" s="3" t="s">
        <v>50</v>
      </c>
      <c r="X247" s="32">
        <f t="shared" si="47"/>
        <v>0.19359600883035455</v>
      </c>
      <c r="Z247" s="38">
        <f t="shared" si="51"/>
        <v>6.8596008830354549E-2</v>
      </c>
      <c r="AC247" s="36">
        <v>0.125</v>
      </c>
      <c r="AL247" t="str">
        <f t="shared" si="52"/>
        <v>Medication Change</v>
      </c>
      <c r="AM247" t="str">
        <f t="shared" si="53"/>
        <v>No</v>
      </c>
      <c r="AN247" t="str">
        <f t="shared" si="54"/>
        <v>Elective</v>
      </c>
      <c r="AO247" t="str">
        <f t="shared" si="55"/>
        <v>General Ward</v>
      </c>
    </row>
    <row r="248" spans="1:41" x14ac:dyDescent="0.3">
      <c r="A248" s="21" t="str">
        <f t="shared" si="48"/>
        <v>UHID-00247</v>
      </c>
      <c r="B248" s="18">
        <v>39</v>
      </c>
      <c r="C248" s="10" t="s">
        <v>17</v>
      </c>
      <c r="D248" s="13" t="s">
        <v>27</v>
      </c>
      <c r="E248" s="13" t="s">
        <v>3</v>
      </c>
      <c r="F248" s="15">
        <v>46174.647470798598</v>
      </c>
      <c r="G248" s="4">
        <v>46174</v>
      </c>
      <c r="H248" s="1">
        <v>46181.799559699102</v>
      </c>
      <c r="I248" s="22">
        <v>46181</v>
      </c>
      <c r="J248" s="24">
        <f t="shared" si="42"/>
        <v>46181.727361440142</v>
      </c>
      <c r="K248" s="24">
        <f t="shared" si="43"/>
        <v>0.79955969910224667</v>
      </c>
      <c r="L248" s="29">
        <f t="shared" si="49"/>
        <v>46180</v>
      </c>
      <c r="M248" s="27" t="str">
        <f t="shared" si="44"/>
        <v>Normal</v>
      </c>
      <c r="N248" s="31">
        <f t="shared" si="45"/>
        <v>7</v>
      </c>
      <c r="O248" s="27"/>
      <c r="Q248" s="8">
        <v>0.44167052762808368</v>
      </c>
      <c r="R248" s="8" t="str">
        <f t="shared" si="46"/>
        <v>On Time</v>
      </c>
      <c r="S248" s="33">
        <v>1.7327582151015783</v>
      </c>
      <c r="T248" t="s">
        <v>31</v>
      </c>
      <c r="U248" s="3">
        <v>0</v>
      </c>
      <c r="V248" s="3" t="str">
        <f t="shared" si="50"/>
        <v>Normal</v>
      </c>
      <c r="W248" s="3" t="s">
        <v>51</v>
      </c>
      <c r="X248" s="32">
        <f t="shared" si="47"/>
        <v>7.2198258960270323E-2</v>
      </c>
      <c r="Z248" s="38">
        <f t="shared" si="51"/>
        <v>0</v>
      </c>
      <c r="AC248" s="36">
        <v>0.125</v>
      </c>
      <c r="AL248" t="str">
        <f t="shared" si="52"/>
        <v>Normal</v>
      </c>
      <c r="AM248" t="str">
        <f t="shared" si="53"/>
        <v>No</v>
      </c>
      <c r="AN248" t="str">
        <f t="shared" si="54"/>
        <v>Emergency</v>
      </c>
      <c r="AO248" t="str">
        <f t="shared" si="55"/>
        <v>ICU</v>
      </c>
    </row>
    <row r="249" spans="1:41" x14ac:dyDescent="0.3">
      <c r="A249" s="21" t="str">
        <f t="shared" si="48"/>
        <v>UHID-00248</v>
      </c>
      <c r="B249" s="18">
        <v>59</v>
      </c>
      <c r="C249" s="10" t="s">
        <v>18</v>
      </c>
      <c r="D249" s="13" t="s">
        <v>27</v>
      </c>
      <c r="E249" s="13" t="s">
        <v>3</v>
      </c>
      <c r="F249" s="15">
        <v>46179.502169432897</v>
      </c>
      <c r="G249" s="4">
        <v>46179</v>
      </c>
      <c r="H249" s="1">
        <v>46182.639651990699</v>
      </c>
      <c r="I249" s="22">
        <v>46182</v>
      </c>
      <c r="J249" s="24">
        <f t="shared" si="42"/>
        <v>46182.588917168461</v>
      </c>
      <c r="K249" s="24">
        <f t="shared" si="43"/>
        <v>0.63965199069934897</v>
      </c>
      <c r="L249" s="29">
        <f t="shared" si="49"/>
        <v>46181</v>
      </c>
      <c r="M249" s="27" t="str">
        <f t="shared" si="44"/>
        <v>Normal</v>
      </c>
      <c r="N249" s="31">
        <f t="shared" si="45"/>
        <v>3</v>
      </c>
      <c r="O249" s="27"/>
      <c r="Q249" s="8">
        <v>0.41679179528218646</v>
      </c>
      <c r="R249" s="8" t="str">
        <f t="shared" si="46"/>
        <v>On Time</v>
      </c>
      <c r="S249" s="33">
        <v>1.2176357337118251</v>
      </c>
      <c r="T249" t="s">
        <v>31</v>
      </c>
      <c r="U249" s="3">
        <v>0</v>
      </c>
      <c r="V249" s="3" t="str">
        <f t="shared" si="50"/>
        <v>Normal</v>
      </c>
      <c r="W249" s="3" t="s">
        <v>51</v>
      </c>
      <c r="X249" s="32">
        <f t="shared" si="47"/>
        <v>5.0734822238155175E-2</v>
      </c>
      <c r="Z249" s="38">
        <f t="shared" si="51"/>
        <v>0</v>
      </c>
      <c r="AC249" s="36">
        <v>0.125</v>
      </c>
      <c r="AL249" t="str">
        <f t="shared" si="52"/>
        <v>Normal</v>
      </c>
      <c r="AM249" t="str">
        <f t="shared" si="53"/>
        <v>No</v>
      </c>
      <c r="AN249" t="str">
        <f t="shared" si="54"/>
        <v>Elective</v>
      </c>
      <c r="AO249" t="str">
        <f t="shared" si="55"/>
        <v>General Ward</v>
      </c>
    </row>
    <row r="250" spans="1:41" x14ac:dyDescent="0.3">
      <c r="A250" s="21" t="str">
        <f t="shared" si="48"/>
        <v>UHID-00249</v>
      </c>
      <c r="B250" s="18">
        <v>66</v>
      </c>
      <c r="C250" s="10" t="s">
        <v>18</v>
      </c>
      <c r="D250" s="13" t="s">
        <v>26</v>
      </c>
      <c r="E250" s="13" t="s">
        <v>3</v>
      </c>
      <c r="F250" s="15">
        <v>46177.446810057903</v>
      </c>
      <c r="G250" s="4">
        <v>46177</v>
      </c>
      <c r="H250" s="1">
        <v>46182.652127766203</v>
      </c>
      <c r="I250" s="22">
        <v>46182</v>
      </c>
      <c r="J250" s="24">
        <f t="shared" si="42"/>
        <v>46182.391002013283</v>
      </c>
      <c r="K250" s="24">
        <f t="shared" si="43"/>
        <v>0.65212776620319346</v>
      </c>
      <c r="L250" s="29">
        <f t="shared" si="49"/>
        <v>46181</v>
      </c>
      <c r="M250" s="27" t="str">
        <f t="shared" si="44"/>
        <v>Health Deterioration/TPA Approval Delay</v>
      </c>
      <c r="N250" s="31">
        <f t="shared" si="45"/>
        <v>5</v>
      </c>
      <c r="O250" s="27"/>
      <c r="Q250" s="8">
        <v>0.51239641155523263</v>
      </c>
      <c r="R250" s="8" t="str">
        <f t="shared" si="46"/>
        <v>Critical Delay</v>
      </c>
      <c r="S250" s="33">
        <v>3.2670180701743941</v>
      </c>
      <c r="T250" t="s">
        <v>31</v>
      </c>
      <c r="U250" s="3">
        <v>3</v>
      </c>
      <c r="V250" s="3" t="str">
        <f t="shared" si="50"/>
        <v>Normal</v>
      </c>
      <c r="W250" s="3" t="s">
        <v>50</v>
      </c>
      <c r="X250" s="32">
        <f t="shared" si="47"/>
        <v>0.26112575292063411</v>
      </c>
      <c r="Z250" s="38">
        <f t="shared" si="51"/>
        <v>0.13612575292063411</v>
      </c>
      <c r="AC250" s="36">
        <v>0.125</v>
      </c>
      <c r="AL250" t="str">
        <f t="shared" si="52"/>
        <v>Health Deterioration/TPA Approval Delay</v>
      </c>
      <c r="AM250" t="str">
        <f t="shared" si="53"/>
        <v>Yes</v>
      </c>
      <c r="AN250" t="str">
        <f t="shared" si="54"/>
        <v>Emergency</v>
      </c>
      <c r="AO250" t="str">
        <f t="shared" si="55"/>
        <v>HDU</v>
      </c>
    </row>
    <row r="251" spans="1:41" x14ac:dyDescent="0.3">
      <c r="A251" s="21" t="str">
        <f t="shared" si="48"/>
        <v>UHID-00250</v>
      </c>
      <c r="B251" s="18">
        <v>81</v>
      </c>
      <c r="C251" s="10" t="s">
        <v>17</v>
      </c>
      <c r="D251" s="13" t="s">
        <v>28</v>
      </c>
      <c r="E251" s="13" t="s">
        <v>3</v>
      </c>
      <c r="F251" s="15">
        <v>46179.404359861102</v>
      </c>
      <c r="G251" s="4">
        <v>46179</v>
      </c>
      <c r="H251" s="1">
        <v>46181.9375</v>
      </c>
      <c r="I251" s="22">
        <v>46181</v>
      </c>
      <c r="J251" s="24">
        <f t="shared" si="42"/>
        <v>46181.851738440739</v>
      </c>
      <c r="K251" s="24">
        <f t="shared" si="43"/>
        <v>0.9375</v>
      </c>
      <c r="L251" s="29">
        <f t="shared" si="49"/>
        <v>46180</v>
      </c>
      <c r="M251" s="27" t="str">
        <f t="shared" si="44"/>
        <v>Doctor Round Delay/Report Delay</v>
      </c>
      <c r="N251" s="31">
        <f t="shared" si="45"/>
        <v>2</v>
      </c>
      <c r="O251" s="27"/>
      <c r="Q251" s="8">
        <v>0.89024198939673604</v>
      </c>
      <c r="R251" s="8" t="str">
        <f t="shared" si="46"/>
        <v>Minor Delay</v>
      </c>
      <c r="S251" s="33">
        <v>2.0582774222449425</v>
      </c>
      <c r="T251" t="s">
        <v>31</v>
      </c>
      <c r="U251" s="3">
        <v>0</v>
      </c>
      <c r="V251" s="3" t="str">
        <f t="shared" si="50"/>
        <v>Normal</v>
      </c>
      <c r="W251" s="3" t="s">
        <v>51</v>
      </c>
      <c r="X251" s="32">
        <f t="shared" si="47"/>
        <v>8.5761559261300135E-2</v>
      </c>
      <c r="Z251" s="38">
        <f t="shared" si="51"/>
        <v>0</v>
      </c>
      <c r="AC251" s="36">
        <v>0.125</v>
      </c>
      <c r="AL251" t="str">
        <f t="shared" si="52"/>
        <v>Doctor Round Delay/Report Delay</v>
      </c>
      <c r="AM251" t="str">
        <f t="shared" si="53"/>
        <v>No</v>
      </c>
      <c r="AN251" t="str">
        <f t="shared" si="54"/>
        <v>Elective</v>
      </c>
      <c r="AO251" t="str">
        <f t="shared" si="55"/>
        <v>General Ward</v>
      </c>
    </row>
    <row r="252" spans="1:41" x14ac:dyDescent="0.3">
      <c r="A252" s="21" t="str">
        <f t="shared" si="48"/>
        <v>UHID-00251</v>
      </c>
      <c r="B252" s="18">
        <v>29</v>
      </c>
      <c r="C252" s="10" t="s">
        <v>18</v>
      </c>
      <c r="D252" s="13" t="s">
        <v>27</v>
      </c>
      <c r="E252" s="13" t="s">
        <v>3</v>
      </c>
      <c r="F252" s="15">
        <v>46167.892499560199</v>
      </c>
      <c r="G252" s="4">
        <v>46167</v>
      </c>
      <c r="H252" s="1">
        <v>46181.773680520797</v>
      </c>
      <c r="I252" s="22">
        <v>46181</v>
      </c>
      <c r="J252" s="24">
        <f t="shared" si="42"/>
        <v>46181.699677958888</v>
      </c>
      <c r="K252" s="24">
        <f t="shared" si="43"/>
        <v>0.77368052079691552</v>
      </c>
      <c r="L252" s="29">
        <f t="shared" si="49"/>
        <v>46180</v>
      </c>
      <c r="M252" s="27" t="str">
        <f t="shared" si="44"/>
        <v>Normal</v>
      </c>
      <c r="N252" s="31">
        <f t="shared" si="45"/>
        <v>14</v>
      </c>
      <c r="O252" s="27"/>
      <c r="Q252" s="8">
        <v>0.4494537119510793</v>
      </c>
      <c r="R252" s="8" t="str">
        <f t="shared" si="46"/>
        <v>On Time</v>
      </c>
      <c r="S252" s="33">
        <v>1.7760614857382298</v>
      </c>
      <c r="T252" t="s">
        <v>31</v>
      </c>
      <c r="U252" s="3">
        <v>0</v>
      </c>
      <c r="V252" s="3" t="str">
        <f t="shared" si="50"/>
        <v>Normal</v>
      </c>
      <c r="W252" s="3" t="s">
        <v>51</v>
      </c>
      <c r="X252" s="32">
        <f t="shared" si="47"/>
        <v>7.4002561908855569E-2</v>
      </c>
      <c r="Z252" s="38">
        <f t="shared" si="51"/>
        <v>0</v>
      </c>
      <c r="AC252" s="36">
        <v>0.125</v>
      </c>
      <c r="AL252" t="str">
        <f t="shared" si="52"/>
        <v>Normal</v>
      </c>
      <c r="AM252" t="str">
        <f t="shared" si="53"/>
        <v>Yes</v>
      </c>
      <c r="AN252" t="str">
        <f t="shared" si="54"/>
        <v>Emergency</v>
      </c>
      <c r="AO252" t="str">
        <f t="shared" si="55"/>
        <v>ICU</v>
      </c>
    </row>
    <row r="253" spans="1:41" x14ac:dyDescent="0.3">
      <c r="A253" s="21" t="str">
        <f t="shared" si="48"/>
        <v>UHID-00252</v>
      </c>
      <c r="B253" s="18">
        <v>28</v>
      </c>
      <c r="C253" s="10" t="s">
        <v>17</v>
      </c>
      <c r="D253" s="13" t="s">
        <v>26</v>
      </c>
      <c r="E253" s="13" t="s">
        <v>3</v>
      </c>
      <c r="F253" s="15">
        <v>46181.523411134302</v>
      </c>
      <c r="G253" s="4">
        <v>46181</v>
      </c>
      <c r="H253" s="1">
        <v>46182.468055555597</v>
      </c>
      <c r="I253" s="22">
        <v>46182</v>
      </c>
      <c r="J253" s="24">
        <f t="shared" si="42"/>
        <v>46182.326422702732</v>
      </c>
      <c r="K253" s="24">
        <f t="shared" si="43"/>
        <v>0.46805555559694767</v>
      </c>
      <c r="L253" s="29">
        <f t="shared" si="49"/>
        <v>46181</v>
      </c>
      <c r="M253" s="27" t="str">
        <f t="shared" si="44"/>
        <v>TPA Approval Delay</v>
      </c>
      <c r="N253" s="31">
        <f t="shared" si="45"/>
        <v>1</v>
      </c>
      <c r="O253" s="27"/>
      <c r="Q253" s="8">
        <v>0.57241550138576991</v>
      </c>
      <c r="R253" s="8" t="str">
        <f t="shared" si="46"/>
        <v>Major Delay</v>
      </c>
      <c r="S253" s="33">
        <v>3.3991884687428779</v>
      </c>
      <c r="T253" t="s">
        <v>31</v>
      </c>
      <c r="U253" s="3">
        <v>0</v>
      </c>
      <c r="V253" s="3" t="str">
        <f t="shared" si="50"/>
        <v>Normal</v>
      </c>
      <c r="W253" s="3" t="s">
        <v>51</v>
      </c>
      <c r="X253" s="32">
        <f t="shared" si="47"/>
        <v>0.14163285286485916</v>
      </c>
      <c r="Z253" s="38">
        <f t="shared" si="51"/>
        <v>1.663285286485916E-2</v>
      </c>
      <c r="AC253" s="36">
        <v>0.125</v>
      </c>
      <c r="AL253" t="str">
        <f t="shared" si="52"/>
        <v>TPA Approval Delay</v>
      </c>
      <c r="AM253" t="str">
        <f t="shared" si="53"/>
        <v>No</v>
      </c>
      <c r="AN253" t="str">
        <f t="shared" si="54"/>
        <v>Elective</v>
      </c>
      <c r="AO253" t="str">
        <f t="shared" si="55"/>
        <v>General Ward</v>
      </c>
    </row>
    <row r="254" spans="1:41" x14ac:dyDescent="0.3">
      <c r="A254" s="21" t="str">
        <f t="shared" si="48"/>
        <v>UHID-00253</v>
      </c>
      <c r="B254" s="18">
        <v>49</v>
      </c>
      <c r="C254" s="10" t="s">
        <v>17</v>
      </c>
      <c r="D254" s="13" t="s">
        <v>26</v>
      </c>
      <c r="E254" s="13" t="s">
        <v>3</v>
      </c>
      <c r="F254" s="15">
        <v>46179.067780578698</v>
      </c>
      <c r="G254" s="4">
        <v>46179</v>
      </c>
      <c r="H254" s="1">
        <v>46182.563967615701</v>
      </c>
      <c r="I254" s="22">
        <v>46182</v>
      </c>
      <c r="J254" s="24">
        <f t="shared" si="42"/>
        <v>46182.422282407737</v>
      </c>
      <c r="K254" s="24">
        <f t="shared" si="43"/>
        <v>0.56396761570067611</v>
      </c>
      <c r="L254" s="29">
        <f t="shared" si="49"/>
        <v>46181</v>
      </c>
      <c r="M254" s="27" t="str">
        <f t="shared" si="44"/>
        <v>TPA Approval Delay</v>
      </c>
      <c r="N254" s="31">
        <f t="shared" si="45"/>
        <v>3</v>
      </c>
      <c r="O254" s="27"/>
      <c r="Q254" s="8">
        <v>0.61332912305772924</v>
      </c>
      <c r="R254" s="8" t="str">
        <f t="shared" si="46"/>
        <v>Major Delay</v>
      </c>
      <c r="S254" s="33">
        <v>3.4004449911293508</v>
      </c>
      <c r="T254" t="s">
        <v>31</v>
      </c>
      <c r="U254" s="3">
        <v>0</v>
      </c>
      <c r="V254" s="3" t="str">
        <f t="shared" si="50"/>
        <v>Normal</v>
      </c>
      <c r="W254" s="3" t="s">
        <v>51</v>
      </c>
      <c r="X254" s="32">
        <f t="shared" si="47"/>
        <v>0.14168520796374651</v>
      </c>
      <c r="Z254" s="38">
        <f t="shared" si="51"/>
        <v>1.6685207963746507E-2</v>
      </c>
      <c r="AC254" s="36">
        <v>0.125</v>
      </c>
      <c r="AL254" t="str">
        <f t="shared" si="52"/>
        <v>TPA Approval Delay</v>
      </c>
      <c r="AM254" t="str">
        <f t="shared" si="53"/>
        <v>No</v>
      </c>
      <c r="AN254" t="str">
        <f t="shared" si="54"/>
        <v>Elective</v>
      </c>
      <c r="AO254" t="str">
        <f t="shared" si="55"/>
        <v>General Ward</v>
      </c>
    </row>
    <row r="255" spans="1:41" x14ac:dyDescent="0.3">
      <c r="A255" s="21" t="str">
        <f t="shared" si="48"/>
        <v>UHID-00254</v>
      </c>
      <c r="B255" s="18">
        <v>67</v>
      </c>
      <c r="C255" s="10" t="s">
        <v>18</v>
      </c>
      <c r="D255" s="13" t="s">
        <v>26</v>
      </c>
      <c r="E255" s="13" t="s">
        <v>3</v>
      </c>
      <c r="F255" s="15">
        <v>46182.336816284696</v>
      </c>
      <c r="G255" s="4">
        <v>46182</v>
      </c>
      <c r="H255" s="1">
        <v>46182.818842847199</v>
      </c>
      <c r="I255" s="22">
        <v>46182</v>
      </c>
      <c r="J255" s="24">
        <f t="shared" si="42"/>
        <v>46182.583043302991</v>
      </c>
      <c r="K255" s="24">
        <f t="shared" si="43"/>
        <v>0.81884284719853895</v>
      </c>
      <c r="L255" s="29">
        <f t="shared" si="49"/>
        <v>46181</v>
      </c>
      <c r="M255" s="27" t="str">
        <f t="shared" si="44"/>
        <v>Health Deterioration/TPA Approval Delay</v>
      </c>
      <c r="N255" s="31">
        <f t="shared" si="45"/>
        <v>0</v>
      </c>
      <c r="O255" s="27"/>
      <c r="Q255" s="8">
        <v>0.82449931922990594</v>
      </c>
      <c r="R255" s="8" t="str">
        <f t="shared" si="46"/>
        <v>Critical Delay</v>
      </c>
      <c r="S255" s="33">
        <v>3.6591890609433286</v>
      </c>
      <c r="T255" t="s">
        <v>31</v>
      </c>
      <c r="U255" s="3">
        <v>2</v>
      </c>
      <c r="V255" s="3" t="str">
        <f t="shared" si="50"/>
        <v>Normal</v>
      </c>
      <c r="W255" s="3" t="s">
        <v>50</v>
      </c>
      <c r="X255" s="32">
        <f t="shared" si="47"/>
        <v>0.23579954420711147</v>
      </c>
      <c r="Z255" s="38">
        <f t="shared" si="51"/>
        <v>0.11079954420711147</v>
      </c>
      <c r="AC255" s="36">
        <v>0.125</v>
      </c>
      <c r="AL255" t="str">
        <f t="shared" si="52"/>
        <v>Health Deterioration/TPA Approval Delay</v>
      </c>
      <c r="AM255" t="str">
        <f t="shared" si="53"/>
        <v>Yes</v>
      </c>
      <c r="AN255" t="str">
        <f t="shared" si="54"/>
        <v>Emergency</v>
      </c>
      <c r="AO255" t="str">
        <f t="shared" si="55"/>
        <v>General Ward</v>
      </c>
    </row>
    <row r="256" spans="1:41" x14ac:dyDescent="0.3">
      <c r="A256" s="21" t="str">
        <f t="shared" si="48"/>
        <v>UHID-00255</v>
      </c>
      <c r="B256" s="18">
        <v>34</v>
      </c>
      <c r="C256" s="10" t="s">
        <v>18</v>
      </c>
      <c r="D256" s="13" t="s">
        <v>27</v>
      </c>
      <c r="E256" s="13" t="s">
        <v>3</v>
      </c>
      <c r="F256" s="15">
        <v>46181.723489317097</v>
      </c>
      <c r="G256" s="4">
        <v>46181</v>
      </c>
      <c r="H256" s="1">
        <v>46183.518448229202</v>
      </c>
      <c r="I256" s="22">
        <v>46183</v>
      </c>
      <c r="J256" s="24">
        <f t="shared" si="42"/>
        <v>46183.439232091114</v>
      </c>
      <c r="K256" s="24">
        <f t="shared" si="43"/>
        <v>0.5184482292024768</v>
      </c>
      <c r="L256" s="29">
        <f t="shared" si="49"/>
        <v>46182</v>
      </c>
      <c r="M256" s="27" t="str">
        <f t="shared" si="44"/>
        <v>Normal</v>
      </c>
      <c r="N256" s="31">
        <f t="shared" si="45"/>
        <v>2</v>
      </c>
      <c r="O256" s="27"/>
      <c r="Q256" s="8">
        <v>0.18984166210670517</v>
      </c>
      <c r="R256" s="8" t="str">
        <f t="shared" si="46"/>
        <v>On Time</v>
      </c>
      <c r="S256" s="33">
        <v>1.9011873140616002</v>
      </c>
      <c r="T256" t="s">
        <v>30</v>
      </c>
      <c r="U256" s="3">
        <v>0</v>
      </c>
      <c r="V256" s="3" t="str">
        <f t="shared" si="50"/>
        <v/>
      </c>
      <c r="W256" s="3" t="s">
        <v>51</v>
      </c>
      <c r="X256" s="32">
        <f t="shared" si="47"/>
        <v>7.9216138088668231E-2</v>
      </c>
      <c r="Z256" s="38">
        <f t="shared" si="51"/>
        <v>0</v>
      </c>
      <c r="AC256" s="36">
        <v>0.125</v>
      </c>
      <c r="AL256" t="str">
        <f t="shared" si="52"/>
        <v>Normal</v>
      </c>
      <c r="AM256" t="str">
        <f t="shared" si="53"/>
        <v>No</v>
      </c>
      <c r="AN256" t="str">
        <f t="shared" si="54"/>
        <v>Elective</v>
      </c>
      <c r="AO256" t="str">
        <f t="shared" si="55"/>
        <v>General Ward</v>
      </c>
    </row>
    <row r="257" spans="1:41" x14ac:dyDescent="0.3">
      <c r="A257" s="21" t="str">
        <f t="shared" si="48"/>
        <v>UHID-00256</v>
      </c>
      <c r="B257" s="18">
        <v>72</v>
      </c>
      <c r="C257" s="10" t="s">
        <v>17</v>
      </c>
      <c r="D257" s="13" t="s">
        <v>27</v>
      </c>
      <c r="E257" s="13" t="s">
        <v>3</v>
      </c>
      <c r="F257" s="15">
        <v>46162.656936330997</v>
      </c>
      <c r="G257" s="4">
        <v>46162</v>
      </c>
      <c r="H257" s="1">
        <v>46183.596563576401</v>
      </c>
      <c r="I257" s="22">
        <v>46183</v>
      </c>
      <c r="J257" s="24">
        <f t="shared" si="42"/>
        <v>46183.524465450158</v>
      </c>
      <c r="K257" s="24">
        <f t="shared" si="43"/>
        <v>0.59656357640051283</v>
      </c>
      <c r="L257" s="29">
        <f t="shared" si="49"/>
        <v>46182</v>
      </c>
      <c r="M257" s="27" t="str">
        <f t="shared" si="44"/>
        <v>Normal</v>
      </c>
      <c r="N257" s="31">
        <f t="shared" si="45"/>
        <v>21</v>
      </c>
      <c r="O257" s="27"/>
      <c r="Q257" s="8">
        <v>0.21858780554321833</v>
      </c>
      <c r="R257" s="8" t="str">
        <f t="shared" si="46"/>
        <v>On Time</v>
      </c>
      <c r="S257" s="33">
        <v>1.7303550298300903</v>
      </c>
      <c r="T257" t="s">
        <v>30</v>
      </c>
      <c r="U257" s="3">
        <v>0</v>
      </c>
      <c r="V257" s="3" t="str">
        <f t="shared" si="50"/>
        <v/>
      </c>
      <c r="W257" s="3" t="s">
        <v>51</v>
      </c>
      <c r="X257" s="32">
        <f t="shared" si="47"/>
        <v>7.2098126242053695E-2</v>
      </c>
      <c r="Z257" s="38">
        <f t="shared" si="51"/>
        <v>0</v>
      </c>
      <c r="AC257" s="36">
        <v>0.125</v>
      </c>
      <c r="AL257" t="str">
        <f t="shared" si="52"/>
        <v>Normal</v>
      </c>
      <c r="AM257" t="str">
        <f t="shared" si="53"/>
        <v>Yes</v>
      </c>
      <c r="AN257" t="str">
        <f t="shared" si="54"/>
        <v>Emergency</v>
      </c>
      <c r="AO257" t="str">
        <f t="shared" si="55"/>
        <v>ICU</v>
      </c>
    </row>
    <row r="258" spans="1:41" x14ac:dyDescent="0.3">
      <c r="A258" s="21" t="str">
        <f t="shared" si="48"/>
        <v>UHID-00257</v>
      </c>
      <c r="B258" s="18">
        <v>53</v>
      </c>
      <c r="C258" s="10" t="s">
        <v>18</v>
      </c>
      <c r="D258" s="13" t="s">
        <v>27</v>
      </c>
      <c r="E258" s="13" t="s">
        <v>3</v>
      </c>
      <c r="F258" s="15">
        <v>46177.290813194399</v>
      </c>
      <c r="G258" s="4">
        <v>46177</v>
      </c>
      <c r="H258" s="1">
        <v>46183.639608402802</v>
      </c>
      <c r="I258" s="22">
        <v>46183</v>
      </c>
      <c r="J258" s="24">
        <f t="shared" ref="J258:J321" si="56">I258+K258-((S258+U258)/24)</f>
        <v>46183.587085791878</v>
      </c>
      <c r="K258" s="24">
        <f t="shared" ref="K258:K321" si="57">MOD(H258,1)</f>
        <v>0.63960840280196862</v>
      </c>
      <c r="L258" s="29">
        <f t="shared" si="49"/>
        <v>46182</v>
      </c>
      <c r="M258" s="27" t="str">
        <f t="shared" ref="M258:M321" si="58">IF(X258="","",IF(X258&lt;=TIME(2,0,0),"Normal",IF(X258&lt;=TIME(3,0,0),IF(D258="CASH","Bill Settlement Delay","Doctor Round Delay/Report Delay"),IF(X258&lt;=TIME(5,0,0),IF(D258="TPA","TPA Approval Delay","Medication Change"),IF(D258="TPA","Health Deterioration/TPA Approval Delay","Health Deterioration")))))</f>
        <v>Normal</v>
      </c>
      <c r="N258" s="31">
        <f t="shared" ref="N258:N321" si="59">I258-G258</f>
        <v>6</v>
      </c>
      <c r="O258" s="27"/>
      <c r="Q258" s="8">
        <v>0.14828412035578042</v>
      </c>
      <c r="R258" s="8" t="str">
        <f t="shared" ref="R258:R321" si="60">IF(X258="","",IF(X258&lt;=TIME(2,0,0),"On Time",IF(X258&lt;=TIME(3,0,0),"Minor Delay",IF(X258&lt;=TIME(5,0,0),"Major Delay","Critical Delay"))))</f>
        <v>On Time</v>
      </c>
      <c r="S258" s="33">
        <v>1.2605426620895837</v>
      </c>
      <c r="T258" t="s">
        <v>30</v>
      </c>
      <c r="U258" s="3">
        <v>0</v>
      </c>
      <c r="V258" s="3" t="str">
        <f t="shared" si="50"/>
        <v/>
      </c>
      <c r="W258" s="3" t="s">
        <v>51</v>
      </c>
      <c r="X258" s="32">
        <f t="shared" ref="X258:X321" si="61">MOD(K258-J258,1)</f>
        <v>5.2522610923915636E-2</v>
      </c>
      <c r="Z258" s="38">
        <f t="shared" si="51"/>
        <v>0</v>
      </c>
      <c r="AC258" s="36">
        <v>0.125</v>
      </c>
      <c r="AL258" t="str">
        <f t="shared" si="52"/>
        <v>Normal</v>
      </c>
      <c r="AM258" t="str">
        <f t="shared" si="53"/>
        <v>No</v>
      </c>
      <c r="AN258" t="str">
        <f t="shared" si="54"/>
        <v>Elective</v>
      </c>
      <c r="AO258" t="str">
        <f t="shared" si="55"/>
        <v>HDU</v>
      </c>
    </row>
    <row r="259" spans="1:41" x14ac:dyDescent="0.3">
      <c r="A259" s="21" t="str">
        <f t="shared" ref="A259:A322" si="62">"UHID-"&amp;TEXT(ROW(A259)-1,"00000")</f>
        <v>UHID-00258</v>
      </c>
      <c r="B259" s="18">
        <v>54</v>
      </c>
      <c r="C259" s="10" t="s">
        <v>18</v>
      </c>
      <c r="D259" s="13" t="s">
        <v>27</v>
      </c>
      <c r="E259" s="13" t="s">
        <v>3</v>
      </c>
      <c r="F259" s="15">
        <v>46179.992411724503</v>
      </c>
      <c r="G259" s="4">
        <v>46179</v>
      </c>
      <c r="H259" s="1">
        <v>46183.688585023097</v>
      </c>
      <c r="I259" s="22">
        <v>46183</v>
      </c>
      <c r="J259" s="24">
        <f t="shared" si="56"/>
        <v>46183.643909626371</v>
      </c>
      <c r="K259" s="24">
        <f t="shared" si="57"/>
        <v>0.68858502309740288</v>
      </c>
      <c r="L259" s="29">
        <f t="shared" ref="L259:L322" si="63">IF(J259&gt;MOD(H259,1),INT(H259)-1,INT(H259))</f>
        <v>46182</v>
      </c>
      <c r="M259" s="27" t="str">
        <f t="shared" si="58"/>
        <v>Normal</v>
      </c>
      <c r="N259" s="31">
        <f t="shared" si="59"/>
        <v>4</v>
      </c>
      <c r="O259" s="27"/>
      <c r="Q259" s="8">
        <v>0.38921355813989833</v>
      </c>
      <c r="R259" s="8" t="str">
        <f t="shared" si="60"/>
        <v>On Time</v>
      </c>
      <c r="S259" s="33">
        <v>1.0722095214403451</v>
      </c>
      <c r="T259" t="s">
        <v>31</v>
      </c>
      <c r="U259" s="3">
        <v>0</v>
      </c>
      <c r="V259" s="3" t="str">
        <f t="shared" ref="V259:V322" si="64">IF(T259="NO","Normal","")</f>
        <v>Normal</v>
      </c>
      <c r="W259" s="3" t="s">
        <v>51</v>
      </c>
      <c r="X259" s="32">
        <f t="shared" si="61"/>
        <v>4.4675396726233885E-2</v>
      </c>
      <c r="Z259" s="38">
        <f t="shared" ref="Z259:Z322" si="65">IF(X259 &gt; TIME(3,0,0), X259 - TIME(3,0,0), 0)</f>
        <v>0</v>
      </c>
      <c r="AC259" s="36">
        <v>0.125</v>
      </c>
      <c r="AL259" t="str">
        <f t="shared" ref="AL259:AL322" si="66">IF(X259="","",IF(X259&lt;=TIME(2,0,0),"Normal",IF(X259&lt;=TIME(3,0,0),IF(D259="CASH","Bill Settlement Delay","Doctor Round Delay/Report Delay"),IF(Z259&lt;=TIME(2,0,0),IF(D259="TPA","TPA Approval Delay","Medication Change"),IF(D259="TPA","Health Deterioration/TPA Approval Delay","Health Deterioration")))))</f>
        <v>Normal</v>
      </c>
      <c r="AM259" t="str">
        <f t="shared" ref="AM259:AM322" si="67">IF(OR(AND(B259&gt;65, R259="Critical Delay"), N259&gt;10), "Yes", "No")</f>
        <v>No</v>
      </c>
      <c r="AN259" t="str">
        <f t="shared" ref="AN259:AN322" si="68">IF(E259="Cardiology &amp; Cardiothoracic", IF(MOD(ROW(),10)&lt;3, "Emergency", "Elective"), IF(E259="Neurology &amp; Neurosurgery", IF(MOD(ROW(),10)&lt;4, "Emergency", "Elective"), IF(D259="COR", IF(MOD(ROW(),20)&lt;7, "Emergency", "Elective"), IF(OR(R259="Critical Delay", N259&gt;=7), "Emergency", "Elective"))))</f>
        <v>Elective</v>
      </c>
      <c r="AO259" t="str">
        <f t="shared" ref="AO259:AO322" si="69">IF(OR(N259&gt;6, AND(E259="Cardiology &amp; Cardiothoracic", MOD(ROW(),10)&lt;4), AND(E259="Neurology &amp; Neurosurgery", MOD(ROW(),10)&lt;6)), "ICU", IF(OR(N259&gt;3, AND(E259="Cardiology &amp; Cardiothoracic", MOD(ROW(),10)&lt;6), E259="Neurology &amp; Neurosurgery"), "HDU", "General Ward"))</f>
        <v>HDU</v>
      </c>
    </row>
    <row r="260" spans="1:41" x14ac:dyDescent="0.3">
      <c r="A260" s="21" t="str">
        <f t="shared" si="62"/>
        <v>UHID-00259</v>
      </c>
      <c r="B260" s="18">
        <v>63</v>
      </c>
      <c r="C260" s="10" t="s">
        <v>17</v>
      </c>
      <c r="D260" s="13" t="s">
        <v>26</v>
      </c>
      <c r="E260" s="13" t="s">
        <v>3</v>
      </c>
      <c r="F260" s="15">
        <v>46183.558450671298</v>
      </c>
      <c r="G260" s="4">
        <v>46183</v>
      </c>
      <c r="H260" s="1">
        <v>46183.882742222202</v>
      </c>
      <c r="I260" s="22">
        <v>46183</v>
      </c>
      <c r="J260" s="24">
        <f t="shared" si="56"/>
        <v>46183.741555575318</v>
      </c>
      <c r="K260" s="24">
        <f t="shared" si="57"/>
        <v>0.88274222220206866</v>
      </c>
      <c r="L260" s="29">
        <f t="shared" si="63"/>
        <v>46182</v>
      </c>
      <c r="M260" s="27" t="str">
        <f t="shared" si="58"/>
        <v>TPA Approval Delay</v>
      </c>
      <c r="N260" s="31">
        <f t="shared" si="59"/>
        <v>0</v>
      </c>
      <c r="O260" s="27"/>
      <c r="Q260" s="8">
        <v>0.54457991133743566</v>
      </c>
      <c r="R260" s="8" t="str">
        <f t="shared" si="60"/>
        <v>Major Delay</v>
      </c>
      <c r="S260" s="33">
        <v>3.3884795252088171</v>
      </c>
      <c r="T260" t="s">
        <v>31</v>
      </c>
      <c r="U260" s="3">
        <v>0</v>
      </c>
      <c r="V260" s="3" t="str">
        <f t="shared" si="64"/>
        <v>Normal</v>
      </c>
      <c r="W260" s="3" t="s">
        <v>51</v>
      </c>
      <c r="X260" s="32">
        <f t="shared" si="61"/>
        <v>0.14118664688430727</v>
      </c>
      <c r="Z260" s="38">
        <f t="shared" si="65"/>
        <v>1.6186646884307265E-2</v>
      </c>
      <c r="AC260" s="36">
        <v>0.125</v>
      </c>
      <c r="AL260" t="str">
        <f t="shared" si="66"/>
        <v>TPA Approval Delay</v>
      </c>
      <c r="AM260" t="str">
        <f t="shared" si="67"/>
        <v>No</v>
      </c>
      <c r="AN260" t="str">
        <f t="shared" si="68"/>
        <v>Elective</v>
      </c>
      <c r="AO260" t="str">
        <f t="shared" si="69"/>
        <v>General Ward</v>
      </c>
    </row>
    <row r="261" spans="1:41" x14ac:dyDescent="0.3">
      <c r="A261" s="21" t="str">
        <f t="shared" si="62"/>
        <v>UHID-00260</v>
      </c>
      <c r="B261" s="18">
        <v>59</v>
      </c>
      <c r="C261" s="10" t="s">
        <v>17</v>
      </c>
      <c r="D261" s="13" t="s">
        <v>27</v>
      </c>
      <c r="E261" s="13" t="s">
        <v>3</v>
      </c>
      <c r="F261" s="15">
        <v>46181.791041689801</v>
      </c>
      <c r="G261" s="4">
        <v>46181</v>
      </c>
      <c r="H261" s="1">
        <v>46183.845173217604</v>
      </c>
      <c r="I261" s="22">
        <v>46183</v>
      </c>
      <c r="J261" s="24">
        <f t="shared" si="56"/>
        <v>46183.622172169293</v>
      </c>
      <c r="K261" s="24">
        <f t="shared" si="57"/>
        <v>0.84517321760358755</v>
      </c>
      <c r="L261" s="29">
        <f t="shared" si="63"/>
        <v>46182</v>
      </c>
      <c r="M261" s="27" t="str">
        <f t="shared" si="58"/>
        <v>Health Deterioration</v>
      </c>
      <c r="N261" s="31">
        <f t="shared" si="59"/>
        <v>2</v>
      </c>
      <c r="O261" s="27"/>
      <c r="Q261" s="8">
        <v>0.18630150835993253</v>
      </c>
      <c r="R261" s="8" t="str">
        <f t="shared" si="60"/>
        <v>Critical Delay</v>
      </c>
      <c r="S261" s="33">
        <v>1.3520251593807937</v>
      </c>
      <c r="T261" t="s">
        <v>30</v>
      </c>
      <c r="U261" s="3">
        <v>4</v>
      </c>
      <c r="V261" s="3" t="str">
        <f t="shared" si="64"/>
        <v/>
      </c>
      <c r="W261" s="3" t="s">
        <v>50</v>
      </c>
      <c r="X261" s="32">
        <f t="shared" si="61"/>
        <v>0.22300104831083445</v>
      </c>
      <c r="Z261" s="38">
        <f t="shared" si="65"/>
        <v>9.8001048310834449E-2</v>
      </c>
      <c r="AC261" s="36">
        <v>0.125</v>
      </c>
      <c r="AL261" t="str">
        <f t="shared" si="66"/>
        <v>Health Deterioration</v>
      </c>
      <c r="AM261" t="str">
        <f t="shared" si="67"/>
        <v>No</v>
      </c>
      <c r="AN261" t="str">
        <f t="shared" si="68"/>
        <v>Emergency</v>
      </c>
      <c r="AO261" t="str">
        <f t="shared" si="69"/>
        <v>General Ward</v>
      </c>
    </row>
    <row r="262" spans="1:41" x14ac:dyDescent="0.3">
      <c r="A262" s="21" t="str">
        <f t="shared" si="62"/>
        <v>UHID-00261</v>
      </c>
      <c r="B262" s="18">
        <v>21</v>
      </c>
      <c r="C262" s="10" t="s">
        <v>18</v>
      </c>
      <c r="D262" s="13" t="s">
        <v>26</v>
      </c>
      <c r="E262" s="13" t="s">
        <v>3</v>
      </c>
      <c r="F262" s="15">
        <v>46175.609321157397</v>
      </c>
      <c r="G262" s="4">
        <v>46175</v>
      </c>
      <c r="H262" s="1">
        <v>46184.611875740702</v>
      </c>
      <c r="I262" s="22">
        <v>46184</v>
      </c>
      <c r="J262" s="24">
        <f t="shared" si="56"/>
        <v>46184.374616924062</v>
      </c>
      <c r="K262" s="24">
        <f t="shared" si="57"/>
        <v>0.61187574070208939</v>
      </c>
      <c r="L262" s="29">
        <f t="shared" si="63"/>
        <v>46183</v>
      </c>
      <c r="M262" s="27" t="str">
        <f t="shared" si="58"/>
        <v>Health Deterioration/TPA Approval Delay</v>
      </c>
      <c r="N262" s="31">
        <f t="shared" si="59"/>
        <v>9</v>
      </c>
      <c r="O262" s="27"/>
      <c r="Q262" s="8">
        <v>0.80268815392094439</v>
      </c>
      <c r="R262" s="8" t="str">
        <f t="shared" si="60"/>
        <v>Critical Delay</v>
      </c>
      <c r="S262" s="33">
        <v>3.6942115992953148</v>
      </c>
      <c r="T262" t="s">
        <v>31</v>
      </c>
      <c r="U262" s="3">
        <v>2</v>
      </c>
      <c r="V262" s="3" t="str">
        <f t="shared" si="64"/>
        <v>Normal</v>
      </c>
      <c r="W262" s="3" t="s">
        <v>50</v>
      </c>
      <c r="X262" s="32">
        <f t="shared" si="61"/>
        <v>0.23725881663995096</v>
      </c>
      <c r="Z262" s="38">
        <f t="shared" si="65"/>
        <v>0.11225881663995096</v>
      </c>
      <c r="AC262" s="36">
        <v>0.125</v>
      </c>
      <c r="AL262" t="str">
        <f t="shared" si="66"/>
        <v>Health Deterioration/TPA Approval Delay</v>
      </c>
      <c r="AM262" t="str">
        <f t="shared" si="67"/>
        <v>No</v>
      </c>
      <c r="AN262" t="str">
        <f t="shared" si="68"/>
        <v>Emergency</v>
      </c>
      <c r="AO262" t="str">
        <f t="shared" si="69"/>
        <v>ICU</v>
      </c>
    </row>
    <row r="263" spans="1:41" x14ac:dyDescent="0.3">
      <c r="A263" s="21" t="str">
        <f t="shared" si="62"/>
        <v>UHID-00262</v>
      </c>
      <c r="B263" s="18">
        <v>61</v>
      </c>
      <c r="C263" s="10" t="s">
        <v>18</v>
      </c>
      <c r="D263" s="13" t="s">
        <v>28</v>
      </c>
      <c r="E263" s="13" t="s">
        <v>3</v>
      </c>
      <c r="F263" s="15">
        <v>46180.810302696802</v>
      </c>
      <c r="G263" s="4">
        <v>46180</v>
      </c>
      <c r="H263" s="1">
        <v>46184.685610196801</v>
      </c>
      <c r="I263" s="22">
        <v>46184</v>
      </c>
      <c r="J263" s="24">
        <f t="shared" si="56"/>
        <v>46184.590767903283</v>
      </c>
      <c r="K263" s="24">
        <f t="shared" si="57"/>
        <v>0.68561019680055324</v>
      </c>
      <c r="L263" s="29">
        <f t="shared" si="63"/>
        <v>46183</v>
      </c>
      <c r="M263" s="27" t="str">
        <f t="shared" si="58"/>
        <v>Doctor Round Delay/Report Delay</v>
      </c>
      <c r="N263" s="31">
        <f t="shared" si="59"/>
        <v>4</v>
      </c>
      <c r="O263" s="27"/>
      <c r="Q263" s="8">
        <v>0.94248765193169637</v>
      </c>
      <c r="R263" s="8" t="str">
        <f t="shared" si="60"/>
        <v>Minor Delay</v>
      </c>
      <c r="S263" s="33">
        <v>2.2762150444235578</v>
      </c>
      <c r="T263" t="s">
        <v>31</v>
      </c>
      <c r="U263" s="3">
        <v>0</v>
      </c>
      <c r="V263" s="3" t="str">
        <f t="shared" si="64"/>
        <v>Normal</v>
      </c>
      <c r="W263" s="3" t="s">
        <v>51</v>
      </c>
      <c r="X263" s="32">
        <f t="shared" si="61"/>
        <v>9.4842293518013321E-2</v>
      </c>
      <c r="Z263" s="38">
        <f t="shared" si="65"/>
        <v>0</v>
      </c>
      <c r="AC263" s="36">
        <v>0.125</v>
      </c>
      <c r="AL263" t="str">
        <f t="shared" si="66"/>
        <v>Doctor Round Delay/Report Delay</v>
      </c>
      <c r="AM263" t="str">
        <f t="shared" si="67"/>
        <v>No</v>
      </c>
      <c r="AN263" t="str">
        <f t="shared" si="68"/>
        <v>Emergency</v>
      </c>
      <c r="AO263" t="str">
        <f t="shared" si="69"/>
        <v>HDU</v>
      </c>
    </row>
    <row r="264" spans="1:41" x14ac:dyDescent="0.3">
      <c r="A264" s="21" t="str">
        <f t="shared" si="62"/>
        <v>UHID-00263</v>
      </c>
      <c r="B264" s="18">
        <v>57</v>
      </c>
      <c r="C264" s="10" t="s">
        <v>17</v>
      </c>
      <c r="D264" s="13" t="s">
        <v>27</v>
      </c>
      <c r="E264" s="13" t="s">
        <v>3</v>
      </c>
      <c r="F264" s="15">
        <v>46181.780999976902</v>
      </c>
      <c r="G264" s="4">
        <v>46181</v>
      </c>
      <c r="H264" s="1">
        <v>46184.743129016199</v>
      </c>
      <c r="I264" s="22">
        <v>46184</v>
      </c>
      <c r="J264" s="24">
        <f t="shared" si="56"/>
        <v>46184.526326649902</v>
      </c>
      <c r="K264" s="24">
        <f t="shared" si="57"/>
        <v>0.74312901619850891</v>
      </c>
      <c r="L264" s="29">
        <f t="shared" si="63"/>
        <v>46183</v>
      </c>
      <c r="M264" s="27" t="str">
        <f t="shared" si="58"/>
        <v>Health Deterioration</v>
      </c>
      <c r="N264" s="31">
        <f t="shared" si="59"/>
        <v>3</v>
      </c>
      <c r="O264" s="27"/>
      <c r="Q264" s="8">
        <v>0.31235256667193445</v>
      </c>
      <c r="R264" s="8" t="str">
        <f t="shared" si="60"/>
        <v>Critical Delay</v>
      </c>
      <c r="S264" s="33">
        <v>1.2032567911614691</v>
      </c>
      <c r="T264" t="s">
        <v>30</v>
      </c>
      <c r="U264" s="3">
        <v>4</v>
      </c>
      <c r="V264" s="3" t="str">
        <f t="shared" si="64"/>
        <v/>
      </c>
      <c r="W264" s="3" t="s">
        <v>50</v>
      </c>
      <c r="X264" s="32">
        <f t="shared" si="61"/>
        <v>0.21680236629617866</v>
      </c>
      <c r="Z264" s="38">
        <f t="shared" si="65"/>
        <v>9.1802366296178661E-2</v>
      </c>
      <c r="AC264" s="36">
        <v>0.125</v>
      </c>
      <c r="AL264" t="str">
        <f t="shared" si="66"/>
        <v>Health Deterioration</v>
      </c>
      <c r="AM264" t="str">
        <f t="shared" si="67"/>
        <v>No</v>
      </c>
      <c r="AN264" t="str">
        <f t="shared" si="68"/>
        <v>Emergency</v>
      </c>
      <c r="AO264" t="str">
        <f t="shared" si="69"/>
        <v>General Ward</v>
      </c>
    </row>
    <row r="265" spans="1:41" x14ac:dyDescent="0.3">
      <c r="A265" s="21" t="str">
        <f t="shared" si="62"/>
        <v>UHID-00264</v>
      </c>
      <c r="B265" s="18">
        <v>52</v>
      </c>
      <c r="C265" s="10" t="s">
        <v>18</v>
      </c>
      <c r="D265" s="13" t="s">
        <v>26</v>
      </c>
      <c r="E265" s="13" t="s">
        <v>3</v>
      </c>
      <c r="F265" s="15">
        <v>46183.598538726903</v>
      </c>
      <c r="G265" s="4">
        <v>46183</v>
      </c>
      <c r="H265" s="1">
        <v>46184.692813981499</v>
      </c>
      <c r="I265" s="22">
        <v>46184</v>
      </c>
      <c r="J265" s="24">
        <f t="shared" si="56"/>
        <v>46184.541225585766</v>
      </c>
      <c r="K265" s="24">
        <f t="shared" si="57"/>
        <v>0.69281398149905726</v>
      </c>
      <c r="L265" s="29">
        <f t="shared" si="63"/>
        <v>46183</v>
      </c>
      <c r="M265" s="27" t="str">
        <f t="shared" si="58"/>
        <v>TPA Approval Delay</v>
      </c>
      <c r="N265" s="31">
        <f t="shared" si="59"/>
        <v>1</v>
      </c>
      <c r="O265" s="27"/>
      <c r="Q265" s="8">
        <v>0.8294197802435419</v>
      </c>
      <c r="R265" s="8" t="str">
        <f t="shared" si="60"/>
        <v>Major Delay</v>
      </c>
      <c r="S265" s="33">
        <v>3.6381214975882452</v>
      </c>
      <c r="T265" t="s">
        <v>31</v>
      </c>
      <c r="U265" s="3">
        <v>0</v>
      </c>
      <c r="V265" s="3" t="str">
        <f t="shared" si="64"/>
        <v>Normal</v>
      </c>
      <c r="W265" s="3" t="s">
        <v>51</v>
      </c>
      <c r="X265" s="32">
        <f t="shared" si="61"/>
        <v>0.15158839573268779</v>
      </c>
      <c r="Z265" s="38">
        <f t="shared" si="65"/>
        <v>2.6588395732687786E-2</v>
      </c>
      <c r="AC265" s="36">
        <v>0.125</v>
      </c>
      <c r="AL265" t="str">
        <f t="shared" si="66"/>
        <v>TPA Approval Delay</v>
      </c>
      <c r="AM265" t="str">
        <f t="shared" si="67"/>
        <v>No</v>
      </c>
      <c r="AN265" t="str">
        <f t="shared" si="68"/>
        <v>Elective</v>
      </c>
      <c r="AO265" t="str">
        <f t="shared" si="69"/>
        <v>General Ward</v>
      </c>
    </row>
    <row r="266" spans="1:41" x14ac:dyDescent="0.3">
      <c r="A266" s="21" t="str">
        <f t="shared" si="62"/>
        <v>UHID-00265</v>
      </c>
      <c r="B266" s="18">
        <v>22</v>
      </c>
      <c r="C266" s="10" t="s">
        <v>18</v>
      </c>
      <c r="D266" s="13" t="s">
        <v>26</v>
      </c>
      <c r="E266" s="13" t="s">
        <v>3</v>
      </c>
      <c r="F266" s="15">
        <v>46181.916045034697</v>
      </c>
      <c r="G266" s="4">
        <v>46181</v>
      </c>
      <c r="H266" s="1">
        <v>46184.629910497701</v>
      </c>
      <c r="I266" s="22">
        <v>46184</v>
      </c>
      <c r="J266" s="24">
        <f t="shared" si="56"/>
        <v>46184.500806202392</v>
      </c>
      <c r="K266" s="24">
        <f t="shared" si="57"/>
        <v>0.62991049770062091</v>
      </c>
      <c r="L266" s="29">
        <f t="shared" si="63"/>
        <v>46183</v>
      </c>
      <c r="M266" s="27" t="str">
        <f t="shared" si="58"/>
        <v>TPA Approval Delay</v>
      </c>
      <c r="N266" s="31">
        <f t="shared" si="59"/>
        <v>3</v>
      </c>
      <c r="O266" s="27"/>
      <c r="Q266" s="8">
        <v>0.67533756494406949</v>
      </c>
      <c r="R266" s="8" t="str">
        <f t="shared" si="60"/>
        <v>Major Delay</v>
      </c>
      <c r="S266" s="33">
        <v>3.0985030874165691</v>
      </c>
      <c r="T266" t="s">
        <v>31</v>
      </c>
      <c r="U266" s="3">
        <v>0</v>
      </c>
      <c r="V266" s="3" t="str">
        <f t="shared" si="64"/>
        <v>Normal</v>
      </c>
      <c r="W266" s="3" t="s">
        <v>51</v>
      </c>
      <c r="X266" s="32">
        <f t="shared" si="61"/>
        <v>0.12910429530893452</v>
      </c>
      <c r="Z266" s="38">
        <f t="shared" si="65"/>
        <v>4.1042953089345247E-3</v>
      </c>
      <c r="AC266" s="36">
        <v>0.125</v>
      </c>
      <c r="AL266" t="str">
        <f t="shared" si="66"/>
        <v>TPA Approval Delay</v>
      </c>
      <c r="AM266" t="str">
        <f t="shared" si="67"/>
        <v>No</v>
      </c>
      <c r="AN266" t="str">
        <f t="shared" si="68"/>
        <v>Elective</v>
      </c>
      <c r="AO266" t="str">
        <f t="shared" si="69"/>
        <v>General Ward</v>
      </c>
    </row>
    <row r="267" spans="1:41" x14ac:dyDescent="0.3">
      <c r="A267" s="21" t="str">
        <f t="shared" si="62"/>
        <v>UHID-00266</v>
      </c>
      <c r="B267" s="18">
        <v>19</v>
      </c>
      <c r="C267" s="10" t="s">
        <v>18</v>
      </c>
      <c r="D267" s="13" t="s">
        <v>27</v>
      </c>
      <c r="E267" s="13" t="s">
        <v>3</v>
      </c>
      <c r="F267" s="15">
        <v>46176.871893009302</v>
      </c>
      <c r="G267" s="4">
        <v>46176</v>
      </c>
      <c r="H267" s="1">
        <v>46184.619792754602</v>
      </c>
      <c r="I267" s="22">
        <v>46184</v>
      </c>
      <c r="J267" s="24">
        <f t="shared" si="56"/>
        <v>46184.548468671113</v>
      </c>
      <c r="K267" s="24">
        <f t="shared" si="57"/>
        <v>0.61979275460180361</v>
      </c>
      <c r="L267" s="29">
        <f t="shared" si="63"/>
        <v>46183</v>
      </c>
      <c r="M267" s="27" t="str">
        <f t="shared" si="58"/>
        <v>Normal</v>
      </c>
      <c r="N267" s="31">
        <f t="shared" si="59"/>
        <v>8</v>
      </c>
      <c r="O267" s="27"/>
      <c r="Q267" s="8">
        <v>0.22167635504489636</v>
      </c>
      <c r="R267" s="8" t="str">
        <f t="shared" si="60"/>
        <v>On Time</v>
      </c>
      <c r="S267" s="33">
        <v>1.7117780037330999</v>
      </c>
      <c r="T267" t="s">
        <v>30</v>
      </c>
      <c r="U267" s="3">
        <v>0</v>
      </c>
      <c r="V267" s="3" t="str">
        <f t="shared" si="64"/>
        <v/>
      </c>
      <c r="W267" s="3" t="s">
        <v>51</v>
      </c>
      <c r="X267" s="32">
        <f t="shared" si="61"/>
        <v>7.1324083488434553E-2</v>
      </c>
      <c r="Z267" s="38">
        <f t="shared" si="65"/>
        <v>0</v>
      </c>
      <c r="AC267" s="36">
        <v>0.125</v>
      </c>
      <c r="AL267" t="str">
        <f t="shared" si="66"/>
        <v>Normal</v>
      </c>
      <c r="AM267" t="str">
        <f t="shared" si="67"/>
        <v>No</v>
      </c>
      <c r="AN267" t="str">
        <f t="shared" si="68"/>
        <v>Emergency</v>
      </c>
      <c r="AO267" t="str">
        <f t="shared" si="69"/>
        <v>ICU</v>
      </c>
    </row>
    <row r="268" spans="1:41" x14ac:dyDescent="0.3">
      <c r="A268" s="21" t="str">
        <f t="shared" si="62"/>
        <v>UHID-00267</v>
      </c>
      <c r="B268" s="18">
        <v>47</v>
      </c>
      <c r="C268" s="10" t="s">
        <v>17</v>
      </c>
      <c r="D268" s="13" t="s">
        <v>28</v>
      </c>
      <c r="E268" s="13" t="s">
        <v>3</v>
      </c>
      <c r="F268" s="15">
        <v>46183.658775011601</v>
      </c>
      <c r="G268" s="4">
        <v>46183</v>
      </c>
      <c r="H268" s="1">
        <v>46185.443795462998</v>
      </c>
      <c r="I268" s="22">
        <v>46185</v>
      </c>
      <c r="J268" s="24">
        <f t="shared" si="56"/>
        <v>46185.342695890286</v>
      </c>
      <c r="K268" s="24">
        <f t="shared" si="57"/>
        <v>0.44379546299751382</v>
      </c>
      <c r="L268" s="29">
        <f t="shared" si="63"/>
        <v>46184</v>
      </c>
      <c r="M268" s="27" t="str">
        <f t="shared" si="58"/>
        <v>Doctor Round Delay/Report Delay</v>
      </c>
      <c r="N268" s="31">
        <f t="shared" si="59"/>
        <v>2</v>
      </c>
      <c r="O268" s="27"/>
      <c r="Q268" s="8">
        <v>0.87542055667519103</v>
      </c>
      <c r="R268" s="8" t="str">
        <f t="shared" si="60"/>
        <v>Minor Delay</v>
      </c>
      <c r="S268" s="33">
        <v>2.4263897450729974</v>
      </c>
      <c r="T268" t="s">
        <v>31</v>
      </c>
      <c r="U268" s="3">
        <v>0</v>
      </c>
      <c r="V268" s="3" t="str">
        <f t="shared" si="64"/>
        <v>Normal</v>
      </c>
      <c r="W268" s="3" t="s">
        <v>51</v>
      </c>
      <c r="X268" s="32">
        <f t="shared" si="61"/>
        <v>0.10109957271197345</v>
      </c>
      <c r="Z268" s="38">
        <f t="shared" si="65"/>
        <v>0</v>
      </c>
      <c r="AC268" s="36">
        <v>0.125</v>
      </c>
      <c r="AL268" t="str">
        <f t="shared" si="66"/>
        <v>Doctor Round Delay/Report Delay</v>
      </c>
      <c r="AM268" t="str">
        <f t="shared" si="67"/>
        <v>No</v>
      </c>
      <c r="AN268" t="str">
        <f t="shared" si="68"/>
        <v>Elective</v>
      </c>
      <c r="AO268" t="str">
        <f t="shared" si="69"/>
        <v>General Ward</v>
      </c>
    </row>
    <row r="269" spans="1:41" x14ac:dyDescent="0.3">
      <c r="A269" s="21" t="str">
        <f t="shared" si="62"/>
        <v>UHID-00268</v>
      </c>
      <c r="B269" s="18">
        <v>50</v>
      </c>
      <c r="C269" s="10" t="s">
        <v>17</v>
      </c>
      <c r="D269" s="13" t="s">
        <v>27</v>
      </c>
      <c r="E269" s="13" t="s">
        <v>3</v>
      </c>
      <c r="F269" s="15">
        <v>46180.754076446799</v>
      </c>
      <c r="G269" s="4">
        <v>46180</v>
      </c>
      <c r="H269" s="1">
        <v>46185.427025671299</v>
      </c>
      <c r="I269" s="22">
        <v>46185</v>
      </c>
      <c r="J269" s="24">
        <f t="shared" si="56"/>
        <v>46185.043270159542</v>
      </c>
      <c r="K269" s="24">
        <f t="shared" si="57"/>
        <v>0.42702567129890667</v>
      </c>
      <c r="L269" s="29">
        <f t="shared" si="63"/>
        <v>46184</v>
      </c>
      <c r="M269" s="27" t="str">
        <f t="shared" si="58"/>
        <v>Health Deterioration</v>
      </c>
      <c r="N269" s="31">
        <f t="shared" si="59"/>
        <v>5</v>
      </c>
      <c r="O269" s="27"/>
      <c r="Q269" s="8">
        <v>0.26525042221843054</v>
      </c>
      <c r="R269" s="8" t="str">
        <f t="shared" si="60"/>
        <v>Critical Delay</v>
      </c>
      <c r="S269" s="33">
        <v>1.2101322822172942</v>
      </c>
      <c r="T269" t="s">
        <v>30</v>
      </c>
      <c r="U269" s="3">
        <v>8</v>
      </c>
      <c r="V269" s="3" t="str">
        <f t="shared" si="64"/>
        <v/>
      </c>
      <c r="W269" s="3" t="s">
        <v>52</v>
      </c>
      <c r="X269" s="32">
        <f t="shared" si="61"/>
        <v>0.38375551175704459</v>
      </c>
      <c r="Z269" s="38">
        <f t="shared" si="65"/>
        <v>0.25875551175704459</v>
      </c>
      <c r="AC269" s="36">
        <v>0.125</v>
      </c>
      <c r="AL269" t="str">
        <f t="shared" si="66"/>
        <v>Health Deterioration</v>
      </c>
      <c r="AM269" t="str">
        <f t="shared" si="67"/>
        <v>No</v>
      </c>
      <c r="AN269" t="str">
        <f t="shared" si="68"/>
        <v>Emergency</v>
      </c>
      <c r="AO269" t="str">
        <f t="shared" si="69"/>
        <v>HDU</v>
      </c>
    </row>
    <row r="270" spans="1:41" x14ac:dyDescent="0.3">
      <c r="A270" s="21" t="str">
        <f t="shared" si="62"/>
        <v>UHID-00269</v>
      </c>
      <c r="B270" s="18">
        <v>38</v>
      </c>
      <c r="C270" s="10" t="s">
        <v>18</v>
      </c>
      <c r="D270" s="13" t="s">
        <v>27</v>
      </c>
      <c r="E270" s="13" t="s">
        <v>3</v>
      </c>
      <c r="F270" s="15">
        <v>46182.845888229203</v>
      </c>
      <c r="G270" s="4">
        <v>46182</v>
      </c>
      <c r="H270" s="1">
        <v>46185.537530509297</v>
      </c>
      <c r="I270" s="22">
        <v>46185</v>
      </c>
      <c r="J270" s="24">
        <f t="shared" si="56"/>
        <v>46185.18150770881</v>
      </c>
      <c r="K270" s="24">
        <f t="shared" si="57"/>
        <v>0.53753050929663004</v>
      </c>
      <c r="L270" s="29">
        <f t="shared" si="63"/>
        <v>46184</v>
      </c>
      <c r="M270" s="27" t="str">
        <f t="shared" si="58"/>
        <v>Health Deterioration</v>
      </c>
      <c r="N270" s="31">
        <f t="shared" si="59"/>
        <v>3</v>
      </c>
      <c r="O270" s="27"/>
      <c r="Q270" s="8">
        <v>0.4521584027624419</v>
      </c>
      <c r="R270" s="8" t="str">
        <f t="shared" si="60"/>
        <v>Critical Delay</v>
      </c>
      <c r="S270" s="33">
        <v>1.5445472116693979</v>
      </c>
      <c r="T270" t="s">
        <v>31</v>
      </c>
      <c r="U270" s="3">
        <v>7</v>
      </c>
      <c r="V270" s="3" t="str">
        <f t="shared" si="64"/>
        <v>Normal</v>
      </c>
      <c r="W270" s="3" t="s">
        <v>52</v>
      </c>
      <c r="X270" s="32">
        <f t="shared" si="61"/>
        <v>0.3560228004862438</v>
      </c>
      <c r="Z270" s="38">
        <f t="shared" si="65"/>
        <v>0.2310228004862438</v>
      </c>
      <c r="AC270" s="36">
        <v>0.125</v>
      </c>
      <c r="AL270" t="str">
        <f t="shared" si="66"/>
        <v>Health Deterioration</v>
      </c>
      <c r="AM270" t="str">
        <f t="shared" si="67"/>
        <v>No</v>
      </c>
      <c r="AN270" t="str">
        <f t="shared" si="68"/>
        <v>Emergency</v>
      </c>
      <c r="AO270" t="str">
        <f t="shared" si="69"/>
        <v>General Ward</v>
      </c>
    </row>
    <row r="271" spans="1:41" x14ac:dyDescent="0.3">
      <c r="A271" s="21" t="str">
        <f t="shared" si="62"/>
        <v>UHID-00270</v>
      </c>
      <c r="B271" s="18">
        <v>54</v>
      </c>
      <c r="C271" s="10" t="s">
        <v>18</v>
      </c>
      <c r="D271" s="13" t="s">
        <v>28</v>
      </c>
      <c r="E271" s="13" t="s">
        <v>3</v>
      </c>
      <c r="F271" s="15">
        <v>46183.849983217602</v>
      </c>
      <c r="G271" s="4">
        <v>46183</v>
      </c>
      <c r="H271" s="1">
        <v>46185.5605816319</v>
      </c>
      <c r="I271" s="22">
        <v>46185</v>
      </c>
      <c r="J271" s="24">
        <f t="shared" si="56"/>
        <v>46185.350453089079</v>
      </c>
      <c r="K271" s="24">
        <f t="shared" si="57"/>
        <v>0.56058163190027699</v>
      </c>
      <c r="L271" s="29">
        <f t="shared" si="63"/>
        <v>46184</v>
      </c>
      <c r="M271" s="27" t="str">
        <f t="shared" si="58"/>
        <v>Health Deterioration</v>
      </c>
      <c r="N271" s="31">
        <f t="shared" si="59"/>
        <v>2</v>
      </c>
      <c r="O271" s="27"/>
      <c r="Q271" s="8">
        <v>0.98371402637421668</v>
      </c>
      <c r="R271" s="8" t="str">
        <f t="shared" si="60"/>
        <v>Critical Delay</v>
      </c>
      <c r="S271" s="33">
        <v>2.0430850276955352</v>
      </c>
      <c r="T271" t="s">
        <v>31</v>
      </c>
      <c r="U271" s="3">
        <v>3</v>
      </c>
      <c r="V271" s="3" t="str">
        <f t="shared" si="64"/>
        <v>Normal</v>
      </c>
      <c r="W271" s="3" t="s">
        <v>50</v>
      </c>
      <c r="X271" s="32">
        <f t="shared" si="61"/>
        <v>0.21012854282162152</v>
      </c>
      <c r="Z271" s="38">
        <f t="shared" si="65"/>
        <v>8.5128542821621522E-2</v>
      </c>
      <c r="AC271" s="36">
        <v>0.125</v>
      </c>
      <c r="AL271" t="str">
        <f t="shared" si="66"/>
        <v>Health Deterioration</v>
      </c>
      <c r="AM271" t="str">
        <f t="shared" si="67"/>
        <v>No</v>
      </c>
      <c r="AN271" t="str">
        <f t="shared" si="68"/>
        <v>Elective</v>
      </c>
      <c r="AO271" t="str">
        <f t="shared" si="69"/>
        <v>General Ward</v>
      </c>
    </row>
    <row r="272" spans="1:41" x14ac:dyDescent="0.3">
      <c r="A272" s="21" t="str">
        <f t="shared" si="62"/>
        <v>UHID-00271</v>
      </c>
      <c r="B272" s="18">
        <v>41</v>
      </c>
      <c r="C272" s="10" t="s">
        <v>17</v>
      </c>
      <c r="D272" s="13" t="s">
        <v>27</v>
      </c>
      <c r="E272" s="13" t="s">
        <v>3</v>
      </c>
      <c r="F272" s="15">
        <v>46179.766418842599</v>
      </c>
      <c r="G272" s="4">
        <v>46179</v>
      </c>
      <c r="H272" s="1">
        <v>46185.614077963</v>
      </c>
      <c r="I272" s="22">
        <v>46185</v>
      </c>
      <c r="J272" s="24">
        <f t="shared" si="56"/>
        <v>46185.122348001598</v>
      </c>
      <c r="K272" s="24">
        <f t="shared" si="57"/>
        <v>0.61407796300045447</v>
      </c>
      <c r="L272" s="29">
        <f t="shared" si="63"/>
        <v>46184</v>
      </c>
      <c r="M272" s="27" t="str">
        <f t="shared" si="58"/>
        <v>Health Deterioration</v>
      </c>
      <c r="N272" s="31">
        <f t="shared" si="59"/>
        <v>6</v>
      </c>
      <c r="O272" s="27"/>
      <c r="Q272" s="8">
        <v>9.5363276757501225E-2</v>
      </c>
      <c r="R272" s="8" t="str">
        <f t="shared" si="60"/>
        <v>Critical Delay</v>
      </c>
      <c r="S272" s="33">
        <v>1.8015190736582585</v>
      </c>
      <c r="T272" t="s">
        <v>30</v>
      </c>
      <c r="U272" s="3">
        <v>10</v>
      </c>
      <c r="V272" s="3" t="str">
        <f t="shared" si="64"/>
        <v/>
      </c>
      <c r="W272" s="3" t="s">
        <v>52</v>
      </c>
      <c r="X272" s="32">
        <f t="shared" si="61"/>
        <v>0.49172996140259784</v>
      </c>
      <c r="Z272" s="38">
        <f t="shared" si="65"/>
        <v>0.36672996140259784</v>
      </c>
      <c r="AC272" s="36">
        <v>0.125</v>
      </c>
      <c r="AL272" t="str">
        <f t="shared" si="66"/>
        <v>Health Deterioration</v>
      </c>
      <c r="AM272" t="str">
        <f t="shared" si="67"/>
        <v>No</v>
      </c>
      <c r="AN272" t="str">
        <f t="shared" si="68"/>
        <v>Emergency</v>
      </c>
      <c r="AO272" t="str">
        <f t="shared" si="69"/>
        <v>HDU</v>
      </c>
    </row>
    <row r="273" spans="1:41" x14ac:dyDescent="0.3">
      <c r="A273" s="21" t="str">
        <f t="shared" si="62"/>
        <v>UHID-00272</v>
      </c>
      <c r="B273" s="18">
        <v>34</v>
      </c>
      <c r="C273" s="10" t="s">
        <v>17</v>
      </c>
      <c r="D273" s="13" t="s">
        <v>26</v>
      </c>
      <c r="E273" s="13" t="s">
        <v>3</v>
      </c>
      <c r="F273" s="15">
        <v>46179.916694583299</v>
      </c>
      <c r="G273" s="4">
        <v>46179</v>
      </c>
      <c r="H273" s="1">
        <v>46186.505104108801</v>
      </c>
      <c r="I273" s="22">
        <v>46186</v>
      </c>
      <c r="J273" s="24">
        <f t="shared" si="56"/>
        <v>46186.268690715653</v>
      </c>
      <c r="K273" s="24">
        <f t="shared" si="57"/>
        <v>0.50510410880087875</v>
      </c>
      <c r="L273" s="29">
        <f t="shared" si="63"/>
        <v>46185</v>
      </c>
      <c r="M273" s="27" t="str">
        <f t="shared" si="58"/>
        <v>Health Deterioration/TPA Approval Delay</v>
      </c>
      <c r="N273" s="31">
        <f t="shared" si="59"/>
        <v>7</v>
      </c>
      <c r="O273" s="27"/>
      <c r="Q273" s="8">
        <v>0.78361109736780155</v>
      </c>
      <c r="R273" s="8" t="str">
        <f t="shared" si="60"/>
        <v>Critical Delay</v>
      </c>
      <c r="S273" s="33">
        <v>3.6739214356184942</v>
      </c>
      <c r="T273" t="s">
        <v>31</v>
      </c>
      <c r="U273" s="3">
        <v>2</v>
      </c>
      <c r="V273" s="3" t="str">
        <f t="shared" si="64"/>
        <v>Normal</v>
      </c>
      <c r="W273" s="3" t="s">
        <v>50</v>
      </c>
      <c r="X273" s="32">
        <f t="shared" si="61"/>
        <v>0.23641339314781362</v>
      </c>
      <c r="Z273" s="38">
        <f t="shared" si="65"/>
        <v>0.11141339314781362</v>
      </c>
      <c r="AC273" s="36">
        <v>0.125</v>
      </c>
      <c r="AL273" t="str">
        <f t="shared" si="66"/>
        <v>Health Deterioration/TPA Approval Delay</v>
      </c>
      <c r="AM273" t="str">
        <f t="shared" si="67"/>
        <v>No</v>
      </c>
      <c r="AN273" t="str">
        <f t="shared" si="68"/>
        <v>Emergency</v>
      </c>
      <c r="AO273" t="str">
        <f t="shared" si="69"/>
        <v>ICU</v>
      </c>
    </row>
    <row r="274" spans="1:41" x14ac:dyDescent="0.3">
      <c r="A274" s="21" t="str">
        <f t="shared" si="62"/>
        <v>UHID-00273</v>
      </c>
      <c r="B274" s="18">
        <v>59</v>
      </c>
      <c r="C274" s="10" t="s">
        <v>17</v>
      </c>
      <c r="D274" s="13" t="s">
        <v>27</v>
      </c>
      <c r="E274" s="13" t="s">
        <v>3</v>
      </c>
      <c r="F274" s="15">
        <v>46185.380970740698</v>
      </c>
      <c r="G274" s="4">
        <v>46185</v>
      </c>
      <c r="H274" s="1">
        <v>46186.639155474499</v>
      </c>
      <c r="I274" s="22">
        <v>46186</v>
      </c>
      <c r="J274" s="24">
        <f t="shared" si="56"/>
        <v>46186.413639852799</v>
      </c>
      <c r="K274" s="24">
        <f t="shared" si="57"/>
        <v>0.63915547449869337</v>
      </c>
      <c r="L274" s="29">
        <f t="shared" si="63"/>
        <v>46185</v>
      </c>
      <c r="M274" s="27" t="str">
        <f t="shared" si="58"/>
        <v>Health Deterioration</v>
      </c>
      <c r="N274" s="31">
        <f t="shared" si="59"/>
        <v>1</v>
      </c>
      <c r="O274" s="27"/>
      <c r="Q274" s="8">
        <v>8.4256948537103415E-2</v>
      </c>
      <c r="R274" s="8" t="str">
        <f t="shared" si="60"/>
        <v>Critical Delay</v>
      </c>
      <c r="S274" s="33">
        <v>1.4123749207083183</v>
      </c>
      <c r="T274" t="s">
        <v>30</v>
      </c>
      <c r="U274" s="3">
        <v>4</v>
      </c>
      <c r="V274" s="3" t="str">
        <f t="shared" si="64"/>
        <v/>
      </c>
      <c r="W274" s="3" t="s">
        <v>50</v>
      </c>
      <c r="X274" s="32">
        <f t="shared" si="61"/>
        <v>0.22551562169974204</v>
      </c>
      <c r="Z274" s="38">
        <f t="shared" si="65"/>
        <v>0.10051562169974204</v>
      </c>
      <c r="AC274" s="36">
        <v>0.125</v>
      </c>
      <c r="AL274" t="str">
        <f t="shared" si="66"/>
        <v>Health Deterioration</v>
      </c>
      <c r="AM274" t="str">
        <f t="shared" si="67"/>
        <v>No</v>
      </c>
      <c r="AN274" t="str">
        <f t="shared" si="68"/>
        <v>Emergency</v>
      </c>
      <c r="AO274" t="str">
        <f t="shared" si="69"/>
        <v>General Ward</v>
      </c>
    </row>
    <row r="275" spans="1:41" x14ac:dyDescent="0.3">
      <c r="A275" s="21" t="str">
        <f t="shared" si="62"/>
        <v>UHID-00274</v>
      </c>
      <c r="B275" s="18">
        <v>62</v>
      </c>
      <c r="C275" s="10" t="s">
        <v>17</v>
      </c>
      <c r="D275" s="13" t="s">
        <v>28</v>
      </c>
      <c r="E275" s="13" t="s">
        <v>3</v>
      </c>
      <c r="F275" s="15">
        <v>46178.675332291699</v>
      </c>
      <c r="G275" s="4">
        <v>46178</v>
      </c>
      <c r="H275" s="1">
        <v>46186.680612581004</v>
      </c>
      <c r="I275" s="22">
        <v>46186</v>
      </c>
      <c r="J275" s="24">
        <f t="shared" si="56"/>
        <v>46186.556806841123</v>
      </c>
      <c r="K275" s="24">
        <f t="shared" si="57"/>
        <v>0.68061258100351552</v>
      </c>
      <c r="L275" s="29">
        <f t="shared" si="63"/>
        <v>46185</v>
      </c>
      <c r="M275" s="27" t="str">
        <f t="shared" si="58"/>
        <v>Doctor Round Delay/Report Delay</v>
      </c>
      <c r="N275" s="31">
        <f t="shared" si="59"/>
        <v>8</v>
      </c>
      <c r="O275" s="27"/>
      <c r="Q275" s="8">
        <v>0.8938882177227444</v>
      </c>
      <c r="R275" s="8" t="str">
        <f t="shared" si="60"/>
        <v>Minor Delay</v>
      </c>
      <c r="S275" s="33">
        <v>2.9713377570994282</v>
      </c>
      <c r="T275" t="s">
        <v>31</v>
      </c>
      <c r="U275" s="3">
        <v>0</v>
      </c>
      <c r="V275" s="3" t="str">
        <f t="shared" si="64"/>
        <v>Normal</v>
      </c>
      <c r="W275" s="3" t="s">
        <v>51</v>
      </c>
      <c r="X275" s="32">
        <f t="shared" si="61"/>
        <v>0.12380573988048127</v>
      </c>
      <c r="Z275" s="38">
        <f t="shared" si="65"/>
        <v>0</v>
      </c>
      <c r="AC275" s="36">
        <v>0.125</v>
      </c>
      <c r="AL275" t="str">
        <f t="shared" si="66"/>
        <v>Doctor Round Delay/Report Delay</v>
      </c>
      <c r="AM275" t="str">
        <f t="shared" si="67"/>
        <v>No</v>
      </c>
      <c r="AN275" t="str">
        <f t="shared" si="68"/>
        <v>Elective</v>
      </c>
      <c r="AO275" t="str">
        <f t="shared" si="69"/>
        <v>ICU</v>
      </c>
    </row>
    <row r="276" spans="1:41" x14ac:dyDescent="0.3">
      <c r="A276" s="21" t="str">
        <f t="shared" si="62"/>
        <v>UHID-00275</v>
      </c>
      <c r="B276" s="18">
        <v>25</v>
      </c>
      <c r="C276" s="10" t="s">
        <v>18</v>
      </c>
      <c r="D276" s="13" t="s">
        <v>26</v>
      </c>
      <c r="E276" s="13" t="s">
        <v>3</v>
      </c>
      <c r="F276" s="15">
        <v>46186.487680578699</v>
      </c>
      <c r="G276" s="4">
        <v>46186</v>
      </c>
      <c r="H276" s="1">
        <v>46186.727241284701</v>
      </c>
      <c r="I276" s="22">
        <v>46186</v>
      </c>
      <c r="J276" s="24">
        <f t="shared" si="56"/>
        <v>46186.572460505326</v>
      </c>
      <c r="K276" s="24">
        <f t="shared" si="57"/>
        <v>0.72724128470144933</v>
      </c>
      <c r="L276" s="29">
        <f t="shared" si="63"/>
        <v>46185</v>
      </c>
      <c r="M276" s="27" t="str">
        <f t="shared" si="58"/>
        <v>TPA Approval Delay</v>
      </c>
      <c r="N276" s="31">
        <f t="shared" si="59"/>
        <v>0</v>
      </c>
      <c r="O276" s="27"/>
      <c r="Q276" s="8">
        <v>0.78847267731782567</v>
      </c>
      <c r="R276" s="8" t="str">
        <f t="shared" si="60"/>
        <v>Major Delay</v>
      </c>
      <c r="S276" s="33">
        <v>3.7147387049682594</v>
      </c>
      <c r="T276" t="s">
        <v>31</v>
      </c>
      <c r="U276" s="3">
        <v>0</v>
      </c>
      <c r="V276" s="3" t="str">
        <f t="shared" si="64"/>
        <v>Normal</v>
      </c>
      <c r="W276" s="3" t="s">
        <v>51</v>
      </c>
      <c r="X276" s="32">
        <f t="shared" si="61"/>
        <v>0.15478077937586932</v>
      </c>
      <c r="Z276" s="38">
        <f t="shared" si="65"/>
        <v>2.9780779375869315E-2</v>
      </c>
      <c r="AC276" s="36">
        <v>0.125</v>
      </c>
      <c r="AL276" t="str">
        <f t="shared" si="66"/>
        <v>TPA Approval Delay</v>
      </c>
      <c r="AM276" t="str">
        <f t="shared" si="67"/>
        <v>No</v>
      </c>
      <c r="AN276" t="str">
        <f t="shared" si="68"/>
        <v>Elective</v>
      </c>
      <c r="AO276" t="str">
        <f t="shared" si="69"/>
        <v>General Ward</v>
      </c>
    </row>
    <row r="277" spans="1:41" x14ac:dyDescent="0.3">
      <c r="A277" s="21" t="str">
        <f t="shared" si="62"/>
        <v>UHID-00276</v>
      </c>
      <c r="B277" s="18">
        <v>55</v>
      </c>
      <c r="C277" s="10" t="s">
        <v>17</v>
      </c>
      <c r="D277" s="13" t="s">
        <v>26</v>
      </c>
      <c r="E277" s="13" t="s">
        <v>3</v>
      </c>
      <c r="F277" s="15">
        <v>46183.954474537</v>
      </c>
      <c r="G277" s="4">
        <v>46183</v>
      </c>
      <c r="H277" s="1">
        <v>46186.498762534698</v>
      </c>
      <c r="I277" s="22">
        <v>46186</v>
      </c>
      <c r="J277" s="24">
        <f t="shared" si="56"/>
        <v>46186.372450142291</v>
      </c>
      <c r="K277" s="24">
        <f t="shared" si="57"/>
        <v>0.49876253469847143</v>
      </c>
      <c r="L277" s="29">
        <f t="shared" si="63"/>
        <v>46185</v>
      </c>
      <c r="M277" s="27" t="str">
        <f t="shared" si="58"/>
        <v>TPA Approval Delay</v>
      </c>
      <c r="N277" s="31">
        <f t="shared" si="59"/>
        <v>3</v>
      </c>
      <c r="O277" s="27"/>
      <c r="Q277" s="8">
        <v>0.66501830278438334</v>
      </c>
      <c r="R277" s="8" t="str">
        <f t="shared" si="60"/>
        <v>Major Delay</v>
      </c>
      <c r="S277" s="33">
        <v>3.0314974178403755</v>
      </c>
      <c r="T277" t="s">
        <v>31</v>
      </c>
      <c r="U277" s="3">
        <v>0</v>
      </c>
      <c r="V277" s="3" t="str">
        <f t="shared" si="64"/>
        <v>Normal</v>
      </c>
      <c r="W277" s="3" t="s">
        <v>51</v>
      </c>
      <c r="X277" s="32">
        <f t="shared" si="61"/>
        <v>0.12631239240727155</v>
      </c>
      <c r="Z277" s="38">
        <f t="shared" si="65"/>
        <v>1.3123924072715454E-3</v>
      </c>
      <c r="AC277" s="36">
        <v>0.125</v>
      </c>
      <c r="AL277" t="str">
        <f t="shared" si="66"/>
        <v>TPA Approval Delay</v>
      </c>
      <c r="AM277" t="str">
        <f t="shared" si="67"/>
        <v>No</v>
      </c>
      <c r="AN277" t="str">
        <f t="shared" si="68"/>
        <v>Elective</v>
      </c>
      <c r="AO277" t="str">
        <f t="shared" si="69"/>
        <v>General Ward</v>
      </c>
    </row>
    <row r="278" spans="1:41" x14ac:dyDescent="0.3">
      <c r="A278" s="21" t="str">
        <f t="shared" si="62"/>
        <v>UHID-00277</v>
      </c>
      <c r="B278" s="18">
        <v>66</v>
      </c>
      <c r="C278" s="10" t="s">
        <v>17</v>
      </c>
      <c r="D278" s="13" t="s">
        <v>27</v>
      </c>
      <c r="E278" s="13" t="s">
        <v>3</v>
      </c>
      <c r="F278" s="15">
        <v>46184.776764826398</v>
      </c>
      <c r="G278" s="4">
        <v>46184</v>
      </c>
      <c r="H278" s="1">
        <v>46186.610468182902</v>
      </c>
      <c r="I278" s="22">
        <v>46186</v>
      </c>
      <c r="J278" s="24">
        <f t="shared" si="56"/>
        <v>46186.468856879066</v>
      </c>
      <c r="K278" s="24">
        <f t="shared" si="57"/>
        <v>0.61046818290196825</v>
      </c>
      <c r="L278" s="29">
        <f t="shared" si="63"/>
        <v>46185</v>
      </c>
      <c r="M278" s="27" t="str">
        <f t="shared" si="58"/>
        <v>Medication Change</v>
      </c>
      <c r="N278" s="31">
        <f t="shared" si="59"/>
        <v>2</v>
      </c>
      <c r="O278" s="27"/>
      <c r="Q278" s="8">
        <v>0.39582444771649061</v>
      </c>
      <c r="R278" s="8" t="str">
        <f t="shared" si="60"/>
        <v>Major Delay</v>
      </c>
      <c r="S278" s="33">
        <v>1.3986712920584985</v>
      </c>
      <c r="T278" t="s">
        <v>31</v>
      </c>
      <c r="U278" s="3">
        <v>2</v>
      </c>
      <c r="V278" s="3" t="str">
        <f t="shared" si="64"/>
        <v>Normal</v>
      </c>
      <c r="W278" s="3" t="s">
        <v>50</v>
      </c>
      <c r="X278" s="32">
        <f t="shared" si="61"/>
        <v>0.14161130383581622</v>
      </c>
      <c r="Z278" s="38">
        <f t="shared" si="65"/>
        <v>1.6611303835816216E-2</v>
      </c>
      <c r="AC278" s="36">
        <v>0.125</v>
      </c>
      <c r="AL278" t="str">
        <f t="shared" si="66"/>
        <v>Medication Change</v>
      </c>
      <c r="AM278" t="str">
        <f t="shared" si="67"/>
        <v>No</v>
      </c>
      <c r="AN278" t="str">
        <f t="shared" si="68"/>
        <v>Elective</v>
      </c>
      <c r="AO278" t="str">
        <f t="shared" si="69"/>
        <v>General Ward</v>
      </c>
    </row>
    <row r="279" spans="1:41" x14ac:dyDescent="0.3">
      <c r="A279" s="21" t="str">
        <f t="shared" si="62"/>
        <v>UHID-00278</v>
      </c>
      <c r="B279" s="18">
        <v>51</v>
      </c>
      <c r="C279" s="10" t="s">
        <v>17</v>
      </c>
      <c r="D279" s="13" t="s">
        <v>28</v>
      </c>
      <c r="E279" s="13" t="s">
        <v>3</v>
      </c>
      <c r="F279" s="15">
        <v>46185.535800717596</v>
      </c>
      <c r="G279" s="4">
        <v>46185</v>
      </c>
      <c r="H279" s="1">
        <v>46186.701469838001</v>
      </c>
      <c r="I279" s="22">
        <v>46186</v>
      </c>
      <c r="J279" s="24">
        <f t="shared" si="56"/>
        <v>46186.606732159198</v>
      </c>
      <c r="K279" s="24">
        <f t="shared" si="57"/>
        <v>0.70146983800077578</v>
      </c>
      <c r="L279" s="29">
        <f t="shared" si="63"/>
        <v>46185</v>
      </c>
      <c r="M279" s="27" t="str">
        <f t="shared" si="58"/>
        <v>Doctor Round Delay/Report Delay</v>
      </c>
      <c r="N279" s="31">
        <f t="shared" si="59"/>
        <v>1</v>
      </c>
      <c r="O279" s="27"/>
      <c r="Q279" s="8">
        <v>0.88731414746882686</v>
      </c>
      <c r="R279" s="8" t="str">
        <f t="shared" si="60"/>
        <v>Minor Delay</v>
      </c>
      <c r="S279" s="33">
        <v>2.2737042912247483</v>
      </c>
      <c r="T279" t="s">
        <v>31</v>
      </c>
      <c r="U279" s="3">
        <v>0</v>
      </c>
      <c r="V279" s="3" t="str">
        <f t="shared" si="64"/>
        <v>Normal</v>
      </c>
      <c r="W279" s="3" t="s">
        <v>51</v>
      </c>
      <c r="X279" s="32">
        <f t="shared" si="61"/>
        <v>9.4737678802630398E-2</v>
      </c>
      <c r="Z279" s="38">
        <f t="shared" si="65"/>
        <v>0</v>
      </c>
      <c r="AC279" s="36">
        <v>0.125</v>
      </c>
      <c r="AL279" t="str">
        <f t="shared" si="66"/>
        <v>Doctor Round Delay/Report Delay</v>
      </c>
      <c r="AM279" t="str">
        <f t="shared" si="67"/>
        <v>No</v>
      </c>
      <c r="AN279" t="str">
        <f t="shared" si="68"/>
        <v>Elective</v>
      </c>
      <c r="AO279" t="str">
        <f t="shared" si="69"/>
        <v>General Ward</v>
      </c>
    </row>
    <row r="280" spans="1:41" x14ac:dyDescent="0.3">
      <c r="A280" s="21" t="str">
        <f t="shared" si="62"/>
        <v>UHID-00279</v>
      </c>
      <c r="B280" s="18">
        <v>59</v>
      </c>
      <c r="C280" s="10" t="s">
        <v>18</v>
      </c>
      <c r="D280" s="13" t="s">
        <v>26</v>
      </c>
      <c r="E280" s="13" t="s">
        <v>3</v>
      </c>
      <c r="F280" s="15">
        <v>46184.403732453698</v>
      </c>
      <c r="G280" s="4">
        <v>46184</v>
      </c>
      <c r="H280" s="1">
        <v>46186.737583009301</v>
      </c>
      <c r="I280" s="22">
        <v>46186</v>
      </c>
      <c r="J280" s="24">
        <f t="shared" si="56"/>
        <v>46186.485122722159</v>
      </c>
      <c r="K280" s="24">
        <f t="shared" si="57"/>
        <v>0.73758300930057885</v>
      </c>
      <c r="L280" s="29">
        <f t="shared" si="63"/>
        <v>46185</v>
      </c>
      <c r="M280" s="27" t="str">
        <f t="shared" si="58"/>
        <v>Health Deterioration/TPA Approval Delay</v>
      </c>
      <c r="N280" s="31">
        <f t="shared" si="59"/>
        <v>2</v>
      </c>
      <c r="O280" s="27"/>
      <c r="Q280" s="8">
        <v>0.80519699579682102</v>
      </c>
      <c r="R280" s="8" t="str">
        <f t="shared" si="60"/>
        <v>Critical Delay</v>
      </c>
      <c r="S280" s="33">
        <v>3.0590468914102877</v>
      </c>
      <c r="T280" t="s">
        <v>31</v>
      </c>
      <c r="U280" s="3">
        <v>3</v>
      </c>
      <c r="V280" s="3" t="str">
        <f t="shared" si="64"/>
        <v>Normal</v>
      </c>
      <c r="W280" s="3" t="s">
        <v>50</v>
      </c>
      <c r="X280" s="32">
        <f t="shared" si="61"/>
        <v>0.25246028714173008</v>
      </c>
      <c r="Z280" s="38">
        <f t="shared" si="65"/>
        <v>0.12746028714173008</v>
      </c>
      <c r="AC280" s="36">
        <v>0.125</v>
      </c>
      <c r="AL280" t="str">
        <f t="shared" si="66"/>
        <v>Health Deterioration/TPA Approval Delay</v>
      </c>
      <c r="AM280" t="str">
        <f t="shared" si="67"/>
        <v>No</v>
      </c>
      <c r="AN280" t="str">
        <f t="shared" si="68"/>
        <v>Emergency</v>
      </c>
      <c r="AO280" t="str">
        <f t="shared" si="69"/>
        <v>General Ward</v>
      </c>
    </row>
    <row r="281" spans="1:41" x14ac:dyDescent="0.3">
      <c r="A281" s="21" t="str">
        <f t="shared" si="62"/>
        <v>UHID-00280</v>
      </c>
      <c r="B281" s="18">
        <v>72</v>
      </c>
      <c r="C281" s="10" t="s">
        <v>18</v>
      </c>
      <c r="D281" s="13" t="s">
        <v>27</v>
      </c>
      <c r="E281" s="13" t="s">
        <v>3</v>
      </c>
      <c r="F281" s="15">
        <v>46185.732030115701</v>
      </c>
      <c r="G281" s="4">
        <v>46185</v>
      </c>
      <c r="H281" s="1">
        <v>46186.749472129603</v>
      </c>
      <c r="I281" s="22">
        <v>46186</v>
      </c>
      <c r="J281" s="24">
        <f t="shared" si="56"/>
        <v>46186.694355327949</v>
      </c>
      <c r="K281" s="24">
        <f t="shared" si="57"/>
        <v>0.74947212960250909</v>
      </c>
      <c r="L281" s="29">
        <f t="shared" si="63"/>
        <v>46185</v>
      </c>
      <c r="M281" s="27" t="str">
        <f t="shared" si="58"/>
        <v>Normal</v>
      </c>
      <c r="N281" s="31">
        <f t="shared" si="59"/>
        <v>1</v>
      </c>
      <c r="O281" s="27"/>
      <c r="Q281" s="8">
        <v>0.12809160094753769</v>
      </c>
      <c r="R281" s="8" t="str">
        <f t="shared" si="60"/>
        <v>On Time</v>
      </c>
      <c r="S281" s="33">
        <v>1.3228032397048506</v>
      </c>
      <c r="T281" t="s">
        <v>30</v>
      </c>
      <c r="U281" s="3">
        <v>0</v>
      </c>
      <c r="V281" s="3" t="str">
        <f t="shared" si="64"/>
        <v/>
      </c>
      <c r="W281" s="3" t="s">
        <v>51</v>
      </c>
      <c r="X281" s="32">
        <f t="shared" si="61"/>
        <v>5.5116801653639413E-2</v>
      </c>
      <c r="Z281" s="38">
        <f t="shared" si="65"/>
        <v>0</v>
      </c>
      <c r="AC281" s="36">
        <v>0.125</v>
      </c>
      <c r="AL281" t="str">
        <f t="shared" si="66"/>
        <v>Normal</v>
      </c>
      <c r="AM281" t="str">
        <f t="shared" si="67"/>
        <v>No</v>
      </c>
      <c r="AN281" t="str">
        <f t="shared" si="68"/>
        <v>Elective</v>
      </c>
      <c r="AO281" t="str">
        <f t="shared" si="69"/>
        <v>General Ward</v>
      </c>
    </row>
    <row r="282" spans="1:41" x14ac:dyDescent="0.3">
      <c r="A282" s="21" t="str">
        <f t="shared" si="62"/>
        <v>UHID-00281</v>
      </c>
      <c r="B282" s="18">
        <v>44</v>
      </c>
      <c r="C282" s="10" t="s">
        <v>17</v>
      </c>
      <c r="D282" s="13" t="s">
        <v>27</v>
      </c>
      <c r="E282" s="13" t="s">
        <v>3</v>
      </c>
      <c r="F282" s="15">
        <v>46186.6545508333</v>
      </c>
      <c r="G282" s="4">
        <v>46186</v>
      </c>
      <c r="H282" s="1">
        <v>46186.853542025499</v>
      </c>
      <c r="I282" s="22">
        <v>46186</v>
      </c>
      <c r="J282" s="24">
        <f t="shared" si="56"/>
        <v>46186.786146678067</v>
      </c>
      <c r="K282" s="24">
        <f t="shared" si="57"/>
        <v>0.85354202549933689</v>
      </c>
      <c r="L282" s="29">
        <f t="shared" si="63"/>
        <v>46185</v>
      </c>
      <c r="M282" s="27" t="str">
        <f t="shared" si="58"/>
        <v>Normal</v>
      </c>
      <c r="N282" s="31">
        <f t="shared" si="59"/>
        <v>0</v>
      </c>
      <c r="O282" s="27"/>
      <c r="Q282" s="8">
        <v>6.1041651483648485E-2</v>
      </c>
      <c r="R282" s="8" t="str">
        <f t="shared" si="60"/>
        <v>On Time</v>
      </c>
      <c r="S282" s="33">
        <v>1.6174883383899687</v>
      </c>
      <c r="T282" t="s">
        <v>30</v>
      </c>
      <c r="U282" s="3">
        <v>0</v>
      </c>
      <c r="V282" s="3" t="str">
        <f t="shared" si="64"/>
        <v/>
      </c>
      <c r="W282" s="3" t="s">
        <v>51</v>
      </c>
      <c r="X282" s="32">
        <f t="shared" si="61"/>
        <v>6.7395347432466224E-2</v>
      </c>
      <c r="Z282" s="38">
        <f t="shared" si="65"/>
        <v>0</v>
      </c>
      <c r="AC282" s="36">
        <v>0.125</v>
      </c>
      <c r="AL282" t="str">
        <f t="shared" si="66"/>
        <v>Normal</v>
      </c>
      <c r="AM282" t="str">
        <f t="shared" si="67"/>
        <v>No</v>
      </c>
      <c r="AN282" t="str">
        <f t="shared" si="68"/>
        <v>Elective</v>
      </c>
      <c r="AO282" t="str">
        <f t="shared" si="69"/>
        <v>General Ward</v>
      </c>
    </row>
    <row r="283" spans="1:41" x14ac:dyDescent="0.3">
      <c r="A283" s="21" t="str">
        <f t="shared" si="62"/>
        <v>UHID-00282</v>
      </c>
      <c r="B283" s="18">
        <v>60</v>
      </c>
      <c r="C283" s="10" t="s">
        <v>17</v>
      </c>
      <c r="D283" s="13" t="s">
        <v>26</v>
      </c>
      <c r="E283" s="13" t="s">
        <v>3</v>
      </c>
      <c r="F283" s="15">
        <v>46182.028162546303</v>
      </c>
      <c r="G283" s="4">
        <v>46182</v>
      </c>
      <c r="H283" s="1">
        <v>46187.481997731498</v>
      </c>
      <c r="I283" s="22">
        <v>46187</v>
      </c>
      <c r="J283" s="24">
        <f t="shared" si="56"/>
        <v>46187.334650472818</v>
      </c>
      <c r="K283" s="24">
        <f t="shared" si="57"/>
        <v>0.48199773149826797</v>
      </c>
      <c r="L283" s="29">
        <f t="shared" si="63"/>
        <v>46186</v>
      </c>
      <c r="M283" s="27" t="str">
        <f t="shared" si="58"/>
        <v>TPA Approval Delay</v>
      </c>
      <c r="N283" s="31">
        <f t="shared" si="59"/>
        <v>5</v>
      </c>
      <c r="O283" s="27"/>
      <c r="Q283" s="8">
        <v>0.82604718993967841</v>
      </c>
      <c r="R283" s="8" t="str">
        <f t="shared" si="60"/>
        <v>Major Delay</v>
      </c>
      <c r="S283" s="33">
        <v>3.5363342082911791</v>
      </c>
      <c r="T283" t="s">
        <v>31</v>
      </c>
      <c r="U283" s="3">
        <v>0</v>
      </c>
      <c r="V283" s="3" t="str">
        <f t="shared" si="64"/>
        <v>Normal</v>
      </c>
      <c r="W283" s="3" t="s">
        <v>51</v>
      </c>
      <c r="X283" s="32">
        <f t="shared" si="61"/>
        <v>0.14734725868038367</v>
      </c>
      <c r="Z283" s="38">
        <f t="shared" si="65"/>
        <v>2.2347258680383675E-2</v>
      </c>
      <c r="AC283" s="36">
        <v>0.125</v>
      </c>
      <c r="AL283" t="str">
        <f t="shared" si="66"/>
        <v>TPA Approval Delay</v>
      </c>
      <c r="AM283" t="str">
        <f t="shared" si="67"/>
        <v>No</v>
      </c>
      <c r="AN283" t="str">
        <f t="shared" si="68"/>
        <v>Elective</v>
      </c>
      <c r="AO283" t="str">
        <f t="shared" si="69"/>
        <v>HDU</v>
      </c>
    </row>
    <row r="284" spans="1:41" x14ac:dyDescent="0.3">
      <c r="A284" s="21" t="str">
        <f t="shared" si="62"/>
        <v>UHID-00283</v>
      </c>
      <c r="B284" s="18">
        <v>53</v>
      </c>
      <c r="C284" s="10" t="s">
        <v>17</v>
      </c>
      <c r="D284" s="13" t="s">
        <v>27</v>
      </c>
      <c r="E284" s="13" t="s">
        <v>3</v>
      </c>
      <c r="F284" s="15">
        <v>46186.662979409703</v>
      </c>
      <c r="G284" s="4">
        <v>46186</v>
      </c>
      <c r="H284" s="1">
        <v>46187.5105402431</v>
      </c>
      <c r="I284" s="22">
        <v>46187</v>
      </c>
      <c r="J284" s="24">
        <f t="shared" si="56"/>
        <v>46187.441180754875</v>
      </c>
      <c r="K284" s="24">
        <f t="shared" si="57"/>
        <v>0.51054024309996748</v>
      </c>
      <c r="L284" s="29">
        <f t="shared" si="63"/>
        <v>46186</v>
      </c>
      <c r="M284" s="27" t="str">
        <f t="shared" si="58"/>
        <v>Normal</v>
      </c>
      <c r="N284" s="31">
        <f t="shared" si="59"/>
        <v>1</v>
      </c>
      <c r="O284" s="27"/>
      <c r="Q284" s="8">
        <v>9.0479895630767859E-2</v>
      </c>
      <c r="R284" s="8" t="str">
        <f t="shared" si="60"/>
        <v>On Time</v>
      </c>
      <c r="S284" s="33">
        <v>1.6646277174225899</v>
      </c>
      <c r="T284" t="s">
        <v>30</v>
      </c>
      <c r="U284" s="3">
        <v>0</v>
      </c>
      <c r="V284" s="3" t="str">
        <f t="shared" si="64"/>
        <v/>
      </c>
      <c r="W284" s="3" t="s">
        <v>51</v>
      </c>
      <c r="X284" s="32">
        <f t="shared" si="61"/>
        <v>6.935948822501814E-2</v>
      </c>
      <c r="Z284" s="38">
        <f t="shared" si="65"/>
        <v>0</v>
      </c>
      <c r="AC284" s="36">
        <v>0.125</v>
      </c>
      <c r="AL284" t="str">
        <f t="shared" si="66"/>
        <v>Normal</v>
      </c>
      <c r="AM284" t="str">
        <f t="shared" si="67"/>
        <v>No</v>
      </c>
      <c r="AN284" t="str">
        <f t="shared" si="68"/>
        <v>Elective</v>
      </c>
      <c r="AO284" t="str">
        <f t="shared" si="69"/>
        <v>General Ward</v>
      </c>
    </row>
    <row r="285" spans="1:41" x14ac:dyDescent="0.3">
      <c r="A285" s="21" t="str">
        <f t="shared" si="62"/>
        <v>UHID-00284</v>
      </c>
      <c r="B285" s="18">
        <v>22</v>
      </c>
      <c r="C285" s="10" t="s">
        <v>18</v>
      </c>
      <c r="D285" s="13" t="s">
        <v>27</v>
      </c>
      <c r="E285" s="13" t="s">
        <v>3</v>
      </c>
      <c r="F285" s="15">
        <v>46179.832271053201</v>
      </c>
      <c r="G285" s="4">
        <v>46179</v>
      </c>
      <c r="H285" s="1">
        <v>46187.676605578701</v>
      </c>
      <c r="I285" s="22">
        <v>46187</v>
      </c>
      <c r="J285" s="24">
        <f t="shared" si="56"/>
        <v>46187.606958245116</v>
      </c>
      <c r="K285" s="24">
        <f t="shared" si="57"/>
        <v>0.67660557870112825</v>
      </c>
      <c r="L285" s="29">
        <f t="shared" si="63"/>
        <v>46186</v>
      </c>
      <c r="M285" s="27" t="str">
        <f t="shared" si="58"/>
        <v>Normal</v>
      </c>
      <c r="N285" s="31">
        <f t="shared" si="59"/>
        <v>8</v>
      </c>
      <c r="O285" s="27"/>
      <c r="Q285" s="8">
        <v>0.48051149325162268</v>
      </c>
      <c r="R285" s="8" t="str">
        <f t="shared" si="60"/>
        <v>On Time</v>
      </c>
      <c r="S285" s="33">
        <v>1.671536006014166</v>
      </c>
      <c r="T285" t="s">
        <v>31</v>
      </c>
      <c r="U285" s="3">
        <v>0</v>
      </c>
      <c r="V285" s="3" t="str">
        <f t="shared" si="64"/>
        <v>Normal</v>
      </c>
      <c r="W285" s="3" t="s">
        <v>51</v>
      </c>
      <c r="X285" s="32">
        <f t="shared" si="61"/>
        <v>6.9647333584725857E-2</v>
      </c>
      <c r="Z285" s="38">
        <f t="shared" si="65"/>
        <v>0</v>
      </c>
      <c r="AC285" s="36">
        <v>0.125</v>
      </c>
      <c r="AL285" t="str">
        <f t="shared" si="66"/>
        <v>Normal</v>
      </c>
      <c r="AM285" t="str">
        <f t="shared" si="67"/>
        <v>No</v>
      </c>
      <c r="AN285" t="str">
        <f t="shared" si="68"/>
        <v>Emergency</v>
      </c>
      <c r="AO285" t="str">
        <f t="shared" si="69"/>
        <v>ICU</v>
      </c>
    </row>
    <row r="286" spans="1:41" x14ac:dyDescent="0.3">
      <c r="A286" s="21" t="str">
        <f t="shared" si="62"/>
        <v>UHID-00285</v>
      </c>
      <c r="B286" s="18">
        <v>85</v>
      </c>
      <c r="C286" s="10" t="s">
        <v>18</v>
      </c>
      <c r="D286" s="13" t="s">
        <v>27</v>
      </c>
      <c r="E286" s="13" t="s">
        <v>3</v>
      </c>
      <c r="F286" s="15">
        <v>46187.446071782397</v>
      </c>
      <c r="G286" s="4">
        <v>46187</v>
      </c>
      <c r="H286" s="1">
        <v>46187.721606307903</v>
      </c>
      <c r="I286" s="22">
        <v>46187</v>
      </c>
      <c r="J286" s="24">
        <f t="shared" si="56"/>
        <v>46187.567279285809</v>
      </c>
      <c r="K286" s="24">
        <f t="shared" si="57"/>
        <v>0.72160630790313007</v>
      </c>
      <c r="L286" s="29">
        <f t="shared" si="63"/>
        <v>46186</v>
      </c>
      <c r="M286" s="27" t="str">
        <f t="shared" si="58"/>
        <v>Medication Change</v>
      </c>
      <c r="N286" s="31">
        <f t="shared" si="59"/>
        <v>0</v>
      </c>
      <c r="O286" s="27"/>
      <c r="Q286" s="8">
        <v>0.12870892188389438</v>
      </c>
      <c r="R286" s="8" t="str">
        <f t="shared" si="60"/>
        <v>Major Delay</v>
      </c>
      <c r="S286" s="33">
        <v>1.7038485302920099</v>
      </c>
      <c r="T286" t="s">
        <v>30</v>
      </c>
      <c r="U286" s="3">
        <v>2</v>
      </c>
      <c r="V286" s="3" t="str">
        <f t="shared" si="64"/>
        <v/>
      </c>
      <c r="W286" s="3" t="s">
        <v>50</v>
      </c>
      <c r="X286" s="32">
        <f t="shared" si="61"/>
        <v>0.15432702209363924</v>
      </c>
      <c r="Z286" s="38">
        <f t="shared" si="65"/>
        <v>2.9327022093639243E-2</v>
      </c>
      <c r="AC286" s="36">
        <v>0.125</v>
      </c>
      <c r="AL286" t="str">
        <f t="shared" si="66"/>
        <v>Medication Change</v>
      </c>
      <c r="AM286" t="str">
        <f t="shared" si="67"/>
        <v>No</v>
      </c>
      <c r="AN286" t="str">
        <f t="shared" si="68"/>
        <v>Elective</v>
      </c>
      <c r="AO286" t="str">
        <f t="shared" si="69"/>
        <v>General Ward</v>
      </c>
    </row>
    <row r="287" spans="1:41" x14ac:dyDescent="0.3">
      <c r="A287" s="21" t="str">
        <f t="shared" si="62"/>
        <v>UHID-00286</v>
      </c>
      <c r="B287" s="18">
        <v>66</v>
      </c>
      <c r="C287" s="10" t="s">
        <v>18</v>
      </c>
      <c r="D287" s="13" t="s">
        <v>26</v>
      </c>
      <c r="E287" s="13" t="s">
        <v>3</v>
      </c>
      <c r="F287" s="15">
        <v>46188.375787488403</v>
      </c>
      <c r="G287" s="4">
        <v>46188</v>
      </c>
      <c r="H287" s="1">
        <v>46188.476800289398</v>
      </c>
      <c r="I287" s="22">
        <v>46188</v>
      </c>
      <c r="J287" s="24">
        <f t="shared" si="56"/>
        <v>46188.346056660979</v>
      </c>
      <c r="K287" s="24">
        <f t="shared" si="57"/>
        <v>0.47680028939794283</v>
      </c>
      <c r="L287" s="29">
        <f t="shared" si="63"/>
        <v>46187</v>
      </c>
      <c r="M287" s="27" t="str">
        <f t="shared" si="58"/>
        <v>TPA Approval Delay</v>
      </c>
      <c r="N287" s="31">
        <f t="shared" si="59"/>
        <v>0</v>
      </c>
      <c r="O287" s="27"/>
      <c r="Q287" s="8">
        <v>0.79441425722202808</v>
      </c>
      <c r="R287" s="8" t="str">
        <f t="shared" si="60"/>
        <v>Major Delay</v>
      </c>
      <c r="S287" s="33">
        <v>3.1378470820109765</v>
      </c>
      <c r="T287" t="s">
        <v>31</v>
      </c>
      <c r="U287" s="3">
        <v>0</v>
      </c>
      <c r="V287" s="3" t="str">
        <f t="shared" si="64"/>
        <v>Normal</v>
      </c>
      <c r="W287" s="3" t="s">
        <v>51</v>
      </c>
      <c r="X287" s="32">
        <f t="shared" si="61"/>
        <v>0.13074362841871334</v>
      </c>
      <c r="Z287" s="38">
        <f t="shared" si="65"/>
        <v>5.7436284187133424E-3</v>
      </c>
      <c r="AC287" s="36">
        <v>0.125</v>
      </c>
      <c r="AL287" t="str">
        <f t="shared" si="66"/>
        <v>TPA Approval Delay</v>
      </c>
      <c r="AM287" t="str">
        <f t="shared" si="67"/>
        <v>No</v>
      </c>
      <c r="AN287" t="str">
        <f t="shared" si="68"/>
        <v>Elective</v>
      </c>
      <c r="AO287" t="str">
        <f t="shared" si="69"/>
        <v>General Ward</v>
      </c>
    </row>
    <row r="288" spans="1:41" x14ac:dyDescent="0.3">
      <c r="A288" s="21" t="str">
        <f t="shared" si="62"/>
        <v>UHID-00287</v>
      </c>
      <c r="B288" s="18">
        <v>75</v>
      </c>
      <c r="C288" s="10" t="s">
        <v>18</v>
      </c>
      <c r="D288" s="13" t="s">
        <v>27</v>
      </c>
      <c r="E288" s="13" t="s">
        <v>3</v>
      </c>
      <c r="F288" s="15">
        <v>46184.773552291699</v>
      </c>
      <c r="G288" s="4">
        <v>46184</v>
      </c>
      <c r="H288" s="1">
        <v>46188.648553715298</v>
      </c>
      <c r="I288" s="22">
        <v>46188</v>
      </c>
      <c r="J288" s="24">
        <f t="shared" si="56"/>
        <v>46188.601165977991</v>
      </c>
      <c r="K288" s="24">
        <f t="shared" si="57"/>
        <v>0.64855371529847616</v>
      </c>
      <c r="L288" s="29">
        <f t="shared" si="63"/>
        <v>46187</v>
      </c>
      <c r="M288" s="27" t="str">
        <f t="shared" si="58"/>
        <v>Normal</v>
      </c>
      <c r="N288" s="31">
        <f t="shared" si="59"/>
        <v>4</v>
      </c>
      <c r="O288" s="27"/>
      <c r="Q288" s="8">
        <v>0.44143205667747742</v>
      </c>
      <c r="R288" s="8" t="str">
        <f t="shared" si="60"/>
        <v>On Time</v>
      </c>
      <c r="S288" s="33">
        <v>1.1373056953073892</v>
      </c>
      <c r="T288" t="s">
        <v>31</v>
      </c>
      <c r="U288" s="3">
        <v>0</v>
      </c>
      <c r="V288" s="3" t="str">
        <f t="shared" si="64"/>
        <v>Normal</v>
      </c>
      <c r="W288" s="3" t="s">
        <v>51</v>
      </c>
      <c r="X288" s="32">
        <f t="shared" si="61"/>
        <v>4.7387737307872158E-2</v>
      </c>
      <c r="Z288" s="38">
        <f t="shared" si="65"/>
        <v>0</v>
      </c>
      <c r="AC288" s="36">
        <v>0.125</v>
      </c>
      <c r="AL288" t="str">
        <f t="shared" si="66"/>
        <v>Normal</v>
      </c>
      <c r="AM288" t="str">
        <f t="shared" si="67"/>
        <v>No</v>
      </c>
      <c r="AN288" t="str">
        <f t="shared" si="68"/>
        <v>Elective</v>
      </c>
      <c r="AO288" t="str">
        <f t="shared" si="69"/>
        <v>HDU</v>
      </c>
    </row>
    <row r="289" spans="1:41" x14ac:dyDescent="0.3">
      <c r="A289" s="21" t="str">
        <f t="shared" si="62"/>
        <v>UHID-00288</v>
      </c>
      <c r="B289" s="18">
        <v>48</v>
      </c>
      <c r="C289" s="10" t="s">
        <v>18</v>
      </c>
      <c r="D289" s="13" t="s">
        <v>26</v>
      </c>
      <c r="E289" s="13" t="s">
        <v>3</v>
      </c>
      <c r="F289" s="15">
        <v>46167.787851307898</v>
      </c>
      <c r="G289" s="4">
        <v>46167</v>
      </c>
      <c r="H289" s="1">
        <v>46187.023611111101</v>
      </c>
      <c r="I289" s="22">
        <v>46187</v>
      </c>
      <c r="J289" s="24">
        <f t="shared" si="56"/>
        <v>46186.756177076568</v>
      </c>
      <c r="K289" s="24">
        <f t="shared" si="57"/>
        <v>2.3611111100763083E-2</v>
      </c>
      <c r="L289" s="29">
        <f t="shared" si="63"/>
        <v>46186</v>
      </c>
      <c r="M289" s="27" t="str">
        <f t="shared" si="58"/>
        <v>Health Deterioration/TPA Approval Delay</v>
      </c>
      <c r="N289" s="31">
        <f t="shared" si="59"/>
        <v>20</v>
      </c>
      <c r="O289" s="27"/>
      <c r="Q289" s="8">
        <v>0.58644429985377944</v>
      </c>
      <c r="R289" s="8" t="str">
        <f t="shared" si="60"/>
        <v>Critical Delay</v>
      </c>
      <c r="S289" s="33">
        <v>3.4184168288345615</v>
      </c>
      <c r="T289" t="s">
        <v>31</v>
      </c>
      <c r="U289" s="3">
        <v>3</v>
      </c>
      <c r="V289" s="3" t="str">
        <f t="shared" si="64"/>
        <v>Normal</v>
      </c>
      <c r="W289" s="3" t="s">
        <v>50</v>
      </c>
      <c r="X289" s="32">
        <f t="shared" si="61"/>
        <v>0.26743403453292558</v>
      </c>
      <c r="Z289" s="38">
        <f t="shared" si="65"/>
        <v>0.14243403453292558</v>
      </c>
      <c r="AC289" s="36">
        <v>0.125</v>
      </c>
      <c r="AL289" t="str">
        <f t="shared" si="66"/>
        <v>Health Deterioration/TPA Approval Delay</v>
      </c>
      <c r="AM289" t="str">
        <f t="shared" si="67"/>
        <v>Yes</v>
      </c>
      <c r="AN289" t="str">
        <f t="shared" si="68"/>
        <v>Emergency</v>
      </c>
      <c r="AO289" t="str">
        <f t="shared" si="69"/>
        <v>ICU</v>
      </c>
    </row>
    <row r="290" spans="1:41" x14ac:dyDescent="0.3">
      <c r="A290" s="21" t="str">
        <f t="shared" si="62"/>
        <v>UHID-00289</v>
      </c>
      <c r="B290" s="18">
        <v>47</v>
      </c>
      <c r="C290" s="10" t="s">
        <v>18</v>
      </c>
      <c r="D290" s="13" t="s">
        <v>27</v>
      </c>
      <c r="E290" s="13" t="s">
        <v>3</v>
      </c>
      <c r="F290" s="15">
        <v>46183.572960023099</v>
      </c>
      <c r="G290" s="4">
        <v>46183</v>
      </c>
      <c r="H290" s="1">
        <v>46188.664942638898</v>
      </c>
      <c r="I290" s="22">
        <v>46188</v>
      </c>
      <c r="J290" s="24">
        <f t="shared" si="56"/>
        <v>46188.605086429525</v>
      </c>
      <c r="K290" s="24">
        <f t="shared" si="57"/>
        <v>0.66494263889762806</v>
      </c>
      <c r="L290" s="29">
        <f t="shared" si="63"/>
        <v>46187</v>
      </c>
      <c r="M290" s="27" t="str">
        <f t="shared" si="58"/>
        <v>Normal</v>
      </c>
      <c r="N290" s="31">
        <f t="shared" si="59"/>
        <v>5</v>
      </c>
      <c r="O290" s="27"/>
      <c r="Q290" s="8">
        <v>0.23862537899181147</v>
      </c>
      <c r="R290" s="8" t="str">
        <f t="shared" si="60"/>
        <v>On Time</v>
      </c>
      <c r="S290" s="33">
        <v>1.4365490249696227</v>
      </c>
      <c r="T290" t="s">
        <v>30</v>
      </c>
      <c r="U290" s="3">
        <v>0</v>
      </c>
      <c r="V290" s="3" t="str">
        <f t="shared" si="64"/>
        <v/>
      </c>
      <c r="W290" s="3" t="s">
        <v>51</v>
      </c>
      <c r="X290" s="32">
        <f t="shared" si="61"/>
        <v>5.9856209372810554E-2</v>
      </c>
      <c r="Z290" s="38">
        <f t="shared" si="65"/>
        <v>0</v>
      </c>
      <c r="AC290" s="36">
        <v>0.125</v>
      </c>
      <c r="AL290" t="str">
        <f t="shared" si="66"/>
        <v>Normal</v>
      </c>
      <c r="AM290" t="str">
        <f t="shared" si="67"/>
        <v>No</v>
      </c>
      <c r="AN290" t="str">
        <f t="shared" si="68"/>
        <v>Elective</v>
      </c>
      <c r="AO290" t="str">
        <f t="shared" si="69"/>
        <v>HDU</v>
      </c>
    </row>
    <row r="291" spans="1:41" x14ac:dyDescent="0.3">
      <c r="A291" s="21" t="str">
        <f t="shared" si="62"/>
        <v>UHID-00290</v>
      </c>
      <c r="B291" s="18">
        <v>42</v>
      </c>
      <c r="C291" s="10" t="s">
        <v>18</v>
      </c>
      <c r="D291" s="13" t="s">
        <v>27</v>
      </c>
      <c r="E291" s="13" t="s">
        <v>3</v>
      </c>
      <c r="F291" s="15">
        <v>46185.608344525499</v>
      </c>
      <c r="G291" s="4">
        <v>46185</v>
      </c>
      <c r="H291" s="1">
        <v>46188.785716666702</v>
      </c>
      <c r="I291" s="22">
        <v>46188</v>
      </c>
      <c r="J291" s="24">
        <f t="shared" si="56"/>
        <v>46188.547716094778</v>
      </c>
      <c r="K291" s="24">
        <f t="shared" si="57"/>
        <v>0.78571666670177365</v>
      </c>
      <c r="L291" s="29">
        <f t="shared" si="63"/>
        <v>46187</v>
      </c>
      <c r="M291" s="27" t="str">
        <f t="shared" si="58"/>
        <v>Health Deterioration</v>
      </c>
      <c r="N291" s="31">
        <f t="shared" si="59"/>
        <v>3</v>
      </c>
      <c r="O291" s="27"/>
      <c r="Q291" s="8">
        <v>4.6763456398859149E-2</v>
      </c>
      <c r="R291" s="8" t="str">
        <f t="shared" si="60"/>
        <v>Critical Delay</v>
      </c>
      <c r="S291" s="33">
        <v>1.7120137261073749</v>
      </c>
      <c r="T291" t="s">
        <v>30</v>
      </c>
      <c r="U291" s="3">
        <v>4</v>
      </c>
      <c r="V291" s="3" t="str">
        <f t="shared" si="64"/>
        <v/>
      </c>
      <c r="W291" s="3" t="s">
        <v>50</v>
      </c>
      <c r="X291" s="32">
        <f t="shared" si="61"/>
        <v>0.23800057192420354</v>
      </c>
      <c r="Z291" s="38">
        <f t="shared" si="65"/>
        <v>0.11300057192420354</v>
      </c>
      <c r="AC291" s="36">
        <v>0.125</v>
      </c>
      <c r="AL291" t="str">
        <f t="shared" si="66"/>
        <v>Health Deterioration</v>
      </c>
      <c r="AM291" t="str">
        <f t="shared" si="67"/>
        <v>No</v>
      </c>
      <c r="AN291" t="str">
        <f t="shared" si="68"/>
        <v>Emergency</v>
      </c>
      <c r="AO291" t="str">
        <f t="shared" si="69"/>
        <v>General Ward</v>
      </c>
    </row>
    <row r="292" spans="1:41" x14ac:dyDescent="0.3">
      <c r="A292" s="21" t="str">
        <f t="shared" si="62"/>
        <v>UHID-00291</v>
      </c>
      <c r="B292" s="18">
        <v>19</v>
      </c>
      <c r="C292" s="10" t="s">
        <v>17</v>
      </c>
      <c r="D292" s="13" t="s">
        <v>27</v>
      </c>
      <c r="E292" s="13" t="s">
        <v>3</v>
      </c>
      <c r="F292" s="15">
        <v>46180.803334884302</v>
      </c>
      <c r="G292" s="4">
        <v>46180</v>
      </c>
      <c r="H292" s="1">
        <v>46188.6445094097</v>
      </c>
      <c r="I292" s="22">
        <v>46188</v>
      </c>
      <c r="J292" s="24">
        <f t="shared" si="56"/>
        <v>46188.493826514547</v>
      </c>
      <c r="K292" s="24">
        <f t="shared" si="57"/>
        <v>0.64450940969982184</v>
      </c>
      <c r="L292" s="29">
        <f t="shared" si="63"/>
        <v>46187</v>
      </c>
      <c r="M292" s="27" t="str">
        <f t="shared" si="58"/>
        <v>Medication Change</v>
      </c>
      <c r="N292" s="31">
        <f t="shared" si="59"/>
        <v>8</v>
      </c>
      <c r="O292" s="27"/>
      <c r="Q292" s="8">
        <v>0.25004593587603485</v>
      </c>
      <c r="R292" s="8" t="str">
        <f t="shared" si="60"/>
        <v>Major Delay</v>
      </c>
      <c r="S292" s="33">
        <v>1.6163894836215673</v>
      </c>
      <c r="T292" t="s">
        <v>30</v>
      </c>
      <c r="U292" s="3">
        <v>2</v>
      </c>
      <c r="V292" s="3" t="str">
        <f t="shared" si="64"/>
        <v/>
      </c>
      <c r="W292" s="3" t="s">
        <v>50</v>
      </c>
      <c r="X292" s="32">
        <f t="shared" si="61"/>
        <v>0.15068289515329525</v>
      </c>
      <c r="Z292" s="38">
        <f t="shared" si="65"/>
        <v>2.5682895153295249E-2</v>
      </c>
      <c r="AC292" s="36">
        <v>0.125</v>
      </c>
      <c r="AL292" t="str">
        <f t="shared" si="66"/>
        <v>Medication Change</v>
      </c>
      <c r="AM292" t="str">
        <f t="shared" si="67"/>
        <v>No</v>
      </c>
      <c r="AN292" t="str">
        <f t="shared" si="68"/>
        <v>Emergency</v>
      </c>
      <c r="AO292" t="str">
        <f t="shared" si="69"/>
        <v>ICU</v>
      </c>
    </row>
    <row r="293" spans="1:41" x14ac:dyDescent="0.3">
      <c r="A293" s="21" t="str">
        <f t="shared" si="62"/>
        <v>UHID-00292</v>
      </c>
      <c r="B293" s="18">
        <v>56</v>
      </c>
      <c r="C293" s="10" t="s">
        <v>18</v>
      </c>
      <c r="D293" s="13" t="s">
        <v>26</v>
      </c>
      <c r="E293" s="13" t="s">
        <v>3</v>
      </c>
      <c r="F293" s="15">
        <v>46171.495680462998</v>
      </c>
      <c r="G293" s="4">
        <v>46171</v>
      </c>
      <c r="H293" s="1">
        <v>46184.753472222197</v>
      </c>
      <c r="I293" s="22">
        <v>46184</v>
      </c>
      <c r="J293" s="24">
        <f t="shared" si="56"/>
        <v>46184.540961817678</v>
      </c>
      <c r="K293" s="24">
        <f t="shared" si="57"/>
        <v>0.75347222219716059</v>
      </c>
      <c r="L293" s="29">
        <f t="shared" si="63"/>
        <v>46183</v>
      </c>
      <c r="M293" s="27" t="str">
        <f t="shared" si="58"/>
        <v>Health Deterioration/TPA Approval Delay</v>
      </c>
      <c r="N293" s="31">
        <f t="shared" si="59"/>
        <v>13</v>
      </c>
      <c r="O293" s="27"/>
      <c r="Q293" s="8">
        <v>0.71092746316473898</v>
      </c>
      <c r="R293" s="8" t="str">
        <f t="shared" si="60"/>
        <v>Critical Delay</v>
      </c>
      <c r="S293" s="33">
        <v>3.1002497084349518</v>
      </c>
      <c r="T293" t="s">
        <v>31</v>
      </c>
      <c r="U293" s="3">
        <v>2</v>
      </c>
      <c r="V293" s="3" t="str">
        <f t="shared" si="64"/>
        <v>Normal</v>
      </c>
      <c r="W293" s="3" t="s">
        <v>50</v>
      </c>
      <c r="X293" s="32">
        <f t="shared" si="61"/>
        <v>0.21251040451898007</v>
      </c>
      <c r="Z293" s="38">
        <f t="shared" si="65"/>
        <v>8.7510404518980067E-2</v>
      </c>
      <c r="AC293" s="36">
        <v>0.125</v>
      </c>
      <c r="AL293" t="str">
        <f t="shared" si="66"/>
        <v>Health Deterioration/TPA Approval Delay</v>
      </c>
      <c r="AM293" t="str">
        <f t="shared" si="67"/>
        <v>Yes</v>
      </c>
      <c r="AN293" t="str">
        <f t="shared" si="68"/>
        <v>Emergency</v>
      </c>
      <c r="AO293" t="str">
        <f t="shared" si="69"/>
        <v>ICU</v>
      </c>
    </row>
    <row r="294" spans="1:41" x14ac:dyDescent="0.3">
      <c r="A294" s="21" t="str">
        <f t="shared" si="62"/>
        <v>UHID-00293</v>
      </c>
      <c r="B294" s="18">
        <v>74</v>
      </c>
      <c r="C294" s="10" t="s">
        <v>18</v>
      </c>
      <c r="D294" s="13" t="s">
        <v>27</v>
      </c>
      <c r="E294" s="13" t="s">
        <v>3</v>
      </c>
      <c r="F294" s="15">
        <v>46172.750113263901</v>
      </c>
      <c r="G294" s="4">
        <v>46172</v>
      </c>
      <c r="H294" s="1">
        <v>46189.339043368098</v>
      </c>
      <c r="I294" s="22">
        <v>46189</v>
      </c>
      <c r="J294" s="24">
        <f t="shared" si="56"/>
        <v>46189.272762042754</v>
      </c>
      <c r="K294" s="24">
        <f t="shared" si="57"/>
        <v>0.33904336809791857</v>
      </c>
      <c r="L294" s="29">
        <f t="shared" si="63"/>
        <v>46188</v>
      </c>
      <c r="M294" s="27" t="str">
        <f t="shared" si="58"/>
        <v>Normal</v>
      </c>
      <c r="N294" s="31">
        <f t="shared" si="59"/>
        <v>17</v>
      </c>
      <c r="O294" s="27"/>
      <c r="Q294" s="8">
        <v>0.40723712250311472</v>
      </c>
      <c r="R294" s="8" t="str">
        <f t="shared" si="60"/>
        <v>On Time</v>
      </c>
      <c r="S294" s="33">
        <v>1.5907518082154586</v>
      </c>
      <c r="T294" t="s">
        <v>31</v>
      </c>
      <c r="U294" s="3">
        <v>0</v>
      </c>
      <c r="V294" s="3" t="str">
        <f t="shared" si="64"/>
        <v>Normal</v>
      </c>
      <c r="W294" s="3" t="s">
        <v>51</v>
      </c>
      <c r="X294" s="32">
        <f t="shared" si="61"/>
        <v>6.6281325343879871E-2</v>
      </c>
      <c r="Z294" s="38">
        <f t="shared" si="65"/>
        <v>0</v>
      </c>
      <c r="AC294" s="36">
        <v>0.125</v>
      </c>
      <c r="AL294" t="str">
        <f t="shared" si="66"/>
        <v>Normal</v>
      </c>
      <c r="AM294" t="str">
        <f t="shared" si="67"/>
        <v>Yes</v>
      </c>
      <c r="AN294" t="str">
        <f t="shared" si="68"/>
        <v>Emergency</v>
      </c>
      <c r="AO294" t="str">
        <f t="shared" si="69"/>
        <v>ICU</v>
      </c>
    </row>
    <row r="295" spans="1:41" x14ac:dyDescent="0.3">
      <c r="A295" s="21" t="str">
        <f t="shared" si="62"/>
        <v>UHID-00294</v>
      </c>
      <c r="B295" s="18">
        <v>60</v>
      </c>
      <c r="C295" s="10" t="s">
        <v>17</v>
      </c>
      <c r="D295" s="13" t="s">
        <v>27</v>
      </c>
      <c r="E295" s="13" t="s">
        <v>3</v>
      </c>
      <c r="F295" s="15">
        <v>46185.679565740698</v>
      </c>
      <c r="G295" s="4">
        <v>46185</v>
      </c>
      <c r="H295" s="1">
        <v>46189.792385995403</v>
      </c>
      <c r="I295" s="22">
        <v>46189</v>
      </c>
      <c r="J295" s="24">
        <f t="shared" si="56"/>
        <v>46189.591485511584</v>
      </c>
      <c r="K295" s="24">
        <f t="shared" si="57"/>
        <v>0.79238599540258292</v>
      </c>
      <c r="L295" s="29">
        <f t="shared" si="63"/>
        <v>46188</v>
      </c>
      <c r="M295" s="27" t="str">
        <f t="shared" si="58"/>
        <v>Medication Change</v>
      </c>
      <c r="N295" s="31">
        <f t="shared" si="59"/>
        <v>4</v>
      </c>
      <c r="O295" s="27"/>
      <c r="Q295" s="8">
        <v>0.15700862348982281</v>
      </c>
      <c r="R295" s="8" t="str">
        <f t="shared" si="60"/>
        <v>Major Delay</v>
      </c>
      <c r="S295" s="33">
        <v>1.8216116116234238</v>
      </c>
      <c r="T295" t="s">
        <v>30</v>
      </c>
      <c r="U295" s="3">
        <v>3</v>
      </c>
      <c r="V295" s="3" t="str">
        <f t="shared" si="64"/>
        <v/>
      </c>
      <c r="W295" s="3" t="s">
        <v>50</v>
      </c>
      <c r="X295" s="32">
        <f t="shared" si="61"/>
        <v>0.20090048381825909</v>
      </c>
      <c r="Z295" s="38">
        <f t="shared" si="65"/>
        <v>7.590048381825909E-2</v>
      </c>
      <c r="AC295" s="36">
        <v>0.125</v>
      </c>
      <c r="AL295" t="str">
        <f t="shared" si="66"/>
        <v>Medication Change</v>
      </c>
      <c r="AM295" t="str">
        <f t="shared" si="67"/>
        <v>No</v>
      </c>
      <c r="AN295" t="str">
        <f t="shared" si="68"/>
        <v>Elective</v>
      </c>
      <c r="AO295" t="str">
        <f t="shared" si="69"/>
        <v>HDU</v>
      </c>
    </row>
    <row r="296" spans="1:41" x14ac:dyDescent="0.3">
      <c r="A296" s="21" t="str">
        <f t="shared" si="62"/>
        <v>UHID-00295</v>
      </c>
      <c r="B296" s="18">
        <v>49</v>
      </c>
      <c r="C296" s="10" t="s">
        <v>18</v>
      </c>
      <c r="D296" s="13" t="s">
        <v>26</v>
      </c>
      <c r="E296" s="13" t="s">
        <v>3</v>
      </c>
      <c r="F296" s="15">
        <v>46188.831350405097</v>
      </c>
      <c r="G296" s="4">
        <v>46188</v>
      </c>
      <c r="H296" s="1">
        <v>46189.452943414399</v>
      </c>
      <c r="I296" s="22">
        <v>46189</v>
      </c>
      <c r="J296" s="24">
        <f t="shared" si="56"/>
        <v>46189.320722220342</v>
      </c>
      <c r="K296" s="24">
        <f t="shared" si="57"/>
        <v>0.45294341439876007</v>
      </c>
      <c r="L296" s="29">
        <f t="shared" si="63"/>
        <v>46188</v>
      </c>
      <c r="M296" s="27" t="str">
        <f t="shared" si="58"/>
        <v>TPA Approval Delay</v>
      </c>
      <c r="N296" s="31">
        <f t="shared" si="59"/>
        <v>1</v>
      </c>
      <c r="O296" s="27"/>
      <c r="Q296" s="8">
        <v>0.66996236996428538</v>
      </c>
      <c r="R296" s="8" t="str">
        <f t="shared" si="60"/>
        <v>Major Delay</v>
      </c>
      <c r="S296" s="33">
        <v>3.1733086572959541</v>
      </c>
      <c r="T296" t="s">
        <v>31</v>
      </c>
      <c r="U296" s="3">
        <v>0</v>
      </c>
      <c r="V296" s="3" t="str">
        <f t="shared" si="64"/>
        <v>Normal</v>
      </c>
      <c r="W296" s="3" t="s">
        <v>51</v>
      </c>
      <c r="X296" s="32">
        <f t="shared" si="61"/>
        <v>0.13222119405691046</v>
      </c>
      <c r="Z296" s="38">
        <f t="shared" si="65"/>
        <v>7.2211940569104627E-3</v>
      </c>
      <c r="AC296" s="36">
        <v>0.125</v>
      </c>
      <c r="AL296" t="str">
        <f t="shared" si="66"/>
        <v>TPA Approval Delay</v>
      </c>
      <c r="AM296" t="str">
        <f t="shared" si="67"/>
        <v>No</v>
      </c>
      <c r="AN296" t="str">
        <f t="shared" si="68"/>
        <v>Elective</v>
      </c>
      <c r="AO296" t="str">
        <f t="shared" si="69"/>
        <v>General Ward</v>
      </c>
    </row>
    <row r="297" spans="1:41" x14ac:dyDescent="0.3">
      <c r="A297" s="21" t="str">
        <f t="shared" si="62"/>
        <v>UHID-00296</v>
      </c>
      <c r="B297" s="18">
        <v>53</v>
      </c>
      <c r="C297" s="10" t="s">
        <v>17</v>
      </c>
      <c r="D297" s="13" t="s">
        <v>27</v>
      </c>
      <c r="E297" s="13" t="s">
        <v>3</v>
      </c>
      <c r="F297" s="15">
        <v>46186.705415162003</v>
      </c>
      <c r="G297" s="4">
        <v>46186</v>
      </c>
      <c r="H297" s="1">
        <v>46189.531494131901</v>
      </c>
      <c r="I297" s="22">
        <v>46189</v>
      </c>
      <c r="J297" s="24">
        <f t="shared" si="56"/>
        <v>46189.474208750573</v>
      </c>
      <c r="K297" s="24">
        <f t="shared" si="57"/>
        <v>0.53149413190112682</v>
      </c>
      <c r="L297" s="29">
        <f t="shared" si="63"/>
        <v>46188</v>
      </c>
      <c r="M297" s="27" t="str">
        <f t="shared" si="58"/>
        <v>Normal</v>
      </c>
      <c r="N297" s="31">
        <f t="shared" si="59"/>
        <v>3</v>
      </c>
      <c r="O297" s="27"/>
      <c r="Q297" s="8">
        <v>0.10288766205925781</v>
      </c>
      <c r="R297" s="8" t="str">
        <f t="shared" si="60"/>
        <v>On Time</v>
      </c>
      <c r="S297" s="33">
        <v>1.3748491519095132</v>
      </c>
      <c r="T297" t="s">
        <v>30</v>
      </c>
      <c r="U297" s="3">
        <v>0</v>
      </c>
      <c r="V297" s="3" t="str">
        <f t="shared" si="64"/>
        <v/>
      </c>
      <c r="W297" s="3" t="s">
        <v>51</v>
      </c>
      <c r="X297" s="32">
        <f t="shared" si="61"/>
        <v>5.7285381328256335E-2</v>
      </c>
      <c r="Z297" s="38">
        <f t="shared" si="65"/>
        <v>0</v>
      </c>
      <c r="AC297" s="36">
        <v>0.125</v>
      </c>
      <c r="AL297" t="str">
        <f t="shared" si="66"/>
        <v>Normal</v>
      </c>
      <c r="AM297" t="str">
        <f t="shared" si="67"/>
        <v>No</v>
      </c>
      <c r="AN297" t="str">
        <f t="shared" si="68"/>
        <v>Elective</v>
      </c>
      <c r="AO297" t="str">
        <f t="shared" si="69"/>
        <v>General Ward</v>
      </c>
    </row>
    <row r="298" spans="1:41" x14ac:dyDescent="0.3">
      <c r="A298" s="21" t="str">
        <f t="shared" si="62"/>
        <v>UHID-00297</v>
      </c>
      <c r="B298" s="18">
        <v>82</v>
      </c>
      <c r="C298" s="10" t="s">
        <v>17</v>
      </c>
      <c r="D298" s="13" t="s">
        <v>28</v>
      </c>
      <c r="E298" s="13" t="s">
        <v>3</v>
      </c>
      <c r="F298" s="15">
        <v>46189.370331724502</v>
      </c>
      <c r="G298" s="4">
        <v>46189</v>
      </c>
      <c r="H298" s="1">
        <v>46189.601655694401</v>
      </c>
      <c r="I298" s="22">
        <v>46189</v>
      </c>
      <c r="J298" s="24">
        <f t="shared" si="56"/>
        <v>46189.499340889619</v>
      </c>
      <c r="K298" s="24">
        <f t="shared" si="57"/>
        <v>0.60165569440141553</v>
      </c>
      <c r="L298" s="29">
        <f t="shared" si="63"/>
        <v>46188</v>
      </c>
      <c r="M298" s="27" t="str">
        <f t="shared" si="58"/>
        <v>Doctor Round Delay/Report Delay</v>
      </c>
      <c r="N298" s="31">
        <f t="shared" si="59"/>
        <v>0</v>
      </c>
      <c r="O298" s="27"/>
      <c r="Q298" s="8">
        <v>0.9652047419381089</v>
      </c>
      <c r="R298" s="8" t="str">
        <f t="shared" si="60"/>
        <v>Minor Delay</v>
      </c>
      <c r="S298" s="33">
        <v>2.4555553147554674</v>
      </c>
      <c r="T298" t="s">
        <v>31</v>
      </c>
      <c r="U298" s="3">
        <v>0</v>
      </c>
      <c r="V298" s="3" t="str">
        <f t="shared" si="64"/>
        <v>Normal</v>
      </c>
      <c r="W298" s="3" t="s">
        <v>51</v>
      </c>
      <c r="X298" s="32">
        <f t="shared" si="61"/>
        <v>0.10231480478250887</v>
      </c>
      <c r="Z298" s="38">
        <f t="shared" si="65"/>
        <v>0</v>
      </c>
      <c r="AC298" s="36">
        <v>0.125</v>
      </c>
      <c r="AL298" t="str">
        <f t="shared" si="66"/>
        <v>Doctor Round Delay/Report Delay</v>
      </c>
      <c r="AM298" t="str">
        <f t="shared" si="67"/>
        <v>No</v>
      </c>
      <c r="AN298" t="str">
        <f t="shared" si="68"/>
        <v>Elective</v>
      </c>
      <c r="AO298" t="str">
        <f t="shared" si="69"/>
        <v>General Ward</v>
      </c>
    </row>
    <row r="299" spans="1:41" x14ac:dyDescent="0.3">
      <c r="A299" s="21" t="str">
        <f t="shared" si="62"/>
        <v>UHID-00298</v>
      </c>
      <c r="B299" s="18">
        <v>37</v>
      </c>
      <c r="C299" s="10" t="s">
        <v>17</v>
      </c>
      <c r="D299" s="13" t="s">
        <v>26</v>
      </c>
      <c r="E299" s="13" t="s">
        <v>3</v>
      </c>
      <c r="F299" s="15">
        <v>46184.805155937502</v>
      </c>
      <c r="G299" s="4">
        <v>46184</v>
      </c>
      <c r="H299" s="1">
        <v>46189.636909444402</v>
      </c>
      <c r="I299" s="22">
        <v>46189</v>
      </c>
      <c r="J299" s="24">
        <f t="shared" si="56"/>
        <v>46189.397322912235</v>
      </c>
      <c r="K299" s="24">
        <f t="shared" si="57"/>
        <v>0.63690944440168096</v>
      </c>
      <c r="L299" s="29">
        <f t="shared" si="63"/>
        <v>46188</v>
      </c>
      <c r="M299" s="27" t="str">
        <f t="shared" si="58"/>
        <v>Health Deterioration/TPA Approval Delay</v>
      </c>
      <c r="N299" s="31">
        <f t="shared" si="59"/>
        <v>5</v>
      </c>
      <c r="O299" s="27"/>
      <c r="Q299" s="8">
        <v>0.72828174652612332</v>
      </c>
      <c r="R299" s="8" t="str">
        <f t="shared" si="60"/>
        <v>Critical Delay</v>
      </c>
      <c r="S299" s="33">
        <v>3.7500767719896455</v>
      </c>
      <c r="T299" t="s">
        <v>31</v>
      </c>
      <c r="U299" s="3">
        <v>2</v>
      </c>
      <c r="V299" s="3" t="str">
        <f t="shared" si="64"/>
        <v>Normal</v>
      </c>
      <c r="W299" s="3" t="s">
        <v>50</v>
      </c>
      <c r="X299" s="32">
        <f t="shared" si="61"/>
        <v>0.23958653216686798</v>
      </c>
      <c r="Z299" s="38">
        <f t="shared" si="65"/>
        <v>0.11458653216686798</v>
      </c>
      <c r="AC299" s="36">
        <v>0.125</v>
      </c>
      <c r="AL299" t="str">
        <f t="shared" si="66"/>
        <v>Health Deterioration/TPA Approval Delay</v>
      </c>
      <c r="AM299" t="str">
        <f t="shared" si="67"/>
        <v>No</v>
      </c>
      <c r="AN299" t="str">
        <f t="shared" si="68"/>
        <v>Emergency</v>
      </c>
      <c r="AO299" t="str">
        <f t="shared" si="69"/>
        <v>HDU</v>
      </c>
    </row>
    <row r="300" spans="1:41" x14ac:dyDescent="0.3">
      <c r="A300" s="21" t="str">
        <f t="shared" si="62"/>
        <v>UHID-00299</v>
      </c>
      <c r="B300" s="18">
        <v>79</v>
      </c>
      <c r="C300" s="10" t="s">
        <v>18</v>
      </c>
      <c r="D300" s="13" t="s">
        <v>26</v>
      </c>
      <c r="E300" s="13" t="s">
        <v>3</v>
      </c>
      <c r="F300" s="15">
        <v>46189.403962002303</v>
      </c>
      <c r="G300" s="4">
        <v>46189</v>
      </c>
      <c r="H300" s="1">
        <v>46189.638235787002</v>
      </c>
      <c r="I300" s="22">
        <v>46189</v>
      </c>
      <c r="J300" s="24">
        <f t="shared" si="56"/>
        <v>46189.498256721381</v>
      </c>
      <c r="K300" s="24">
        <f t="shared" si="57"/>
        <v>0.63823578700248618</v>
      </c>
      <c r="L300" s="29">
        <f t="shared" si="63"/>
        <v>46188</v>
      </c>
      <c r="M300" s="27" t="str">
        <f t="shared" si="58"/>
        <v>TPA Approval Delay</v>
      </c>
      <c r="N300" s="31">
        <f t="shared" si="59"/>
        <v>0</v>
      </c>
      <c r="O300" s="27"/>
      <c r="Q300" s="8">
        <v>0.68139101274611991</v>
      </c>
      <c r="R300" s="8" t="str">
        <f t="shared" si="60"/>
        <v>Major Delay</v>
      </c>
      <c r="S300" s="33">
        <v>3.3594975748934939</v>
      </c>
      <c r="T300" t="s">
        <v>31</v>
      </c>
      <c r="U300" s="3">
        <v>0</v>
      </c>
      <c r="V300" s="3" t="str">
        <f t="shared" si="64"/>
        <v>Normal</v>
      </c>
      <c r="W300" s="3" t="s">
        <v>51</v>
      </c>
      <c r="X300" s="32">
        <f t="shared" si="61"/>
        <v>0.13997906562144635</v>
      </c>
      <c r="Z300" s="38">
        <f t="shared" si="65"/>
        <v>1.4979065621446352E-2</v>
      </c>
      <c r="AC300" s="36">
        <v>0.125</v>
      </c>
      <c r="AL300" t="str">
        <f t="shared" si="66"/>
        <v>TPA Approval Delay</v>
      </c>
      <c r="AM300" t="str">
        <f t="shared" si="67"/>
        <v>No</v>
      </c>
      <c r="AN300" t="str">
        <f t="shared" si="68"/>
        <v>Elective</v>
      </c>
      <c r="AO300" t="str">
        <f t="shared" si="69"/>
        <v>General Ward</v>
      </c>
    </row>
    <row r="301" spans="1:41" x14ac:dyDescent="0.3">
      <c r="A301" s="21" t="str">
        <f t="shared" si="62"/>
        <v>UHID-00300</v>
      </c>
      <c r="B301" s="18">
        <v>34</v>
      </c>
      <c r="C301" s="10" t="s">
        <v>18</v>
      </c>
      <c r="D301" s="13" t="s">
        <v>27</v>
      </c>
      <c r="E301" s="13" t="s">
        <v>3</v>
      </c>
      <c r="F301" s="15">
        <v>46188.094713981503</v>
      </c>
      <c r="G301" s="4">
        <v>46188</v>
      </c>
      <c r="H301" s="1">
        <v>46189.715334270797</v>
      </c>
      <c r="I301" s="22">
        <v>46189</v>
      </c>
      <c r="J301" s="24">
        <f t="shared" si="56"/>
        <v>46189.423087904113</v>
      </c>
      <c r="K301" s="24">
        <f t="shared" si="57"/>
        <v>0.7153342707970296</v>
      </c>
      <c r="L301" s="29">
        <f t="shared" si="63"/>
        <v>46188</v>
      </c>
      <c r="M301" s="27" t="str">
        <f t="shared" si="58"/>
        <v>Health Deterioration</v>
      </c>
      <c r="N301" s="31">
        <f t="shared" si="59"/>
        <v>1</v>
      </c>
      <c r="O301" s="27"/>
      <c r="Q301" s="8">
        <v>0.13605734799909863</v>
      </c>
      <c r="R301" s="8" t="str">
        <f t="shared" si="60"/>
        <v>Critical Delay</v>
      </c>
      <c r="S301" s="33">
        <v>1.0139128004520321</v>
      </c>
      <c r="T301" t="s">
        <v>30</v>
      </c>
      <c r="U301" s="3">
        <v>6</v>
      </c>
      <c r="V301" s="3" t="str">
        <f t="shared" si="64"/>
        <v/>
      </c>
      <c r="W301" s="3" t="s">
        <v>52</v>
      </c>
      <c r="X301" s="32">
        <f t="shared" si="61"/>
        <v>0.29224636668368476</v>
      </c>
      <c r="Z301" s="38">
        <f t="shared" si="65"/>
        <v>0.16724636668368476</v>
      </c>
      <c r="AC301" s="36">
        <v>0.125</v>
      </c>
      <c r="AL301" t="str">
        <f t="shared" si="66"/>
        <v>Health Deterioration</v>
      </c>
      <c r="AM301" t="str">
        <f t="shared" si="67"/>
        <v>No</v>
      </c>
      <c r="AN301" t="str">
        <f t="shared" si="68"/>
        <v>Emergency</v>
      </c>
      <c r="AO301" t="str">
        <f t="shared" si="69"/>
        <v>General Ward</v>
      </c>
    </row>
    <row r="302" spans="1:41" x14ac:dyDescent="0.3">
      <c r="A302" s="21" t="str">
        <f t="shared" si="62"/>
        <v>UHID-00301</v>
      </c>
      <c r="B302" s="18">
        <v>70</v>
      </c>
      <c r="C302" s="10" t="s">
        <v>17</v>
      </c>
      <c r="D302" s="13" t="s">
        <v>27</v>
      </c>
      <c r="E302" s="13" t="s">
        <v>3</v>
      </c>
      <c r="F302" s="15">
        <v>46187.737248819401</v>
      </c>
      <c r="G302" s="4">
        <v>46187</v>
      </c>
      <c r="H302" s="1">
        <v>46189.957675428202</v>
      </c>
      <c r="I302" s="22">
        <v>46189</v>
      </c>
      <c r="J302" s="24">
        <f t="shared" si="56"/>
        <v>46189.886847279617</v>
      </c>
      <c r="K302" s="24">
        <f t="shared" si="57"/>
        <v>0.95767542820249218</v>
      </c>
      <c r="L302" s="29">
        <f t="shared" si="63"/>
        <v>46188</v>
      </c>
      <c r="M302" s="27" t="str">
        <f t="shared" si="58"/>
        <v>Normal</v>
      </c>
      <c r="N302" s="31">
        <f t="shared" si="59"/>
        <v>2</v>
      </c>
      <c r="O302" s="27"/>
      <c r="Q302" s="8">
        <v>0.25859676630673201</v>
      </c>
      <c r="R302" s="8" t="str">
        <f t="shared" si="60"/>
        <v>On Time</v>
      </c>
      <c r="S302" s="33">
        <v>1.6998755659905063</v>
      </c>
      <c r="T302" t="s">
        <v>30</v>
      </c>
      <c r="U302" s="3">
        <v>0</v>
      </c>
      <c r="V302" s="3" t="str">
        <f t="shared" si="64"/>
        <v/>
      </c>
      <c r="W302" s="3" t="s">
        <v>51</v>
      </c>
      <c r="X302" s="32">
        <f t="shared" si="61"/>
        <v>7.0828148585860617E-2</v>
      </c>
      <c r="Z302" s="38">
        <f t="shared" si="65"/>
        <v>0</v>
      </c>
      <c r="AC302" s="36">
        <v>0.125</v>
      </c>
      <c r="AL302" t="str">
        <f t="shared" si="66"/>
        <v>Normal</v>
      </c>
      <c r="AM302" t="str">
        <f t="shared" si="67"/>
        <v>No</v>
      </c>
      <c r="AN302" t="str">
        <f t="shared" si="68"/>
        <v>Elective</v>
      </c>
      <c r="AO302" t="str">
        <f t="shared" si="69"/>
        <v>General Ward</v>
      </c>
    </row>
    <row r="303" spans="1:41" x14ac:dyDescent="0.3">
      <c r="A303" s="21" t="str">
        <f t="shared" si="62"/>
        <v>UHID-00302</v>
      </c>
      <c r="B303" s="18">
        <v>49</v>
      </c>
      <c r="C303" s="10" t="s">
        <v>18</v>
      </c>
      <c r="D303" s="13" t="s">
        <v>27</v>
      </c>
      <c r="E303" s="13" t="s">
        <v>3</v>
      </c>
      <c r="F303" s="15">
        <v>46188.6897188773</v>
      </c>
      <c r="G303" s="4">
        <v>46188</v>
      </c>
      <c r="H303" s="1">
        <v>46190.499566944403</v>
      </c>
      <c r="I303" s="22">
        <v>46190</v>
      </c>
      <c r="J303" s="24">
        <f t="shared" si="56"/>
        <v>46190.439788123847</v>
      </c>
      <c r="K303" s="24">
        <f t="shared" si="57"/>
        <v>0.49956694440334104</v>
      </c>
      <c r="L303" s="29">
        <f t="shared" si="63"/>
        <v>46189</v>
      </c>
      <c r="M303" s="27" t="str">
        <f t="shared" si="58"/>
        <v>Normal</v>
      </c>
      <c r="N303" s="31">
        <f t="shared" si="59"/>
        <v>2</v>
      </c>
      <c r="O303" s="27"/>
      <c r="Q303" s="8">
        <v>0.47546438294655524</v>
      </c>
      <c r="R303" s="8" t="str">
        <f t="shared" si="60"/>
        <v>On Time</v>
      </c>
      <c r="S303" s="33">
        <v>1.4346916932884617</v>
      </c>
      <c r="T303" t="s">
        <v>31</v>
      </c>
      <c r="U303" s="3">
        <v>0</v>
      </c>
      <c r="V303" s="3" t="str">
        <f t="shared" si="64"/>
        <v>Normal</v>
      </c>
      <c r="W303" s="3" t="s">
        <v>51</v>
      </c>
      <c r="X303" s="32">
        <f t="shared" si="61"/>
        <v>5.9778820555948187E-2</v>
      </c>
      <c r="Z303" s="38">
        <f t="shared" si="65"/>
        <v>0</v>
      </c>
      <c r="AC303" s="36">
        <v>0.125</v>
      </c>
      <c r="AL303" t="str">
        <f t="shared" si="66"/>
        <v>Normal</v>
      </c>
      <c r="AM303" t="str">
        <f t="shared" si="67"/>
        <v>No</v>
      </c>
      <c r="AN303" t="str">
        <f t="shared" si="68"/>
        <v>Elective</v>
      </c>
      <c r="AO303" t="str">
        <f t="shared" si="69"/>
        <v>General Ward</v>
      </c>
    </row>
    <row r="304" spans="1:41" x14ac:dyDescent="0.3">
      <c r="A304" s="21" t="str">
        <f t="shared" si="62"/>
        <v>UHID-00303</v>
      </c>
      <c r="B304" s="18">
        <v>58</v>
      </c>
      <c r="C304" s="10" t="s">
        <v>18</v>
      </c>
      <c r="D304" s="13" t="s">
        <v>27</v>
      </c>
      <c r="E304" s="13" t="s">
        <v>3</v>
      </c>
      <c r="F304" s="15">
        <v>46189.440222303201</v>
      </c>
      <c r="G304" s="4">
        <v>46189</v>
      </c>
      <c r="H304" s="1">
        <v>46190.611153124999</v>
      </c>
      <c r="I304" s="22">
        <v>46190</v>
      </c>
      <c r="J304" s="24">
        <f t="shared" si="56"/>
        <v>46190.552605850673</v>
      </c>
      <c r="K304" s="24">
        <f t="shared" si="57"/>
        <v>0.6111531249989639</v>
      </c>
      <c r="L304" s="29">
        <f t="shared" si="63"/>
        <v>46189</v>
      </c>
      <c r="M304" s="27" t="str">
        <f t="shared" si="58"/>
        <v>Normal</v>
      </c>
      <c r="N304" s="31">
        <f t="shared" si="59"/>
        <v>1</v>
      </c>
      <c r="O304" s="27"/>
      <c r="Q304" s="8">
        <v>0.16979479927504448</v>
      </c>
      <c r="R304" s="8" t="str">
        <f t="shared" si="60"/>
        <v>On Time</v>
      </c>
      <c r="S304" s="33">
        <v>1.4051345839094673</v>
      </c>
      <c r="T304" t="s">
        <v>30</v>
      </c>
      <c r="U304" s="3">
        <v>0</v>
      </c>
      <c r="V304" s="3" t="str">
        <f t="shared" si="64"/>
        <v/>
      </c>
      <c r="W304" s="3" t="s">
        <v>51</v>
      </c>
      <c r="X304" s="32">
        <f t="shared" si="61"/>
        <v>5.8547274325974286E-2</v>
      </c>
      <c r="Z304" s="38">
        <f t="shared" si="65"/>
        <v>0</v>
      </c>
      <c r="AC304" s="36">
        <v>0.125</v>
      </c>
      <c r="AL304" t="str">
        <f t="shared" si="66"/>
        <v>Normal</v>
      </c>
      <c r="AM304" t="str">
        <f t="shared" si="67"/>
        <v>No</v>
      </c>
      <c r="AN304" t="str">
        <f t="shared" si="68"/>
        <v>Elective</v>
      </c>
      <c r="AO304" t="str">
        <f t="shared" si="69"/>
        <v>General Ward</v>
      </c>
    </row>
    <row r="305" spans="1:41" x14ac:dyDescent="0.3">
      <c r="A305" s="21" t="str">
        <f t="shared" si="62"/>
        <v>UHID-00304</v>
      </c>
      <c r="B305" s="18">
        <v>20</v>
      </c>
      <c r="C305" s="10" t="s">
        <v>18</v>
      </c>
      <c r="D305" s="13" t="s">
        <v>27</v>
      </c>
      <c r="E305" s="13" t="s">
        <v>3</v>
      </c>
      <c r="F305" s="15">
        <v>46187.8222354514</v>
      </c>
      <c r="G305" s="4">
        <v>46187</v>
      </c>
      <c r="H305" s="1">
        <v>46190.616712199102</v>
      </c>
      <c r="I305" s="22">
        <v>46190</v>
      </c>
      <c r="J305" s="24">
        <f t="shared" si="56"/>
        <v>46190.571613475273</v>
      </c>
      <c r="K305" s="24">
        <f t="shared" si="57"/>
        <v>0.61671219910203945</v>
      </c>
      <c r="L305" s="29">
        <f t="shared" si="63"/>
        <v>46189</v>
      </c>
      <c r="M305" s="27" t="str">
        <f t="shared" si="58"/>
        <v>Normal</v>
      </c>
      <c r="N305" s="31">
        <f t="shared" si="59"/>
        <v>3</v>
      </c>
      <c r="O305" s="27"/>
      <c r="Q305" s="8">
        <v>0.17634562123578779</v>
      </c>
      <c r="R305" s="8" t="str">
        <f t="shared" si="60"/>
        <v>On Time</v>
      </c>
      <c r="S305" s="33">
        <v>1.0823693718764242</v>
      </c>
      <c r="T305" t="s">
        <v>30</v>
      </c>
      <c r="U305" s="3">
        <v>0</v>
      </c>
      <c r="V305" s="3" t="str">
        <f t="shared" si="64"/>
        <v/>
      </c>
      <c r="W305" s="3" t="s">
        <v>51</v>
      </c>
      <c r="X305" s="32">
        <f t="shared" si="61"/>
        <v>4.5098723829141818E-2</v>
      </c>
      <c r="Z305" s="38">
        <f t="shared" si="65"/>
        <v>0</v>
      </c>
      <c r="AC305" s="36">
        <v>0.125</v>
      </c>
      <c r="AL305" t="str">
        <f t="shared" si="66"/>
        <v>Normal</v>
      </c>
      <c r="AM305" t="str">
        <f t="shared" si="67"/>
        <v>No</v>
      </c>
      <c r="AN305" t="str">
        <f t="shared" si="68"/>
        <v>Elective</v>
      </c>
      <c r="AO305" t="str">
        <f t="shared" si="69"/>
        <v>General Ward</v>
      </c>
    </row>
    <row r="306" spans="1:41" x14ac:dyDescent="0.3">
      <c r="A306" s="21" t="str">
        <f t="shared" si="62"/>
        <v>UHID-00305</v>
      </c>
      <c r="B306" s="18">
        <v>29</v>
      </c>
      <c r="C306" s="10" t="s">
        <v>18</v>
      </c>
      <c r="D306" s="13" t="s">
        <v>26</v>
      </c>
      <c r="E306" s="13" t="s">
        <v>3</v>
      </c>
      <c r="F306" s="15">
        <v>46188.524871967602</v>
      </c>
      <c r="G306" s="4">
        <v>46188</v>
      </c>
      <c r="H306" s="1">
        <v>46190.652897615699</v>
      </c>
      <c r="I306" s="22">
        <v>46190</v>
      </c>
      <c r="J306" s="24">
        <f t="shared" si="56"/>
        <v>46190.180196084773</v>
      </c>
      <c r="K306" s="24">
        <f t="shared" si="57"/>
        <v>0.65289761569874827</v>
      </c>
      <c r="L306" s="29">
        <f t="shared" si="63"/>
        <v>46189</v>
      </c>
      <c r="M306" s="27" t="str">
        <f t="shared" si="58"/>
        <v>Health Deterioration/TPA Approval Delay</v>
      </c>
      <c r="N306" s="31">
        <f t="shared" si="59"/>
        <v>2</v>
      </c>
      <c r="O306" s="27"/>
      <c r="Q306" s="8">
        <v>0.75593547961687491</v>
      </c>
      <c r="R306" s="8" t="str">
        <f t="shared" si="60"/>
        <v>Critical Delay</v>
      </c>
      <c r="S306" s="33">
        <v>3.34483674224336</v>
      </c>
      <c r="T306" t="s">
        <v>31</v>
      </c>
      <c r="U306" s="3">
        <v>8</v>
      </c>
      <c r="V306" s="3" t="str">
        <f t="shared" si="64"/>
        <v>Normal</v>
      </c>
      <c r="W306" s="3" t="s">
        <v>52</v>
      </c>
      <c r="X306" s="32">
        <f t="shared" si="61"/>
        <v>0.47270153092540568</v>
      </c>
      <c r="Z306" s="38">
        <f t="shared" si="65"/>
        <v>0.34770153092540568</v>
      </c>
      <c r="AC306" s="36">
        <v>0.125</v>
      </c>
      <c r="AL306" t="str">
        <f t="shared" si="66"/>
        <v>Health Deterioration/TPA Approval Delay</v>
      </c>
      <c r="AM306" t="str">
        <f t="shared" si="67"/>
        <v>No</v>
      </c>
      <c r="AN306" t="str">
        <f t="shared" si="68"/>
        <v>Emergency</v>
      </c>
      <c r="AO306" t="str">
        <f t="shared" si="69"/>
        <v>General Ward</v>
      </c>
    </row>
    <row r="307" spans="1:41" x14ac:dyDescent="0.3">
      <c r="A307" s="21" t="str">
        <f t="shared" si="62"/>
        <v>UHID-00306</v>
      </c>
      <c r="B307" s="18">
        <v>70</v>
      </c>
      <c r="C307" s="10" t="s">
        <v>17</v>
      </c>
      <c r="D307" s="13" t="s">
        <v>26</v>
      </c>
      <c r="E307" s="13" t="s">
        <v>3</v>
      </c>
      <c r="F307" s="15">
        <v>46186.836716747697</v>
      </c>
      <c r="G307" s="4">
        <v>46186</v>
      </c>
      <c r="H307" s="1">
        <v>46190.638256527804</v>
      </c>
      <c r="I307" s="22">
        <v>46190</v>
      </c>
      <c r="J307" s="24">
        <f t="shared" si="56"/>
        <v>46190.490045003484</v>
      </c>
      <c r="K307" s="24">
        <f t="shared" si="57"/>
        <v>0.63825652780360542</v>
      </c>
      <c r="L307" s="29">
        <f t="shared" si="63"/>
        <v>46189</v>
      </c>
      <c r="M307" s="27" t="str">
        <f t="shared" si="58"/>
        <v>TPA Approval Delay</v>
      </c>
      <c r="N307" s="31">
        <f t="shared" si="59"/>
        <v>4</v>
      </c>
      <c r="O307" s="27"/>
      <c r="Q307" s="8">
        <v>0.69732720722078467</v>
      </c>
      <c r="R307" s="8" t="str">
        <f t="shared" si="60"/>
        <v>Major Delay</v>
      </c>
      <c r="S307" s="33">
        <v>3.5570765836298484</v>
      </c>
      <c r="T307" t="s">
        <v>31</v>
      </c>
      <c r="U307" s="3">
        <v>0</v>
      </c>
      <c r="V307" s="3" t="str">
        <f t="shared" si="64"/>
        <v>Normal</v>
      </c>
      <c r="W307" s="3" t="s">
        <v>51</v>
      </c>
      <c r="X307" s="32">
        <f t="shared" si="61"/>
        <v>0.1482115243197768</v>
      </c>
      <c r="Z307" s="38">
        <f t="shared" si="65"/>
        <v>2.32115243197768E-2</v>
      </c>
      <c r="AC307" s="36">
        <v>0.125</v>
      </c>
      <c r="AL307" t="str">
        <f t="shared" si="66"/>
        <v>TPA Approval Delay</v>
      </c>
      <c r="AM307" t="str">
        <f t="shared" si="67"/>
        <v>No</v>
      </c>
      <c r="AN307" t="str">
        <f t="shared" si="68"/>
        <v>Elective</v>
      </c>
      <c r="AO307" t="str">
        <f t="shared" si="69"/>
        <v>HDU</v>
      </c>
    </row>
    <row r="308" spans="1:41" x14ac:dyDescent="0.3">
      <c r="A308" s="21" t="str">
        <f t="shared" si="62"/>
        <v>UHID-00307</v>
      </c>
      <c r="B308" s="18">
        <v>59</v>
      </c>
      <c r="C308" s="10" t="s">
        <v>17</v>
      </c>
      <c r="D308" s="13" t="s">
        <v>26</v>
      </c>
      <c r="E308" s="13" t="s">
        <v>3</v>
      </c>
      <c r="F308" s="15">
        <v>46185.628428472199</v>
      </c>
      <c r="G308" s="4">
        <v>46185</v>
      </c>
      <c r="H308" s="1">
        <v>46190.6181045255</v>
      </c>
      <c r="I308" s="22">
        <v>46190</v>
      </c>
      <c r="J308" s="24">
        <f t="shared" si="56"/>
        <v>46190.452536643825</v>
      </c>
      <c r="K308" s="24">
        <f t="shared" si="57"/>
        <v>0.61810452549980255</v>
      </c>
      <c r="L308" s="29">
        <f t="shared" si="63"/>
        <v>46189</v>
      </c>
      <c r="M308" s="27" t="str">
        <f t="shared" si="58"/>
        <v>TPA Approval Delay</v>
      </c>
      <c r="N308" s="31">
        <f t="shared" si="59"/>
        <v>5</v>
      </c>
      <c r="O308" s="27"/>
      <c r="Q308" s="8">
        <v>0.64351732691349006</v>
      </c>
      <c r="R308" s="8" t="str">
        <f t="shared" si="60"/>
        <v>Major Delay</v>
      </c>
      <c r="S308" s="33">
        <v>3.9736291601622602</v>
      </c>
      <c r="T308" t="s">
        <v>31</v>
      </c>
      <c r="U308" s="3">
        <v>0</v>
      </c>
      <c r="V308" s="3" t="str">
        <f t="shared" si="64"/>
        <v>Normal</v>
      </c>
      <c r="W308" s="3" t="s">
        <v>51</v>
      </c>
      <c r="X308" s="32">
        <f t="shared" si="61"/>
        <v>0.16556788167508785</v>
      </c>
      <c r="Z308" s="38">
        <f t="shared" si="65"/>
        <v>4.0567881675087847E-2</v>
      </c>
      <c r="AC308" s="36">
        <v>0.125</v>
      </c>
      <c r="AL308" t="str">
        <f t="shared" si="66"/>
        <v>TPA Approval Delay</v>
      </c>
      <c r="AM308" t="str">
        <f t="shared" si="67"/>
        <v>No</v>
      </c>
      <c r="AN308" t="str">
        <f t="shared" si="68"/>
        <v>Elective</v>
      </c>
      <c r="AO308" t="str">
        <f t="shared" si="69"/>
        <v>HDU</v>
      </c>
    </row>
    <row r="309" spans="1:41" x14ac:dyDescent="0.3">
      <c r="A309" s="21" t="str">
        <f t="shared" si="62"/>
        <v>UHID-00308</v>
      </c>
      <c r="B309" s="18">
        <v>58</v>
      </c>
      <c r="C309" s="10" t="s">
        <v>17</v>
      </c>
      <c r="D309" s="13" t="s">
        <v>26</v>
      </c>
      <c r="E309" s="13" t="s">
        <v>3</v>
      </c>
      <c r="F309" s="15">
        <v>46185.515699259297</v>
      </c>
      <c r="G309" s="4">
        <v>46185</v>
      </c>
      <c r="H309" s="1">
        <v>46190.502382291699</v>
      </c>
      <c r="I309" s="22">
        <v>46190</v>
      </c>
      <c r="J309" s="24">
        <f t="shared" si="56"/>
        <v>46190.363036348666</v>
      </c>
      <c r="K309" s="24">
        <f t="shared" si="57"/>
        <v>0.50238229169917759</v>
      </c>
      <c r="L309" s="29">
        <f t="shared" si="63"/>
        <v>46189</v>
      </c>
      <c r="M309" s="27" t="str">
        <f t="shared" si="58"/>
        <v>TPA Approval Delay</v>
      </c>
      <c r="N309" s="31">
        <f t="shared" si="59"/>
        <v>5</v>
      </c>
      <c r="O309" s="27"/>
      <c r="Q309" s="8">
        <v>0.66775637804832189</v>
      </c>
      <c r="R309" s="8" t="str">
        <f t="shared" si="60"/>
        <v>Major Delay</v>
      </c>
      <c r="S309" s="33">
        <v>3.3443026327290331</v>
      </c>
      <c r="T309" t="s">
        <v>31</v>
      </c>
      <c r="U309" s="3">
        <v>0</v>
      </c>
      <c r="V309" s="3" t="str">
        <f t="shared" si="64"/>
        <v>Normal</v>
      </c>
      <c r="W309" s="3" t="s">
        <v>51</v>
      </c>
      <c r="X309" s="32">
        <f t="shared" si="61"/>
        <v>0.13934594303282211</v>
      </c>
      <c r="Z309" s="38">
        <f t="shared" si="65"/>
        <v>1.4345943032822106E-2</v>
      </c>
      <c r="AC309" s="36">
        <v>0.125</v>
      </c>
      <c r="AL309" t="str">
        <f t="shared" si="66"/>
        <v>TPA Approval Delay</v>
      </c>
      <c r="AM309" t="str">
        <f t="shared" si="67"/>
        <v>No</v>
      </c>
      <c r="AN309" t="str">
        <f t="shared" si="68"/>
        <v>Elective</v>
      </c>
      <c r="AO309" t="str">
        <f t="shared" si="69"/>
        <v>HDU</v>
      </c>
    </row>
    <row r="310" spans="1:41" x14ac:dyDescent="0.3">
      <c r="A310" s="21" t="str">
        <f t="shared" si="62"/>
        <v>UHID-00309</v>
      </c>
      <c r="B310" s="18">
        <v>12</v>
      </c>
      <c r="C310" s="10" t="s">
        <v>18</v>
      </c>
      <c r="D310" s="13" t="s">
        <v>27</v>
      </c>
      <c r="E310" s="13" t="s">
        <v>3</v>
      </c>
      <c r="F310" s="15">
        <v>46183.504154166701</v>
      </c>
      <c r="G310" s="4">
        <v>46183</v>
      </c>
      <c r="H310" s="1">
        <v>46191.159347673602</v>
      </c>
      <c r="I310" s="22">
        <v>46191</v>
      </c>
      <c r="J310" s="24">
        <f t="shared" si="56"/>
        <v>46191.091218388625</v>
      </c>
      <c r="K310" s="24">
        <f t="shared" si="57"/>
        <v>0.1593476736015873</v>
      </c>
      <c r="L310" s="29">
        <f t="shared" si="63"/>
        <v>46190</v>
      </c>
      <c r="M310" s="27" t="str">
        <f t="shared" si="58"/>
        <v>Normal</v>
      </c>
      <c r="N310" s="31">
        <f t="shared" si="59"/>
        <v>8</v>
      </c>
      <c r="O310" s="27"/>
      <c r="Q310" s="8">
        <v>1.0261500680840863E-2</v>
      </c>
      <c r="R310" s="8" t="str">
        <f t="shared" si="60"/>
        <v>On Time</v>
      </c>
      <c r="S310" s="33">
        <v>1.635102839513948</v>
      </c>
      <c r="T310" t="s">
        <v>30</v>
      </c>
      <c r="U310" s="3">
        <v>0</v>
      </c>
      <c r="V310" s="3" t="str">
        <f t="shared" si="64"/>
        <v/>
      </c>
      <c r="W310" s="3" t="s">
        <v>51</v>
      </c>
      <c r="X310" s="32">
        <f t="shared" si="61"/>
        <v>6.812928497674875E-2</v>
      </c>
      <c r="Z310" s="38">
        <f t="shared" si="65"/>
        <v>0</v>
      </c>
      <c r="AC310" s="36">
        <v>0.125</v>
      </c>
      <c r="AL310" t="str">
        <f t="shared" si="66"/>
        <v>Normal</v>
      </c>
      <c r="AM310" t="str">
        <f t="shared" si="67"/>
        <v>No</v>
      </c>
      <c r="AN310" t="str">
        <f t="shared" si="68"/>
        <v>Emergency</v>
      </c>
      <c r="AO310" t="str">
        <f t="shared" si="69"/>
        <v>ICU</v>
      </c>
    </row>
    <row r="311" spans="1:41" x14ac:dyDescent="0.3">
      <c r="A311" s="21" t="str">
        <f t="shared" si="62"/>
        <v>UHID-00310</v>
      </c>
      <c r="B311" s="18">
        <v>79</v>
      </c>
      <c r="C311" s="10" t="s">
        <v>18</v>
      </c>
      <c r="D311" s="13" t="s">
        <v>26</v>
      </c>
      <c r="E311" s="13" t="s">
        <v>3</v>
      </c>
      <c r="F311" s="15">
        <v>46189.960984942103</v>
      </c>
      <c r="G311" s="4">
        <v>46189</v>
      </c>
      <c r="H311" s="1">
        <v>46191.595551134298</v>
      </c>
      <c r="I311" s="22">
        <v>46191</v>
      </c>
      <c r="J311" s="24">
        <f t="shared" si="56"/>
        <v>46191.447701875833</v>
      </c>
      <c r="K311" s="24">
        <f t="shared" si="57"/>
        <v>0.5955511342981481</v>
      </c>
      <c r="L311" s="29">
        <f t="shared" si="63"/>
        <v>46190</v>
      </c>
      <c r="M311" s="27" t="str">
        <f t="shared" si="58"/>
        <v>TPA Approval Delay</v>
      </c>
      <c r="N311" s="31">
        <f t="shared" si="59"/>
        <v>2</v>
      </c>
      <c r="O311" s="27"/>
      <c r="Q311" s="8">
        <v>0.72719782509715025</v>
      </c>
      <c r="R311" s="8" t="str">
        <f t="shared" si="60"/>
        <v>Major Delay</v>
      </c>
      <c r="S311" s="33">
        <v>3.5483822030829684</v>
      </c>
      <c r="T311" t="s">
        <v>31</v>
      </c>
      <c r="U311" s="3">
        <v>0</v>
      </c>
      <c r="V311" s="3" t="str">
        <f t="shared" si="64"/>
        <v>Normal</v>
      </c>
      <c r="W311" s="3" t="s">
        <v>51</v>
      </c>
      <c r="X311" s="32">
        <f t="shared" si="61"/>
        <v>0.14784925846470287</v>
      </c>
      <c r="Z311" s="38">
        <f t="shared" si="65"/>
        <v>2.2849258464702871E-2</v>
      </c>
      <c r="AC311" s="36">
        <v>0.125</v>
      </c>
      <c r="AL311" t="str">
        <f t="shared" si="66"/>
        <v>TPA Approval Delay</v>
      </c>
      <c r="AM311" t="str">
        <f t="shared" si="67"/>
        <v>No</v>
      </c>
      <c r="AN311" t="str">
        <f t="shared" si="68"/>
        <v>Elective</v>
      </c>
      <c r="AO311" t="str">
        <f t="shared" si="69"/>
        <v>General Ward</v>
      </c>
    </row>
    <row r="312" spans="1:41" x14ac:dyDescent="0.3">
      <c r="A312" s="21" t="str">
        <f t="shared" si="62"/>
        <v>UHID-00311</v>
      </c>
      <c r="B312" s="18">
        <v>66</v>
      </c>
      <c r="C312" s="10" t="s">
        <v>17</v>
      </c>
      <c r="D312" s="13" t="s">
        <v>27</v>
      </c>
      <c r="E312" s="13" t="s">
        <v>3</v>
      </c>
      <c r="F312" s="15">
        <v>46186.569731736097</v>
      </c>
      <c r="G312" s="4">
        <v>46186</v>
      </c>
      <c r="H312" s="1">
        <v>46190.669523067103</v>
      </c>
      <c r="I312" s="22">
        <v>46190</v>
      </c>
      <c r="J312" s="24">
        <f t="shared" si="56"/>
        <v>46190.59131237898</v>
      </c>
      <c r="K312" s="24">
        <f t="shared" si="57"/>
        <v>0.66952306710300036</v>
      </c>
      <c r="L312" s="29">
        <f t="shared" si="63"/>
        <v>46189</v>
      </c>
      <c r="M312" s="27" t="str">
        <f t="shared" si="58"/>
        <v>Normal</v>
      </c>
      <c r="N312" s="31">
        <f t="shared" si="59"/>
        <v>4</v>
      </c>
      <c r="O312" s="27"/>
      <c r="Q312" s="8">
        <v>0.46168254441282153</v>
      </c>
      <c r="R312" s="8" t="str">
        <f t="shared" si="60"/>
        <v>On Time</v>
      </c>
      <c r="S312" s="33">
        <v>1.8770565149868959</v>
      </c>
      <c r="T312" t="s">
        <v>31</v>
      </c>
      <c r="U312" s="3">
        <v>0</v>
      </c>
      <c r="V312" s="3" t="str">
        <f t="shared" si="64"/>
        <v>Normal</v>
      </c>
      <c r="W312" s="3" t="s">
        <v>51</v>
      </c>
      <c r="X312" s="32">
        <f t="shared" si="61"/>
        <v>7.821068812336307E-2</v>
      </c>
      <c r="Z312" s="38">
        <f t="shared" si="65"/>
        <v>0</v>
      </c>
      <c r="AC312" s="36">
        <v>0.125</v>
      </c>
      <c r="AL312" t="str">
        <f t="shared" si="66"/>
        <v>Normal</v>
      </c>
      <c r="AM312" t="str">
        <f t="shared" si="67"/>
        <v>No</v>
      </c>
      <c r="AN312" t="str">
        <f t="shared" si="68"/>
        <v>Elective</v>
      </c>
      <c r="AO312" t="str">
        <f t="shared" si="69"/>
        <v>HDU</v>
      </c>
    </row>
    <row r="313" spans="1:41" x14ac:dyDescent="0.3">
      <c r="A313" s="21" t="str">
        <f t="shared" si="62"/>
        <v>UHID-00312</v>
      </c>
      <c r="B313" s="18">
        <v>33</v>
      </c>
      <c r="C313" s="10" t="s">
        <v>18</v>
      </c>
      <c r="D313" s="13" t="s">
        <v>27</v>
      </c>
      <c r="E313" s="13" t="s">
        <v>3</v>
      </c>
      <c r="F313" s="15">
        <v>46186.133471666697</v>
      </c>
      <c r="G313" s="4">
        <v>46186</v>
      </c>
      <c r="H313" s="1">
        <v>46191.6167669676</v>
      </c>
      <c r="I313" s="22">
        <v>46191</v>
      </c>
      <c r="J313" s="24">
        <f t="shared" si="56"/>
        <v>46191.567902330578</v>
      </c>
      <c r="K313" s="24">
        <f t="shared" si="57"/>
        <v>0.61676696759968763</v>
      </c>
      <c r="L313" s="29">
        <f t="shared" si="63"/>
        <v>46190</v>
      </c>
      <c r="M313" s="27" t="str">
        <f t="shared" si="58"/>
        <v>Normal</v>
      </c>
      <c r="N313" s="31">
        <f t="shared" si="59"/>
        <v>5</v>
      </c>
      <c r="O313" s="27"/>
      <c r="Q313" s="8">
        <v>0.30481855602517438</v>
      </c>
      <c r="R313" s="8" t="str">
        <f t="shared" si="60"/>
        <v>On Time</v>
      </c>
      <c r="S313" s="33">
        <v>1.1727512884304492</v>
      </c>
      <c r="T313" t="s">
        <v>30</v>
      </c>
      <c r="U313" s="3">
        <v>0</v>
      </c>
      <c r="V313" s="3" t="str">
        <f t="shared" si="64"/>
        <v/>
      </c>
      <c r="W313" s="3" t="s">
        <v>51</v>
      </c>
      <c r="X313" s="32">
        <f t="shared" si="61"/>
        <v>4.8864637021324597E-2</v>
      </c>
      <c r="Z313" s="38">
        <f t="shared" si="65"/>
        <v>0</v>
      </c>
      <c r="AC313" s="36">
        <v>0.125</v>
      </c>
      <c r="AL313" t="str">
        <f t="shared" si="66"/>
        <v>Normal</v>
      </c>
      <c r="AM313" t="str">
        <f t="shared" si="67"/>
        <v>No</v>
      </c>
      <c r="AN313" t="str">
        <f t="shared" si="68"/>
        <v>Elective</v>
      </c>
      <c r="AO313" t="str">
        <f t="shared" si="69"/>
        <v>HDU</v>
      </c>
    </row>
    <row r="314" spans="1:41" x14ac:dyDescent="0.3">
      <c r="A314" s="21" t="str">
        <f t="shared" si="62"/>
        <v>UHID-00313</v>
      </c>
      <c r="B314" s="18">
        <v>26</v>
      </c>
      <c r="C314" s="10" t="s">
        <v>18</v>
      </c>
      <c r="D314" s="13" t="s">
        <v>28</v>
      </c>
      <c r="E314" s="13" t="s">
        <v>3</v>
      </c>
      <c r="F314" s="15">
        <v>46189.776033182898</v>
      </c>
      <c r="G314" s="4">
        <v>46189</v>
      </c>
      <c r="H314" s="1">
        <v>46191.558333333298</v>
      </c>
      <c r="I314" s="22">
        <v>46191</v>
      </c>
      <c r="J314" s="24">
        <f t="shared" si="56"/>
        <v>46191.453531330109</v>
      </c>
      <c r="K314" s="24">
        <f t="shared" si="57"/>
        <v>0.55833333329792367</v>
      </c>
      <c r="L314" s="29">
        <f t="shared" si="63"/>
        <v>46190</v>
      </c>
      <c r="M314" s="27" t="str">
        <f t="shared" si="58"/>
        <v>Doctor Round Delay/Report Delay</v>
      </c>
      <c r="N314" s="31">
        <f t="shared" si="59"/>
        <v>2</v>
      </c>
      <c r="O314" s="27"/>
      <c r="Q314" s="8">
        <v>0.8765071380906847</v>
      </c>
      <c r="R314" s="8" t="str">
        <f t="shared" si="60"/>
        <v>Minor Delay</v>
      </c>
      <c r="S314" s="33">
        <v>2.5152480764514662</v>
      </c>
      <c r="T314" t="s">
        <v>31</v>
      </c>
      <c r="U314" s="3">
        <v>0</v>
      </c>
      <c r="V314" s="3" t="str">
        <f t="shared" si="64"/>
        <v>Normal</v>
      </c>
      <c r="W314" s="3" t="s">
        <v>51</v>
      </c>
      <c r="X314" s="32">
        <f t="shared" si="61"/>
        <v>0.1048020031885244</v>
      </c>
      <c r="Z314" s="38">
        <f t="shared" si="65"/>
        <v>0</v>
      </c>
      <c r="AC314" s="36">
        <v>0.125</v>
      </c>
      <c r="AL314" t="str">
        <f t="shared" si="66"/>
        <v>Doctor Round Delay/Report Delay</v>
      </c>
      <c r="AM314" t="str">
        <f t="shared" si="67"/>
        <v>No</v>
      </c>
      <c r="AN314" t="str">
        <f t="shared" si="68"/>
        <v>Elective</v>
      </c>
      <c r="AO314" t="str">
        <f t="shared" si="69"/>
        <v>General Ward</v>
      </c>
    </row>
    <row r="315" spans="1:41" x14ac:dyDescent="0.3">
      <c r="A315" s="21" t="str">
        <f t="shared" si="62"/>
        <v>UHID-00314</v>
      </c>
      <c r="B315" s="18">
        <v>65</v>
      </c>
      <c r="C315" s="10" t="s">
        <v>18</v>
      </c>
      <c r="D315" s="13" t="s">
        <v>28</v>
      </c>
      <c r="E315" s="13" t="s">
        <v>3</v>
      </c>
      <c r="F315" s="15">
        <v>46182.806885370403</v>
      </c>
      <c r="G315" s="4">
        <v>46182</v>
      </c>
      <c r="H315" s="1">
        <v>46191.692555879599</v>
      </c>
      <c r="I315" s="22">
        <v>46191</v>
      </c>
      <c r="J315" s="24">
        <f t="shared" si="56"/>
        <v>46191.445252768368</v>
      </c>
      <c r="K315" s="24">
        <f t="shared" si="57"/>
        <v>0.69255587959924014</v>
      </c>
      <c r="L315" s="29">
        <f t="shared" si="63"/>
        <v>46190</v>
      </c>
      <c r="M315" s="27" t="str">
        <f t="shared" si="58"/>
        <v>Health Deterioration</v>
      </c>
      <c r="N315" s="31">
        <f t="shared" si="59"/>
        <v>9</v>
      </c>
      <c r="O315" s="27"/>
      <c r="Q315" s="8">
        <v>0.91495174588826089</v>
      </c>
      <c r="R315" s="8" t="str">
        <f t="shared" si="60"/>
        <v>Critical Delay</v>
      </c>
      <c r="S315" s="33">
        <v>2.9352746695739396</v>
      </c>
      <c r="T315" t="s">
        <v>31</v>
      </c>
      <c r="U315" s="3">
        <v>3</v>
      </c>
      <c r="V315" s="3" t="str">
        <f t="shared" si="64"/>
        <v>Normal</v>
      </c>
      <c r="W315" s="3" t="s">
        <v>50</v>
      </c>
      <c r="X315" s="32">
        <f t="shared" si="61"/>
        <v>0.24730311123130377</v>
      </c>
      <c r="Z315" s="38">
        <f t="shared" si="65"/>
        <v>0.12230311123130377</v>
      </c>
      <c r="AC315" s="36">
        <v>0.125</v>
      </c>
      <c r="AL315" t="str">
        <f t="shared" si="66"/>
        <v>Health Deterioration</v>
      </c>
      <c r="AM315" t="str">
        <f t="shared" si="67"/>
        <v>No</v>
      </c>
      <c r="AN315" t="str">
        <f t="shared" si="68"/>
        <v>Elective</v>
      </c>
      <c r="AO315" t="str">
        <f t="shared" si="69"/>
        <v>ICU</v>
      </c>
    </row>
    <row r="316" spans="1:41" x14ac:dyDescent="0.3">
      <c r="A316" s="21" t="str">
        <f t="shared" si="62"/>
        <v>UHID-00315</v>
      </c>
      <c r="B316" s="18">
        <v>35</v>
      </c>
      <c r="C316" s="10" t="s">
        <v>17</v>
      </c>
      <c r="D316" s="13" t="s">
        <v>28</v>
      </c>
      <c r="E316" s="13" t="s">
        <v>3</v>
      </c>
      <c r="F316" s="15">
        <v>46188.9946279051</v>
      </c>
      <c r="G316" s="4">
        <v>46188</v>
      </c>
      <c r="H316" s="1">
        <v>46192.542401041697</v>
      </c>
      <c r="I316" s="22">
        <v>46192</v>
      </c>
      <c r="J316" s="24">
        <f t="shared" si="56"/>
        <v>46192.458392124507</v>
      </c>
      <c r="K316" s="24">
        <f t="shared" si="57"/>
        <v>0.5424010416973033</v>
      </c>
      <c r="L316" s="29">
        <f t="shared" si="63"/>
        <v>46191</v>
      </c>
      <c r="M316" s="27" t="str">
        <f t="shared" si="58"/>
        <v>Doctor Round Delay/Report Delay</v>
      </c>
      <c r="N316" s="31">
        <f t="shared" si="59"/>
        <v>4</v>
      </c>
      <c r="O316" s="27"/>
      <c r="Q316" s="8">
        <v>0.95245833656924572</v>
      </c>
      <c r="R316" s="8" t="str">
        <f t="shared" si="60"/>
        <v>Minor Delay</v>
      </c>
      <c r="S316" s="33">
        <v>2.0162140126323149</v>
      </c>
      <c r="T316" t="s">
        <v>31</v>
      </c>
      <c r="U316" s="3">
        <v>0</v>
      </c>
      <c r="V316" s="3" t="str">
        <f t="shared" si="64"/>
        <v>Normal</v>
      </c>
      <c r="W316" s="3" t="s">
        <v>51</v>
      </c>
      <c r="X316" s="32">
        <f t="shared" si="61"/>
        <v>8.4008917190658394E-2</v>
      </c>
      <c r="Z316" s="38">
        <f t="shared" si="65"/>
        <v>0</v>
      </c>
      <c r="AC316" s="36">
        <v>0.125</v>
      </c>
      <c r="AL316" t="str">
        <f t="shared" si="66"/>
        <v>Doctor Round Delay/Report Delay</v>
      </c>
      <c r="AM316" t="str">
        <f t="shared" si="67"/>
        <v>No</v>
      </c>
      <c r="AN316" t="str">
        <f t="shared" si="68"/>
        <v>Elective</v>
      </c>
      <c r="AO316" t="str">
        <f t="shared" si="69"/>
        <v>HDU</v>
      </c>
    </row>
    <row r="317" spans="1:41" x14ac:dyDescent="0.3">
      <c r="A317" s="21" t="str">
        <f t="shared" si="62"/>
        <v>UHID-00316</v>
      </c>
      <c r="B317" s="18">
        <v>84</v>
      </c>
      <c r="C317" s="10" t="s">
        <v>17</v>
      </c>
      <c r="D317" s="13" t="s">
        <v>27</v>
      </c>
      <c r="E317" s="13" t="s">
        <v>3</v>
      </c>
      <c r="F317" s="15">
        <v>46186.748407118102</v>
      </c>
      <c r="G317" s="4">
        <v>46186</v>
      </c>
      <c r="H317" s="1">
        <v>46192.726420925901</v>
      </c>
      <c r="I317" s="22">
        <v>46192</v>
      </c>
      <c r="J317" s="24">
        <f t="shared" si="56"/>
        <v>46192.670945420519</v>
      </c>
      <c r="K317" s="24">
        <f t="shared" si="57"/>
        <v>0.72642092590103857</v>
      </c>
      <c r="L317" s="29">
        <f t="shared" si="63"/>
        <v>46191</v>
      </c>
      <c r="M317" s="27" t="str">
        <f t="shared" si="58"/>
        <v>Normal</v>
      </c>
      <c r="N317" s="31">
        <f t="shared" si="59"/>
        <v>6</v>
      </c>
      <c r="O317" s="27"/>
      <c r="Q317" s="8">
        <v>0.19487089378188527</v>
      </c>
      <c r="R317" s="8" t="str">
        <f t="shared" si="60"/>
        <v>On Time</v>
      </c>
      <c r="S317" s="33">
        <v>1.3314121291215999</v>
      </c>
      <c r="T317" t="s">
        <v>30</v>
      </c>
      <c r="U317" s="3">
        <v>0</v>
      </c>
      <c r="V317" s="3" t="str">
        <f t="shared" si="64"/>
        <v/>
      </c>
      <c r="W317" s="3" t="s">
        <v>51</v>
      </c>
      <c r="X317" s="32">
        <f t="shared" si="61"/>
        <v>5.5475505381764378E-2</v>
      </c>
      <c r="Z317" s="38">
        <f t="shared" si="65"/>
        <v>0</v>
      </c>
      <c r="AC317" s="36">
        <v>0.125</v>
      </c>
      <c r="AL317" t="str">
        <f t="shared" si="66"/>
        <v>Normal</v>
      </c>
      <c r="AM317" t="str">
        <f t="shared" si="67"/>
        <v>No</v>
      </c>
      <c r="AN317" t="str">
        <f t="shared" si="68"/>
        <v>Elective</v>
      </c>
      <c r="AO317" t="str">
        <f t="shared" si="69"/>
        <v>HDU</v>
      </c>
    </row>
    <row r="318" spans="1:41" x14ac:dyDescent="0.3">
      <c r="A318" s="21" t="str">
        <f t="shared" si="62"/>
        <v>UHID-00317</v>
      </c>
      <c r="B318" s="18">
        <v>57</v>
      </c>
      <c r="C318" s="10" t="s">
        <v>17</v>
      </c>
      <c r="D318" s="13" t="s">
        <v>27</v>
      </c>
      <c r="E318" s="13" t="s">
        <v>3</v>
      </c>
      <c r="F318" s="15">
        <v>46188.479923541701</v>
      </c>
      <c r="G318" s="4">
        <v>46188</v>
      </c>
      <c r="H318" s="1">
        <v>46192.663254305597</v>
      </c>
      <c r="I318" s="22">
        <v>46192</v>
      </c>
      <c r="J318" s="24">
        <f t="shared" si="56"/>
        <v>46192.585810253127</v>
      </c>
      <c r="K318" s="24">
        <f t="shared" si="57"/>
        <v>0.66325430559663801</v>
      </c>
      <c r="L318" s="29">
        <f t="shared" si="63"/>
        <v>46191</v>
      </c>
      <c r="M318" s="27" t="str">
        <f t="shared" si="58"/>
        <v>Normal</v>
      </c>
      <c r="N318" s="31">
        <f t="shared" si="59"/>
        <v>4</v>
      </c>
      <c r="O318" s="27"/>
      <c r="Q318" s="8">
        <v>0.38958089638207094</v>
      </c>
      <c r="R318" s="8" t="str">
        <f t="shared" si="60"/>
        <v>On Time</v>
      </c>
      <c r="S318" s="33">
        <v>1.858657259250996</v>
      </c>
      <c r="T318" t="s">
        <v>31</v>
      </c>
      <c r="U318" s="3">
        <v>0</v>
      </c>
      <c r="V318" s="3" t="str">
        <f t="shared" si="64"/>
        <v>Normal</v>
      </c>
      <c r="W318" s="3" t="s">
        <v>51</v>
      </c>
      <c r="X318" s="32">
        <f t="shared" si="61"/>
        <v>7.744405246921815E-2</v>
      </c>
      <c r="Z318" s="38">
        <f t="shared" si="65"/>
        <v>0</v>
      </c>
      <c r="AC318" s="36">
        <v>0.125</v>
      </c>
      <c r="AL318" t="str">
        <f t="shared" si="66"/>
        <v>Normal</v>
      </c>
      <c r="AM318" t="str">
        <f t="shared" si="67"/>
        <v>No</v>
      </c>
      <c r="AN318" t="str">
        <f t="shared" si="68"/>
        <v>Elective</v>
      </c>
      <c r="AO318" t="str">
        <f t="shared" si="69"/>
        <v>HDU</v>
      </c>
    </row>
    <row r="319" spans="1:41" x14ac:dyDescent="0.3">
      <c r="A319" s="21" t="str">
        <f t="shared" si="62"/>
        <v>UHID-00318</v>
      </c>
      <c r="B319" s="18">
        <v>31</v>
      </c>
      <c r="C319" s="10" t="s">
        <v>18</v>
      </c>
      <c r="D319" s="13" t="s">
        <v>27</v>
      </c>
      <c r="E319" s="13" t="s">
        <v>3</v>
      </c>
      <c r="F319" s="15">
        <v>46190.8767290162</v>
      </c>
      <c r="G319" s="4">
        <v>46190</v>
      </c>
      <c r="H319" s="1">
        <v>46192.567541284698</v>
      </c>
      <c r="I319" s="22">
        <v>46192</v>
      </c>
      <c r="J319" s="24">
        <f t="shared" si="56"/>
        <v>46192.52421426955</v>
      </c>
      <c r="K319" s="24">
        <f t="shared" si="57"/>
        <v>0.56754128469765419</v>
      </c>
      <c r="L319" s="29">
        <f t="shared" si="63"/>
        <v>46191</v>
      </c>
      <c r="M319" s="27" t="str">
        <f t="shared" si="58"/>
        <v>Normal</v>
      </c>
      <c r="N319" s="31">
        <f t="shared" si="59"/>
        <v>2</v>
      </c>
      <c r="O319" s="27"/>
      <c r="Q319" s="8">
        <v>0.17108304167669419</v>
      </c>
      <c r="R319" s="8" t="str">
        <f t="shared" si="60"/>
        <v>On Time</v>
      </c>
      <c r="S319" s="33">
        <v>1.0398483635593014</v>
      </c>
      <c r="T319" t="s">
        <v>30</v>
      </c>
      <c r="U319" s="3">
        <v>0</v>
      </c>
      <c r="V319" s="3" t="str">
        <f t="shared" si="64"/>
        <v/>
      </c>
      <c r="W319" s="3" t="s">
        <v>51</v>
      </c>
      <c r="X319" s="32">
        <f t="shared" si="61"/>
        <v>4.3327015147951897E-2</v>
      </c>
      <c r="Z319" s="38">
        <f t="shared" si="65"/>
        <v>0</v>
      </c>
      <c r="AC319" s="36">
        <v>0.125</v>
      </c>
      <c r="AL319" t="str">
        <f t="shared" si="66"/>
        <v>Normal</v>
      </c>
      <c r="AM319" t="str">
        <f t="shared" si="67"/>
        <v>No</v>
      </c>
      <c r="AN319" t="str">
        <f t="shared" si="68"/>
        <v>Elective</v>
      </c>
      <c r="AO319" t="str">
        <f t="shared" si="69"/>
        <v>General Ward</v>
      </c>
    </row>
    <row r="320" spans="1:41" x14ac:dyDescent="0.3">
      <c r="A320" s="21" t="str">
        <f t="shared" si="62"/>
        <v>UHID-00319</v>
      </c>
      <c r="B320" s="18">
        <v>69</v>
      </c>
      <c r="C320" s="10" t="s">
        <v>17</v>
      </c>
      <c r="D320" s="13" t="s">
        <v>27</v>
      </c>
      <c r="E320" s="13" t="s">
        <v>3</v>
      </c>
      <c r="F320" s="15">
        <v>46178.498173865701</v>
      </c>
      <c r="G320" s="4">
        <v>46178</v>
      </c>
      <c r="H320" s="1">
        <v>46192.649390254599</v>
      </c>
      <c r="I320" s="22">
        <v>46192</v>
      </c>
      <c r="J320" s="24">
        <f t="shared" si="56"/>
        <v>46192.581421840012</v>
      </c>
      <c r="K320" s="24">
        <f t="shared" si="57"/>
        <v>0.64939025459898403</v>
      </c>
      <c r="L320" s="29">
        <f t="shared" si="63"/>
        <v>46191</v>
      </c>
      <c r="M320" s="27" t="str">
        <f t="shared" si="58"/>
        <v>Normal</v>
      </c>
      <c r="N320" s="31">
        <f t="shared" si="59"/>
        <v>14</v>
      </c>
      <c r="O320" s="27"/>
      <c r="Q320" s="8">
        <v>0.33336112761617787</v>
      </c>
      <c r="R320" s="8" t="str">
        <f t="shared" si="60"/>
        <v>On Time</v>
      </c>
      <c r="S320" s="33">
        <v>1.6312419501555371</v>
      </c>
      <c r="T320" t="s">
        <v>30</v>
      </c>
      <c r="U320" s="3">
        <v>0</v>
      </c>
      <c r="V320" s="3" t="str">
        <f t="shared" si="64"/>
        <v/>
      </c>
      <c r="W320" s="3" t="s">
        <v>51</v>
      </c>
      <c r="X320" s="32">
        <f t="shared" si="61"/>
        <v>6.7968414587085135E-2</v>
      </c>
      <c r="Z320" s="38">
        <f t="shared" si="65"/>
        <v>0</v>
      </c>
      <c r="AC320" s="36">
        <v>0.125</v>
      </c>
      <c r="AL320" t="str">
        <f t="shared" si="66"/>
        <v>Normal</v>
      </c>
      <c r="AM320" t="str">
        <f t="shared" si="67"/>
        <v>Yes</v>
      </c>
      <c r="AN320" t="str">
        <f t="shared" si="68"/>
        <v>Emergency</v>
      </c>
      <c r="AO320" t="str">
        <f t="shared" si="69"/>
        <v>ICU</v>
      </c>
    </row>
    <row r="321" spans="1:41" x14ac:dyDescent="0.3">
      <c r="A321" s="21" t="str">
        <f t="shared" si="62"/>
        <v>UHID-00320</v>
      </c>
      <c r="B321" s="18">
        <v>30</v>
      </c>
      <c r="C321" s="10" t="s">
        <v>17</v>
      </c>
      <c r="D321" s="13" t="s">
        <v>27</v>
      </c>
      <c r="E321" s="13" t="s">
        <v>3</v>
      </c>
      <c r="F321" s="15">
        <v>46176.5548797917</v>
      </c>
      <c r="G321" s="4">
        <v>46176</v>
      </c>
      <c r="H321" s="1">
        <v>46192.654909965298</v>
      </c>
      <c r="I321" s="22">
        <v>46192</v>
      </c>
      <c r="J321" s="24">
        <f t="shared" si="56"/>
        <v>46192.594650210078</v>
      </c>
      <c r="K321" s="24">
        <f t="shared" si="57"/>
        <v>0.6549099652984296</v>
      </c>
      <c r="L321" s="29">
        <f t="shared" si="63"/>
        <v>46191</v>
      </c>
      <c r="M321" s="27" t="str">
        <f t="shared" si="58"/>
        <v>Normal</v>
      </c>
      <c r="N321" s="31">
        <f t="shared" si="59"/>
        <v>16</v>
      </c>
      <c r="O321" s="27"/>
      <c r="Q321" s="8">
        <v>7.2797154560792943E-2</v>
      </c>
      <c r="R321" s="8" t="str">
        <f t="shared" si="60"/>
        <v>On Time</v>
      </c>
      <c r="S321" s="33">
        <v>1.4462341252081798</v>
      </c>
      <c r="T321" t="s">
        <v>30</v>
      </c>
      <c r="U321" s="3">
        <v>0</v>
      </c>
      <c r="V321" s="3" t="str">
        <f t="shared" si="64"/>
        <v/>
      </c>
      <c r="W321" s="3" t="s">
        <v>51</v>
      </c>
      <c r="X321" s="32">
        <f t="shared" si="61"/>
        <v>6.0259755220613442E-2</v>
      </c>
      <c r="Z321" s="38">
        <f t="shared" si="65"/>
        <v>0</v>
      </c>
      <c r="AC321" s="36">
        <v>0.125</v>
      </c>
      <c r="AL321" t="str">
        <f t="shared" si="66"/>
        <v>Normal</v>
      </c>
      <c r="AM321" t="str">
        <f t="shared" si="67"/>
        <v>Yes</v>
      </c>
      <c r="AN321" t="str">
        <f t="shared" si="68"/>
        <v>Emergency</v>
      </c>
      <c r="AO321" t="str">
        <f t="shared" si="69"/>
        <v>ICU</v>
      </c>
    </row>
    <row r="322" spans="1:41" x14ac:dyDescent="0.3">
      <c r="A322" s="21" t="str">
        <f t="shared" si="62"/>
        <v>UHID-00321</v>
      </c>
      <c r="B322" s="18">
        <v>53</v>
      </c>
      <c r="C322" s="10" t="s">
        <v>17</v>
      </c>
      <c r="D322" s="13" t="s">
        <v>26</v>
      </c>
      <c r="E322" s="13" t="s">
        <v>3</v>
      </c>
      <c r="F322" s="15">
        <v>46192.520688379598</v>
      </c>
      <c r="G322" s="4">
        <v>46192</v>
      </c>
      <c r="H322" s="1">
        <v>46192.814645289298</v>
      </c>
      <c r="I322" s="22">
        <v>46192</v>
      </c>
      <c r="J322" s="24">
        <f t="shared" ref="J322:J385" si="70">I322+K322-((S322+U322)/24)</f>
        <v>46192.66647853559</v>
      </c>
      <c r="K322" s="24">
        <f t="shared" ref="K322:K385" si="71">MOD(H322,1)</f>
        <v>0.81464528929791413</v>
      </c>
      <c r="L322" s="29">
        <f t="shared" si="63"/>
        <v>46191</v>
      </c>
      <c r="M322" s="27" t="str">
        <f t="shared" ref="M322:M385" si="72">IF(X322="","",IF(X322&lt;=TIME(2,0,0),"Normal",IF(X322&lt;=TIME(3,0,0),IF(D322="CASH","Bill Settlement Delay","Doctor Round Delay/Report Delay"),IF(X322&lt;=TIME(5,0,0),IF(D322="TPA","TPA Approval Delay","Medication Change"),IF(D322="TPA","Health Deterioration/TPA Approval Delay","Health Deterioration")))))</f>
        <v>TPA Approval Delay</v>
      </c>
      <c r="N322" s="31">
        <f t="shared" ref="N322:N385" si="73">I322-G322</f>
        <v>0</v>
      </c>
      <c r="O322" s="27"/>
      <c r="Q322" s="8">
        <v>0.64451435889891384</v>
      </c>
      <c r="R322" s="8" t="str">
        <f t="shared" ref="R322:R385" si="74">IF(X322="","",IF(X322&lt;=TIME(2,0,0),"On Time",IF(X322&lt;=TIME(3,0,0),"Minor Delay",IF(X322&lt;=TIME(5,0,0),"Major Delay","Critical Delay"))))</f>
        <v>Major Delay</v>
      </c>
      <c r="S322" s="33">
        <v>3.5560020889674537</v>
      </c>
      <c r="T322" t="s">
        <v>31</v>
      </c>
      <c r="U322" s="3">
        <v>0</v>
      </c>
      <c r="V322" s="3" t="str">
        <f t="shared" si="64"/>
        <v>Normal</v>
      </c>
      <c r="W322" s="3" t="s">
        <v>51</v>
      </c>
      <c r="X322" s="32">
        <f t="shared" ref="X322:X385" si="75">MOD(K322-J322,1)</f>
        <v>0.14816675370821031</v>
      </c>
      <c r="Z322" s="38">
        <f t="shared" si="65"/>
        <v>2.3166753708210308E-2</v>
      </c>
      <c r="AC322" s="36">
        <v>0.125</v>
      </c>
      <c r="AL322" t="str">
        <f t="shared" si="66"/>
        <v>TPA Approval Delay</v>
      </c>
      <c r="AM322" t="str">
        <f t="shared" si="67"/>
        <v>No</v>
      </c>
      <c r="AN322" t="str">
        <f t="shared" si="68"/>
        <v>Elective</v>
      </c>
      <c r="AO322" t="str">
        <f t="shared" si="69"/>
        <v>General Ward</v>
      </c>
    </row>
    <row r="323" spans="1:41" x14ac:dyDescent="0.3">
      <c r="A323" s="21" t="str">
        <f t="shared" ref="A323:A386" si="76">"UHID-"&amp;TEXT(ROW(A323)-1,"00000")</f>
        <v>UHID-00322</v>
      </c>
      <c r="B323" s="18">
        <v>57</v>
      </c>
      <c r="C323" s="10" t="s">
        <v>17</v>
      </c>
      <c r="D323" s="13" t="s">
        <v>26</v>
      </c>
      <c r="E323" s="13" t="s">
        <v>3</v>
      </c>
      <c r="F323" s="15">
        <v>46191.869442835603</v>
      </c>
      <c r="G323" s="4">
        <v>46191</v>
      </c>
      <c r="H323" s="1">
        <v>46193.534156226902</v>
      </c>
      <c r="I323" s="22">
        <v>46193</v>
      </c>
      <c r="J323" s="24">
        <f t="shared" si="70"/>
        <v>46193.268820605706</v>
      </c>
      <c r="K323" s="24">
        <f t="shared" si="71"/>
        <v>0.53415622690226883</v>
      </c>
      <c r="L323" s="29">
        <f t="shared" ref="L323:L386" si="77">IF(J323&gt;MOD(H323,1),INT(H323)-1,INT(H323))</f>
        <v>46192</v>
      </c>
      <c r="M323" s="27" t="str">
        <f t="shared" si="72"/>
        <v>Health Deterioration/TPA Approval Delay</v>
      </c>
      <c r="N323" s="31">
        <f t="shared" si="73"/>
        <v>2</v>
      </c>
      <c r="O323" s="27"/>
      <c r="Q323" s="8">
        <v>0.75844305481634622</v>
      </c>
      <c r="R323" s="8" t="str">
        <f t="shared" si="74"/>
        <v>Critical Delay</v>
      </c>
      <c r="S323" s="33">
        <v>3.3680549086169607</v>
      </c>
      <c r="T323" t="s">
        <v>31</v>
      </c>
      <c r="U323" s="3">
        <v>3</v>
      </c>
      <c r="V323" s="3" t="str">
        <f t="shared" ref="V323:V386" si="78">IF(T323="NO","Normal","")</f>
        <v>Normal</v>
      </c>
      <c r="W323" s="3" t="s">
        <v>50</v>
      </c>
      <c r="X323" s="32">
        <f t="shared" si="75"/>
        <v>0.26533562119584531</v>
      </c>
      <c r="Z323" s="38">
        <f t="shared" ref="Z323:Z386" si="79">IF(X323 &gt; TIME(3,0,0), X323 - TIME(3,0,0), 0)</f>
        <v>0.14033562119584531</v>
      </c>
      <c r="AC323" s="36">
        <v>0.125</v>
      </c>
      <c r="AL323" t="str">
        <f t="shared" ref="AL323:AL386" si="80">IF(X323="","",IF(X323&lt;=TIME(2,0,0),"Normal",IF(X323&lt;=TIME(3,0,0),IF(D323="CASH","Bill Settlement Delay","Doctor Round Delay/Report Delay"),IF(Z323&lt;=TIME(2,0,0),IF(D323="TPA","TPA Approval Delay","Medication Change"),IF(D323="TPA","Health Deterioration/TPA Approval Delay","Health Deterioration")))))</f>
        <v>Health Deterioration/TPA Approval Delay</v>
      </c>
      <c r="AM323" t="str">
        <f t="shared" ref="AM323:AM386" si="81">IF(OR(AND(B323&gt;65, R323="Critical Delay"), N323&gt;10), "Yes", "No")</f>
        <v>No</v>
      </c>
      <c r="AN323" t="str">
        <f t="shared" ref="AN323:AN386" si="82">IF(E323="Cardiology &amp; Cardiothoracic", IF(MOD(ROW(),10)&lt;3, "Emergency", "Elective"), IF(E323="Neurology &amp; Neurosurgery", IF(MOD(ROW(),10)&lt;4, "Emergency", "Elective"), IF(D323="COR", IF(MOD(ROW(),20)&lt;7, "Emergency", "Elective"), IF(OR(R323="Critical Delay", N323&gt;=7), "Emergency", "Elective"))))</f>
        <v>Emergency</v>
      </c>
      <c r="AO323" t="str">
        <f t="shared" ref="AO323:AO386" si="83">IF(OR(N323&gt;6, AND(E323="Cardiology &amp; Cardiothoracic", MOD(ROW(),10)&lt;4), AND(E323="Neurology &amp; Neurosurgery", MOD(ROW(),10)&lt;6)), "ICU", IF(OR(N323&gt;3, AND(E323="Cardiology &amp; Cardiothoracic", MOD(ROW(),10)&lt;6), E323="Neurology &amp; Neurosurgery"), "HDU", "General Ward"))</f>
        <v>General Ward</v>
      </c>
    </row>
    <row r="324" spans="1:41" x14ac:dyDescent="0.3">
      <c r="A324" s="21" t="str">
        <f t="shared" si="76"/>
        <v>UHID-00323</v>
      </c>
      <c r="B324" s="18">
        <v>82</v>
      </c>
      <c r="C324" s="10" t="s">
        <v>18</v>
      </c>
      <c r="D324" s="13" t="s">
        <v>26</v>
      </c>
      <c r="E324" s="13" t="s">
        <v>3</v>
      </c>
      <c r="F324" s="15">
        <v>46189.715008796302</v>
      </c>
      <c r="G324" s="4">
        <v>46189</v>
      </c>
      <c r="H324" s="1">
        <v>46193.501562824102</v>
      </c>
      <c r="I324" s="22">
        <v>46193</v>
      </c>
      <c r="J324" s="24">
        <f t="shared" si="70"/>
        <v>46193.342873436064</v>
      </c>
      <c r="K324" s="24">
        <f t="shared" si="71"/>
        <v>0.50156282410171116</v>
      </c>
      <c r="L324" s="29">
        <f t="shared" si="77"/>
        <v>46192</v>
      </c>
      <c r="M324" s="27" t="str">
        <f t="shared" si="72"/>
        <v>TPA Approval Delay</v>
      </c>
      <c r="N324" s="31">
        <f t="shared" si="73"/>
        <v>4</v>
      </c>
      <c r="O324" s="27"/>
      <c r="Q324" s="8">
        <v>0.50711603421232943</v>
      </c>
      <c r="R324" s="8" t="str">
        <f t="shared" si="74"/>
        <v>Major Delay</v>
      </c>
      <c r="S324" s="33">
        <v>3.8085453128812938</v>
      </c>
      <c r="T324" t="s">
        <v>31</v>
      </c>
      <c r="U324" s="3">
        <v>0</v>
      </c>
      <c r="V324" s="3" t="str">
        <f t="shared" si="78"/>
        <v>Normal</v>
      </c>
      <c r="W324" s="3" t="s">
        <v>51</v>
      </c>
      <c r="X324" s="32">
        <f t="shared" si="75"/>
        <v>0.15868938803760102</v>
      </c>
      <c r="Z324" s="38">
        <f t="shared" si="79"/>
        <v>3.368938803760102E-2</v>
      </c>
      <c r="AC324" s="36">
        <v>0.125</v>
      </c>
      <c r="AL324" t="str">
        <f t="shared" si="80"/>
        <v>TPA Approval Delay</v>
      </c>
      <c r="AM324" t="str">
        <f t="shared" si="81"/>
        <v>No</v>
      </c>
      <c r="AN324" t="str">
        <f t="shared" si="82"/>
        <v>Elective</v>
      </c>
      <c r="AO324" t="str">
        <f t="shared" si="83"/>
        <v>HDU</v>
      </c>
    </row>
    <row r="325" spans="1:41" x14ac:dyDescent="0.3">
      <c r="A325" s="21" t="str">
        <f t="shared" si="76"/>
        <v>UHID-00324</v>
      </c>
      <c r="B325" s="18">
        <v>27</v>
      </c>
      <c r="C325" s="10" t="s">
        <v>17</v>
      </c>
      <c r="D325" s="13" t="s">
        <v>27</v>
      </c>
      <c r="E325" s="13" t="s">
        <v>3</v>
      </c>
      <c r="F325" s="15">
        <v>46190.594490080999</v>
      </c>
      <c r="G325" s="4">
        <v>46190</v>
      </c>
      <c r="H325" s="1">
        <v>46193.463853414403</v>
      </c>
      <c r="I325" s="22">
        <v>46193</v>
      </c>
      <c r="J325" s="24">
        <f t="shared" si="70"/>
        <v>46193.419298798144</v>
      </c>
      <c r="K325" s="24">
        <f t="shared" si="71"/>
        <v>0.46385341440327466</v>
      </c>
      <c r="L325" s="29">
        <f t="shared" si="77"/>
        <v>46192</v>
      </c>
      <c r="M325" s="27" t="str">
        <f t="shared" si="72"/>
        <v>Normal</v>
      </c>
      <c r="N325" s="31">
        <f t="shared" si="73"/>
        <v>3</v>
      </c>
      <c r="O325" s="27"/>
      <c r="Q325" s="8">
        <v>0.2995303741141464</v>
      </c>
      <c r="R325" s="8" t="str">
        <f t="shared" si="74"/>
        <v>On Time</v>
      </c>
      <c r="S325" s="33">
        <v>1.0693107901700198</v>
      </c>
      <c r="T325" t="s">
        <v>30</v>
      </c>
      <c r="U325" s="3">
        <v>0</v>
      </c>
      <c r="V325" s="3" t="str">
        <f t="shared" si="78"/>
        <v/>
      </c>
      <c r="W325" s="3" t="s">
        <v>51</v>
      </c>
      <c r="X325" s="32">
        <f t="shared" si="75"/>
        <v>4.4554616259119939E-2</v>
      </c>
      <c r="Z325" s="38">
        <f t="shared" si="79"/>
        <v>0</v>
      </c>
      <c r="AC325" s="36">
        <v>0.125</v>
      </c>
      <c r="AL325" t="str">
        <f t="shared" si="80"/>
        <v>Normal</v>
      </c>
      <c r="AM325" t="str">
        <f t="shared" si="81"/>
        <v>No</v>
      </c>
      <c r="AN325" t="str">
        <f t="shared" si="82"/>
        <v>Elective</v>
      </c>
      <c r="AO325" t="str">
        <f t="shared" si="83"/>
        <v>General Ward</v>
      </c>
    </row>
    <row r="326" spans="1:41" x14ac:dyDescent="0.3">
      <c r="A326" s="21" t="str">
        <f t="shared" si="76"/>
        <v>UHID-00325</v>
      </c>
      <c r="B326" s="18">
        <v>68</v>
      </c>
      <c r="C326" s="10" t="s">
        <v>17</v>
      </c>
      <c r="D326" s="13" t="s">
        <v>26</v>
      </c>
      <c r="E326" s="13" t="s">
        <v>3</v>
      </c>
      <c r="F326" s="15">
        <v>46190.972426400498</v>
      </c>
      <c r="G326" s="4">
        <v>46190</v>
      </c>
      <c r="H326" s="1">
        <v>46193.578694641197</v>
      </c>
      <c r="I326" s="22">
        <v>46193</v>
      </c>
      <c r="J326" s="24">
        <f t="shared" si="70"/>
        <v>46193.452172465979</v>
      </c>
      <c r="K326" s="24">
        <f t="shared" si="71"/>
        <v>0.5786946411972167</v>
      </c>
      <c r="L326" s="29">
        <f t="shared" si="77"/>
        <v>46192</v>
      </c>
      <c r="M326" s="27" t="str">
        <f t="shared" si="72"/>
        <v>TPA Approval Delay</v>
      </c>
      <c r="N326" s="31">
        <f t="shared" si="73"/>
        <v>3</v>
      </c>
      <c r="O326" s="27"/>
      <c r="Q326" s="8">
        <v>0.77123956866122745</v>
      </c>
      <c r="R326" s="8" t="str">
        <f t="shared" si="74"/>
        <v>Major Delay</v>
      </c>
      <c r="S326" s="33">
        <v>3.036532205259332</v>
      </c>
      <c r="T326" t="s">
        <v>31</v>
      </c>
      <c r="U326" s="3">
        <v>0</v>
      </c>
      <c r="V326" s="3" t="str">
        <f t="shared" si="78"/>
        <v>Normal</v>
      </c>
      <c r="W326" s="3" t="s">
        <v>51</v>
      </c>
      <c r="X326" s="32">
        <f t="shared" si="75"/>
        <v>0.12652217521826969</v>
      </c>
      <c r="Z326" s="38">
        <f t="shared" si="79"/>
        <v>1.5221752182696946E-3</v>
      </c>
      <c r="AC326" s="36">
        <v>0.125</v>
      </c>
      <c r="AL326" t="str">
        <f t="shared" si="80"/>
        <v>TPA Approval Delay</v>
      </c>
      <c r="AM326" t="str">
        <f t="shared" si="81"/>
        <v>No</v>
      </c>
      <c r="AN326" t="str">
        <f t="shared" si="82"/>
        <v>Elective</v>
      </c>
      <c r="AO326" t="str">
        <f t="shared" si="83"/>
        <v>General Ward</v>
      </c>
    </row>
    <row r="327" spans="1:41" x14ac:dyDescent="0.3">
      <c r="A327" s="21" t="str">
        <f t="shared" si="76"/>
        <v>UHID-00326</v>
      </c>
      <c r="B327" s="18">
        <v>69</v>
      </c>
      <c r="C327" s="10" t="s">
        <v>18</v>
      </c>
      <c r="D327" s="13" t="s">
        <v>27</v>
      </c>
      <c r="E327" s="13" t="s">
        <v>3</v>
      </c>
      <c r="F327" s="15">
        <v>46189.941100520802</v>
      </c>
      <c r="G327" s="4">
        <v>46189</v>
      </c>
      <c r="H327" s="1">
        <v>46193.750867037001</v>
      </c>
      <c r="I327" s="22">
        <v>46193</v>
      </c>
      <c r="J327" s="24">
        <f t="shared" si="70"/>
        <v>46193.61874341518</v>
      </c>
      <c r="K327" s="24">
        <f t="shared" si="71"/>
        <v>0.75086703700071666</v>
      </c>
      <c r="L327" s="29">
        <f t="shared" si="77"/>
        <v>46192</v>
      </c>
      <c r="M327" s="27" t="str">
        <f t="shared" si="72"/>
        <v>Medication Change</v>
      </c>
      <c r="N327" s="31">
        <f t="shared" si="73"/>
        <v>4</v>
      </c>
      <c r="O327" s="27"/>
      <c r="Q327" s="8">
        <v>0.38243935661624417</v>
      </c>
      <c r="R327" s="8" t="str">
        <f t="shared" si="74"/>
        <v>Major Delay</v>
      </c>
      <c r="S327" s="33">
        <v>1.1709669236867175</v>
      </c>
      <c r="T327" t="s">
        <v>31</v>
      </c>
      <c r="U327" s="3">
        <v>2</v>
      </c>
      <c r="V327" s="3" t="str">
        <f t="shared" si="78"/>
        <v>Normal</v>
      </c>
      <c r="W327" s="3" t="s">
        <v>50</v>
      </c>
      <c r="X327" s="32">
        <f t="shared" si="75"/>
        <v>0.13212362182093784</v>
      </c>
      <c r="Z327" s="38">
        <f t="shared" si="79"/>
        <v>7.1236218209378421E-3</v>
      </c>
      <c r="AC327" s="36">
        <v>0.125</v>
      </c>
      <c r="AL327" t="str">
        <f t="shared" si="80"/>
        <v>Medication Change</v>
      </c>
      <c r="AM327" t="str">
        <f t="shared" si="81"/>
        <v>No</v>
      </c>
      <c r="AN327" t="str">
        <f t="shared" si="82"/>
        <v>Elective</v>
      </c>
      <c r="AO327" t="str">
        <f t="shared" si="83"/>
        <v>HDU</v>
      </c>
    </row>
    <row r="328" spans="1:41" x14ac:dyDescent="0.3">
      <c r="A328" s="21" t="str">
        <f t="shared" si="76"/>
        <v>UHID-00327</v>
      </c>
      <c r="B328" s="18">
        <v>43</v>
      </c>
      <c r="C328" s="10" t="s">
        <v>18</v>
      </c>
      <c r="D328" s="13" t="s">
        <v>27</v>
      </c>
      <c r="E328" s="13" t="s">
        <v>3</v>
      </c>
      <c r="F328" s="15">
        <v>46189.758829919003</v>
      </c>
      <c r="G328" s="4">
        <v>46189</v>
      </c>
      <c r="H328" s="1">
        <v>46193.828536724497</v>
      </c>
      <c r="I328" s="22">
        <v>46193</v>
      </c>
      <c r="J328" s="24">
        <f t="shared" si="70"/>
        <v>46193.437312468457</v>
      </c>
      <c r="K328" s="24">
        <f t="shared" si="71"/>
        <v>0.82853672449709848</v>
      </c>
      <c r="L328" s="29">
        <f t="shared" si="77"/>
        <v>46192</v>
      </c>
      <c r="M328" s="27" t="str">
        <f t="shared" si="72"/>
        <v>Health Deterioration</v>
      </c>
      <c r="N328" s="31">
        <f t="shared" si="73"/>
        <v>4</v>
      </c>
      <c r="O328" s="27"/>
      <c r="Q328" s="8">
        <v>0.16498520614961698</v>
      </c>
      <c r="R328" s="8" t="str">
        <f t="shared" si="74"/>
        <v>Critical Delay</v>
      </c>
      <c r="S328" s="33">
        <v>1.3893821449876889</v>
      </c>
      <c r="T328" t="s">
        <v>30</v>
      </c>
      <c r="U328" s="3">
        <v>8</v>
      </c>
      <c r="V328" s="3" t="str">
        <f t="shared" si="78"/>
        <v/>
      </c>
      <c r="W328" s="3" t="s">
        <v>52</v>
      </c>
      <c r="X328" s="32">
        <f t="shared" si="75"/>
        <v>0.39122425604000455</v>
      </c>
      <c r="Z328" s="38">
        <f t="shared" si="79"/>
        <v>0.26622425604000455</v>
      </c>
      <c r="AC328" s="36">
        <v>0.125</v>
      </c>
      <c r="AL328" t="str">
        <f t="shared" si="80"/>
        <v>Health Deterioration</v>
      </c>
      <c r="AM328" t="str">
        <f t="shared" si="81"/>
        <v>No</v>
      </c>
      <c r="AN328" t="str">
        <f t="shared" si="82"/>
        <v>Emergency</v>
      </c>
      <c r="AO328" t="str">
        <f t="shared" si="83"/>
        <v>HDU</v>
      </c>
    </row>
    <row r="329" spans="1:41" x14ac:dyDescent="0.3">
      <c r="A329" s="21" t="str">
        <f t="shared" si="76"/>
        <v>UHID-00328</v>
      </c>
      <c r="B329" s="18">
        <v>66</v>
      </c>
      <c r="C329" s="10" t="s">
        <v>18</v>
      </c>
      <c r="D329" s="13" t="s">
        <v>27</v>
      </c>
      <c r="E329" s="13" t="s">
        <v>3</v>
      </c>
      <c r="F329" s="15">
        <v>46188.708758541703</v>
      </c>
      <c r="G329" s="4">
        <v>46188</v>
      </c>
      <c r="H329" s="1">
        <v>46193.821641412003</v>
      </c>
      <c r="I329" s="22">
        <v>46193</v>
      </c>
      <c r="J329" s="24">
        <f t="shared" si="70"/>
        <v>46193.740886769468</v>
      </c>
      <c r="K329" s="24">
        <f t="shared" si="71"/>
        <v>0.82164141200337326</v>
      </c>
      <c r="L329" s="29">
        <f t="shared" si="77"/>
        <v>46192</v>
      </c>
      <c r="M329" s="27" t="str">
        <f t="shared" si="72"/>
        <v>Normal</v>
      </c>
      <c r="N329" s="31">
        <f t="shared" si="73"/>
        <v>5</v>
      </c>
      <c r="O329" s="27"/>
      <c r="Q329" s="8">
        <v>0.28590258740694574</v>
      </c>
      <c r="R329" s="8" t="str">
        <f t="shared" si="74"/>
        <v>On Time</v>
      </c>
      <c r="S329" s="33">
        <v>1.9381114207987078</v>
      </c>
      <c r="T329" t="s">
        <v>30</v>
      </c>
      <c r="U329" s="3">
        <v>0</v>
      </c>
      <c r="V329" s="3" t="str">
        <f t="shared" si="78"/>
        <v/>
      </c>
      <c r="W329" s="3" t="s">
        <v>51</v>
      </c>
      <c r="X329" s="32">
        <f t="shared" si="75"/>
        <v>8.0754642534884624E-2</v>
      </c>
      <c r="Z329" s="38">
        <f t="shared" si="79"/>
        <v>0</v>
      </c>
      <c r="AC329" s="36">
        <v>0.125</v>
      </c>
      <c r="AL329" t="str">
        <f t="shared" si="80"/>
        <v>Normal</v>
      </c>
      <c r="AM329" t="str">
        <f t="shared" si="81"/>
        <v>No</v>
      </c>
      <c r="AN329" t="str">
        <f t="shared" si="82"/>
        <v>Elective</v>
      </c>
      <c r="AO329" t="str">
        <f t="shared" si="83"/>
        <v>HDU</v>
      </c>
    </row>
    <row r="330" spans="1:41" x14ac:dyDescent="0.3">
      <c r="A330" s="21" t="str">
        <f t="shared" si="76"/>
        <v>UHID-00329</v>
      </c>
      <c r="B330" s="18">
        <v>28</v>
      </c>
      <c r="C330" s="10" t="s">
        <v>17</v>
      </c>
      <c r="D330" s="13" t="s">
        <v>27</v>
      </c>
      <c r="E330" s="13" t="s">
        <v>3</v>
      </c>
      <c r="F330" s="15">
        <v>46192.052278588002</v>
      </c>
      <c r="G330" s="4">
        <v>46192</v>
      </c>
      <c r="H330" s="1">
        <v>46194.580163182902</v>
      </c>
      <c r="I330" s="22">
        <v>46194</v>
      </c>
      <c r="J330" s="24">
        <f t="shared" si="70"/>
        <v>46194.505861454963</v>
      </c>
      <c r="K330" s="24">
        <f t="shared" si="71"/>
        <v>0.5801631829017424</v>
      </c>
      <c r="L330" s="29">
        <f t="shared" si="77"/>
        <v>46193</v>
      </c>
      <c r="M330" s="27" t="str">
        <f t="shared" si="72"/>
        <v>Normal</v>
      </c>
      <c r="N330" s="31">
        <f t="shared" si="73"/>
        <v>2</v>
      </c>
      <c r="O330" s="27"/>
      <c r="Q330" s="8">
        <v>0.25187687394807945</v>
      </c>
      <c r="R330" s="8" t="str">
        <f t="shared" si="74"/>
        <v>On Time</v>
      </c>
      <c r="S330" s="33">
        <v>1.7832414705095423</v>
      </c>
      <c r="T330" t="s">
        <v>30</v>
      </c>
      <c r="U330" s="3">
        <v>0</v>
      </c>
      <c r="V330" s="3" t="str">
        <f t="shared" si="78"/>
        <v/>
      </c>
      <c r="W330" s="3" t="s">
        <v>51</v>
      </c>
      <c r="X330" s="32">
        <f t="shared" si="75"/>
        <v>7.4301727938291151E-2</v>
      </c>
      <c r="Z330" s="38">
        <f t="shared" si="79"/>
        <v>0</v>
      </c>
      <c r="AC330" s="36">
        <v>0.125</v>
      </c>
      <c r="AL330" t="str">
        <f t="shared" si="80"/>
        <v>Normal</v>
      </c>
      <c r="AM330" t="str">
        <f t="shared" si="81"/>
        <v>No</v>
      </c>
      <c r="AN330" t="str">
        <f t="shared" si="82"/>
        <v>Elective</v>
      </c>
      <c r="AO330" t="str">
        <f t="shared" si="83"/>
        <v>General Ward</v>
      </c>
    </row>
    <row r="331" spans="1:41" x14ac:dyDescent="0.3">
      <c r="A331" s="21" t="str">
        <f t="shared" si="76"/>
        <v>UHID-00330</v>
      </c>
      <c r="B331" s="18">
        <v>34</v>
      </c>
      <c r="C331" s="10" t="s">
        <v>18</v>
      </c>
      <c r="D331" s="13" t="s">
        <v>27</v>
      </c>
      <c r="E331" s="13" t="s">
        <v>3</v>
      </c>
      <c r="F331" s="15">
        <v>46191.782236724503</v>
      </c>
      <c r="G331" s="4">
        <v>46191</v>
      </c>
      <c r="H331" s="1">
        <v>46194.584323865703</v>
      </c>
      <c r="I331" s="22">
        <v>46194</v>
      </c>
      <c r="J331" s="24">
        <f t="shared" si="70"/>
        <v>46194.542416515367</v>
      </c>
      <c r="K331" s="24">
        <f t="shared" si="71"/>
        <v>0.58432386570348172</v>
      </c>
      <c r="L331" s="29">
        <f t="shared" si="77"/>
        <v>46193</v>
      </c>
      <c r="M331" s="27" t="str">
        <f t="shared" si="72"/>
        <v>Normal</v>
      </c>
      <c r="N331" s="31">
        <f t="shared" si="73"/>
        <v>3</v>
      </c>
      <c r="O331" s="27"/>
      <c r="Q331" s="8">
        <v>0.46894971985568312</v>
      </c>
      <c r="R331" s="8" t="str">
        <f t="shared" si="74"/>
        <v>On Time</v>
      </c>
      <c r="S331" s="33">
        <v>1.0057764080060403</v>
      </c>
      <c r="T331" t="s">
        <v>31</v>
      </c>
      <c r="U331" s="3">
        <v>0</v>
      </c>
      <c r="V331" s="3" t="str">
        <f t="shared" si="78"/>
        <v>Normal</v>
      </c>
      <c r="W331" s="3" t="s">
        <v>51</v>
      </c>
      <c r="X331" s="32">
        <f t="shared" si="75"/>
        <v>4.1907350336259697E-2</v>
      </c>
      <c r="Z331" s="38">
        <f t="shared" si="79"/>
        <v>0</v>
      </c>
      <c r="AC331" s="36">
        <v>0.125</v>
      </c>
      <c r="AL331" t="str">
        <f t="shared" si="80"/>
        <v>Normal</v>
      </c>
      <c r="AM331" t="str">
        <f t="shared" si="81"/>
        <v>No</v>
      </c>
      <c r="AN331" t="str">
        <f t="shared" si="82"/>
        <v>Elective</v>
      </c>
      <c r="AO331" t="str">
        <f t="shared" si="83"/>
        <v>General Ward</v>
      </c>
    </row>
    <row r="332" spans="1:41" x14ac:dyDescent="0.3">
      <c r="A332" s="21" t="str">
        <f t="shared" si="76"/>
        <v>UHID-00331</v>
      </c>
      <c r="B332" s="18">
        <v>29</v>
      </c>
      <c r="C332" s="10" t="s">
        <v>17</v>
      </c>
      <c r="D332" s="13" t="s">
        <v>27</v>
      </c>
      <c r="E332" s="13" t="s">
        <v>3</v>
      </c>
      <c r="F332" s="15">
        <v>46192.829435555599</v>
      </c>
      <c r="G332" s="4">
        <v>46192</v>
      </c>
      <c r="H332" s="1">
        <v>46194.5730131366</v>
      </c>
      <c r="I332" s="22">
        <v>46194</v>
      </c>
      <c r="J332" s="24">
        <f t="shared" si="70"/>
        <v>46194.51355214759</v>
      </c>
      <c r="K332" s="24">
        <f t="shared" si="71"/>
        <v>0.57301313659991138</v>
      </c>
      <c r="L332" s="29">
        <f t="shared" si="77"/>
        <v>46193</v>
      </c>
      <c r="M332" s="27" t="str">
        <f t="shared" si="72"/>
        <v>Normal</v>
      </c>
      <c r="N332" s="31">
        <f t="shared" si="73"/>
        <v>2</v>
      </c>
      <c r="O332" s="27"/>
      <c r="Q332" s="8">
        <v>0.18968459517533376</v>
      </c>
      <c r="R332" s="8" t="str">
        <f t="shared" si="74"/>
        <v>On Time</v>
      </c>
      <c r="S332" s="33">
        <v>1.4270637363083072</v>
      </c>
      <c r="T332" t="s">
        <v>30</v>
      </c>
      <c r="U332" s="3">
        <v>0</v>
      </c>
      <c r="V332" s="3" t="str">
        <f t="shared" si="78"/>
        <v/>
      </c>
      <c r="W332" s="3" t="s">
        <v>51</v>
      </c>
      <c r="X332" s="32">
        <f t="shared" si="75"/>
        <v>5.9460989010403864E-2</v>
      </c>
      <c r="Z332" s="38">
        <f t="shared" si="79"/>
        <v>0</v>
      </c>
      <c r="AC332" s="36">
        <v>0.125</v>
      </c>
      <c r="AL332" t="str">
        <f t="shared" si="80"/>
        <v>Normal</v>
      </c>
      <c r="AM332" t="str">
        <f t="shared" si="81"/>
        <v>No</v>
      </c>
      <c r="AN332" t="str">
        <f t="shared" si="82"/>
        <v>Elective</v>
      </c>
      <c r="AO332" t="str">
        <f t="shared" si="83"/>
        <v>General Ward</v>
      </c>
    </row>
    <row r="333" spans="1:41" x14ac:dyDescent="0.3">
      <c r="A333" s="21" t="str">
        <f t="shared" si="76"/>
        <v>UHID-00332</v>
      </c>
      <c r="B333" s="18">
        <v>65</v>
      </c>
      <c r="C333" s="10" t="s">
        <v>17</v>
      </c>
      <c r="D333" s="13" t="s">
        <v>26</v>
      </c>
      <c r="E333" s="13" t="s">
        <v>3</v>
      </c>
      <c r="F333" s="15">
        <v>46190.808723969902</v>
      </c>
      <c r="G333" s="4">
        <v>46190</v>
      </c>
      <c r="H333" s="1">
        <v>46194.6279404745</v>
      </c>
      <c r="I333" s="22">
        <v>46194</v>
      </c>
      <c r="J333" s="24">
        <f t="shared" si="70"/>
        <v>46194.482102040405</v>
      </c>
      <c r="K333" s="24">
        <f t="shared" si="71"/>
        <v>0.62794047450006474</v>
      </c>
      <c r="L333" s="29">
        <f t="shared" si="77"/>
        <v>46193</v>
      </c>
      <c r="M333" s="27" t="str">
        <f t="shared" si="72"/>
        <v>TPA Approval Delay</v>
      </c>
      <c r="N333" s="31">
        <f t="shared" si="73"/>
        <v>4</v>
      </c>
      <c r="O333" s="27"/>
      <c r="Q333" s="8">
        <v>0.51084712611918326</v>
      </c>
      <c r="R333" s="8" t="str">
        <f t="shared" si="74"/>
        <v>Major Delay</v>
      </c>
      <c r="S333" s="33">
        <v>3.5001224183602506</v>
      </c>
      <c r="T333" t="s">
        <v>31</v>
      </c>
      <c r="U333" s="3">
        <v>0</v>
      </c>
      <c r="V333" s="3" t="str">
        <f t="shared" si="78"/>
        <v>Normal</v>
      </c>
      <c r="W333" s="3" t="s">
        <v>51</v>
      </c>
      <c r="X333" s="32">
        <f t="shared" si="75"/>
        <v>0.14583843409491237</v>
      </c>
      <c r="Z333" s="38">
        <f t="shared" si="79"/>
        <v>2.0838434094912373E-2</v>
      </c>
      <c r="AC333" s="36">
        <v>0.125</v>
      </c>
      <c r="AL333" t="str">
        <f t="shared" si="80"/>
        <v>TPA Approval Delay</v>
      </c>
      <c r="AM333" t="str">
        <f t="shared" si="81"/>
        <v>No</v>
      </c>
      <c r="AN333" t="str">
        <f t="shared" si="82"/>
        <v>Elective</v>
      </c>
      <c r="AO333" t="str">
        <f t="shared" si="83"/>
        <v>HDU</v>
      </c>
    </row>
    <row r="334" spans="1:41" x14ac:dyDescent="0.3">
      <c r="A334" s="21" t="str">
        <f t="shared" si="76"/>
        <v>UHID-00333</v>
      </c>
      <c r="B334" s="18">
        <v>28</v>
      </c>
      <c r="C334" s="10" t="s">
        <v>18</v>
      </c>
      <c r="D334" s="13" t="s">
        <v>27</v>
      </c>
      <c r="E334" s="13" t="s">
        <v>3</v>
      </c>
      <c r="F334" s="15">
        <v>46190.826594629601</v>
      </c>
      <c r="G334" s="4">
        <v>46190</v>
      </c>
      <c r="H334" s="1">
        <v>46195.608403263897</v>
      </c>
      <c r="I334" s="22">
        <v>46195</v>
      </c>
      <c r="J334" s="24">
        <f t="shared" si="70"/>
        <v>46195.544271481434</v>
      </c>
      <c r="K334" s="24">
        <f t="shared" si="71"/>
        <v>0.608403263897344</v>
      </c>
      <c r="L334" s="29">
        <f t="shared" si="77"/>
        <v>46194</v>
      </c>
      <c r="M334" s="27" t="str">
        <f t="shared" si="72"/>
        <v>Normal</v>
      </c>
      <c r="N334" s="31">
        <f t="shared" si="73"/>
        <v>5</v>
      </c>
      <c r="O334" s="27"/>
      <c r="Q334" s="8">
        <v>0.36189542072851233</v>
      </c>
      <c r="R334" s="8" t="str">
        <f t="shared" si="74"/>
        <v>On Time</v>
      </c>
      <c r="S334" s="33">
        <v>1.5391627790833744</v>
      </c>
      <c r="T334" t="s">
        <v>31</v>
      </c>
      <c r="U334" s="3">
        <v>0</v>
      </c>
      <c r="V334" s="3" t="str">
        <f t="shared" si="78"/>
        <v>Normal</v>
      </c>
      <c r="W334" s="3" t="s">
        <v>51</v>
      </c>
      <c r="X334" s="32">
        <f t="shared" si="75"/>
        <v>6.4131782462936826E-2</v>
      </c>
      <c r="Z334" s="38">
        <f t="shared" si="79"/>
        <v>0</v>
      </c>
      <c r="AC334" s="36">
        <v>0.125</v>
      </c>
      <c r="AL334" t="str">
        <f t="shared" si="80"/>
        <v>Normal</v>
      </c>
      <c r="AM334" t="str">
        <f t="shared" si="81"/>
        <v>No</v>
      </c>
      <c r="AN334" t="str">
        <f t="shared" si="82"/>
        <v>Elective</v>
      </c>
      <c r="AO334" t="str">
        <f t="shared" si="83"/>
        <v>HDU</v>
      </c>
    </row>
    <row r="335" spans="1:41" x14ac:dyDescent="0.3">
      <c r="A335" s="21" t="str">
        <f t="shared" si="76"/>
        <v>UHID-00334</v>
      </c>
      <c r="B335" s="18">
        <v>52</v>
      </c>
      <c r="C335" s="10" t="s">
        <v>18</v>
      </c>
      <c r="D335" s="13" t="s">
        <v>26</v>
      </c>
      <c r="E335" s="13" t="s">
        <v>3</v>
      </c>
      <c r="F335" s="15">
        <v>46190.855440694402</v>
      </c>
      <c r="G335" s="4">
        <v>46190</v>
      </c>
      <c r="H335" s="1">
        <v>46195.533382951398</v>
      </c>
      <c r="I335" s="22">
        <v>46195</v>
      </c>
      <c r="J335" s="24">
        <f t="shared" si="70"/>
        <v>46195.400431266906</v>
      </c>
      <c r="K335" s="24">
        <f t="shared" si="71"/>
        <v>0.5333829513983801</v>
      </c>
      <c r="L335" s="29">
        <f t="shared" si="77"/>
        <v>46194</v>
      </c>
      <c r="M335" s="27" t="str">
        <f t="shared" si="72"/>
        <v>TPA Approval Delay</v>
      </c>
      <c r="N335" s="31">
        <f t="shared" si="73"/>
        <v>5</v>
      </c>
      <c r="O335" s="27"/>
      <c r="Q335" s="8">
        <v>0.79655943341422919</v>
      </c>
      <c r="R335" s="8" t="str">
        <f t="shared" si="74"/>
        <v>Major Delay</v>
      </c>
      <c r="S335" s="33">
        <v>3.1908404278167843</v>
      </c>
      <c r="T335" t="s">
        <v>31</v>
      </c>
      <c r="U335" s="3">
        <v>0</v>
      </c>
      <c r="V335" s="3" t="str">
        <f t="shared" si="78"/>
        <v>Normal</v>
      </c>
      <c r="W335" s="3" t="s">
        <v>51</v>
      </c>
      <c r="X335" s="32">
        <f t="shared" si="75"/>
        <v>0.13295168449258199</v>
      </c>
      <c r="Z335" s="38">
        <f t="shared" si="79"/>
        <v>7.9516844925819896E-3</v>
      </c>
      <c r="AC335" s="36">
        <v>0.125</v>
      </c>
      <c r="AL335" t="str">
        <f t="shared" si="80"/>
        <v>TPA Approval Delay</v>
      </c>
      <c r="AM335" t="str">
        <f t="shared" si="81"/>
        <v>No</v>
      </c>
      <c r="AN335" t="str">
        <f t="shared" si="82"/>
        <v>Elective</v>
      </c>
      <c r="AO335" t="str">
        <f t="shared" si="83"/>
        <v>HDU</v>
      </c>
    </row>
    <row r="336" spans="1:41" x14ac:dyDescent="0.3">
      <c r="A336" s="21" t="str">
        <f t="shared" si="76"/>
        <v>UHID-00335</v>
      </c>
      <c r="B336" s="18">
        <v>37</v>
      </c>
      <c r="C336" s="10" t="s">
        <v>17</v>
      </c>
      <c r="D336" s="13" t="s">
        <v>26</v>
      </c>
      <c r="E336" s="13" t="s">
        <v>3</v>
      </c>
      <c r="F336" s="15">
        <v>46182.020426377298</v>
      </c>
      <c r="G336" s="4">
        <v>46182</v>
      </c>
      <c r="H336" s="1">
        <v>46195.6840910764</v>
      </c>
      <c r="I336" s="22">
        <v>46195</v>
      </c>
      <c r="J336" s="24">
        <f t="shared" si="70"/>
        <v>46195.542203285011</v>
      </c>
      <c r="K336" s="24">
        <f t="shared" si="71"/>
        <v>0.68409107640036382</v>
      </c>
      <c r="L336" s="29">
        <f t="shared" si="77"/>
        <v>46194</v>
      </c>
      <c r="M336" s="27" t="str">
        <f t="shared" si="72"/>
        <v>TPA Approval Delay</v>
      </c>
      <c r="N336" s="31">
        <f t="shared" si="73"/>
        <v>13</v>
      </c>
      <c r="O336" s="27"/>
      <c r="Q336" s="8">
        <v>0.75970630235360315</v>
      </c>
      <c r="R336" s="8" t="str">
        <f t="shared" si="74"/>
        <v>Major Delay</v>
      </c>
      <c r="S336" s="33">
        <v>3.405306993399666</v>
      </c>
      <c r="T336" t="s">
        <v>31</v>
      </c>
      <c r="U336" s="3">
        <v>0</v>
      </c>
      <c r="V336" s="3" t="str">
        <f t="shared" si="78"/>
        <v>Normal</v>
      </c>
      <c r="W336" s="3" t="s">
        <v>51</v>
      </c>
      <c r="X336" s="32">
        <f t="shared" si="75"/>
        <v>0.1418877913893084</v>
      </c>
      <c r="Z336" s="38">
        <f t="shared" si="79"/>
        <v>1.6887791389308404E-2</v>
      </c>
      <c r="AC336" s="36">
        <v>0.125</v>
      </c>
      <c r="AL336" t="str">
        <f t="shared" si="80"/>
        <v>TPA Approval Delay</v>
      </c>
      <c r="AM336" t="str">
        <f t="shared" si="81"/>
        <v>Yes</v>
      </c>
      <c r="AN336" t="str">
        <f t="shared" si="82"/>
        <v>Emergency</v>
      </c>
      <c r="AO336" t="str">
        <f t="shared" si="83"/>
        <v>ICU</v>
      </c>
    </row>
    <row r="337" spans="1:41" x14ac:dyDescent="0.3">
      <c r="A337" s="21" t="str">
        <f t="shared" si="76"/>
        <v>UHID-00336</v>
      </c>
      <c r="B337" s="18">
        <v>56</v>
      </c>
      <c r="C337" s="10" t="s">
        <v>17</v>
      </c>
      <c r="D337" s="13" t="s">
        <v>26</v>
      </c>
      <c r="E337" s="13" t="s">
        <v>3</v>
      </c>
      <c r="F337" s="15">
        <v>46192.688965266199</v>
      </c>
      <c r="G337" s="4">
        <v>46192</v>
      </c>
      <c r="H337" s="1">
        <v>46195.706281944404</v>
      </c>
      <c r="I337" s="22">
        <v>46195</v>
      </c>
      <c r="J337" s="24">
        <f t="shared" si="70"/>
        <v>46195.554304163845</v>
      </c>
      <c r="K337" s="24">
        <f t="shared" si="71"/>
        <v>0.70628194440359948</v>
      </c>
      <c r="L337" s="29">
        <f t="shared" si="77"/>
        <v>46194</v>
      </c>
      <c r="M337" s="27" t="str">
        <f t="shared" si="72"/>
        <v>TPA Approval Delay</v>
      </c>
      <c r="N337" s="31">
        <f t="shared" si="73"/>
        <v>3</v>
      </c>
      <c r="O337" s="27"/>
      <c r="Q337" s="8">
        <v>0.65576480190261321</v>
      </c>
      <c r="R337" s="8" t="str">
        <f t="shared" si="74"/>
        <v>Major Delay</v>
      </c>
      <c r="S337" s="33">
        <v>3.6474667333869228</v>
      </c>
      <c r="T337" t="s">
        <v>31</v>
      </c>
      <c r="U337" s="3">
        <v>0</v>
      </c>
      <c r="V337" s="3" t="str">
        <f t="shared" si="78"/>
        <v>Normal</v>
      </c>
      <c r="W337" s="3" t="s">
        <v>51</v>
      </c>
      <c r="X337" s="32">
        <f t="shared" si="75"/>
        <v>0.15197778055880917</v>
      </c>
      <c r="Z337" s="38">
        <f t="shared" si="79"/>
        <v>2.6977780558809172E-2</v>
      </c>
      <c r="AC337" s="36">
        <v>0.125</v>
      </c>
      <c r="AL337" t="str">
        <f t="shared" si="80"/>
        <v>TPA Approval Delay</v>
      </c>
      <c r="AM337" t="str">
        <f t="shared" si="81"/>
        <v>No</v>
      </c>
      <c r="AN337" t="str">
        <f t="shared" si="82"/>
        <v>Elective</v>
      </c>
      <c r="AO337" t="str">
        <f t="shared" si="83"/>
        <v>General Ward</v>
      </c>
    </row>
    <row r="338" spans="1:41" x14ac:dyDescent="0.3">
      <c r="A338" s="21" t="str">
        <f t="shared" si="76"/>
        <v>UHID-00337</v>
      </c>
      <c r="B338" s="18">
        <v>24</v>
      </c>
      <c r="C338" s="10" t="s">
        <v>17</v>
      </c>
      <c r="D338" s="13" t="s">
        <v>27</v>
      </c>
      <c r="E338" s="13" t="s">
        <v>3</v>
      </c>
      <c r="F338" s="15">
        <v>46195.382865821797</v>
      </c>
      <c r="G338" s="4">
        <v>46195</v>
      </c>
      <c r="H338" s="1">
        <v>46195.932342419001</v>
      </c>
      <c r="I338" s="22">
        <v>46195</v>
      </c>
      <c r="J338" s="24">
        <f t="shared" si="70"/>
        <v>46195.852877539008</v>
      </c>
      <c r="K338" s="24">
        <f t="shared" si="71"/>
        <v>0.93234241900063353</v>
      </c>
      <c r="L338" s="29">
        <f t="shared" si="77"/>
        <v>46194</v>
      </c>
      <c r="M338" s="27" t="str">
        <f t="shared" si="72"/>
        <v>Normal</v>
      </c>
      <c r="N338" s="31">
        <f t="shared" si="73"/>
        <v>0</v>
      </c>
      <c r="O338" s="27"/>
      <c r="Q338" s="8">
        <v>0.4316109586319421</v>
      </c>
      <c r="R338" s="8" t="str">
        <f t="shared" si="74"/>
        <v>On Time</v>
      </c>
      <c r="S338" s="33">
        <v>1.9071571197580632</v>
      </c>
      <c r="T338" t="s">
        <v>31</v>
      </c>
      <c r="U338" s="3">
        <v>0</v>
      </c>
      <c r="V338" s="3" t="str">
        <f t="shared" si="78"/>
        <v>Normal</v>
      </c>
      <c r="W338" s="3" t="s">
        <v>51</v>
      </c>
      <c r="X338" s="32">
        <f t="shared" si="75"/>
        <v>7.9464879992883652E-2</v>
      </c>
      <c r="Z338" s="38">
        <f t="shared" si="79"/>
        <v>0</v>
      </c>
      <c r="AC338" s="36">
        <v>0.125</v>
      </c>
      <c r="AL338" t="str">
        <f t="shared" si="80"/>
        <v>Normal</v>
      </c>
      <c r="AM338" t="str">
        <f t="shared" si="81"/>
        <v>No</v>
      </c>
      <c r="AN338" t="str">
        <f t="shared" si="82"/>
        <v>Elective</v>
      </c>
      <c r="AO338" t="str">
        <f t="shared" si="83"/>
        <v>General Ward</v>
      </c>
    </row>
    <row r="339" spans="1:41" x14ac:dyDescent="0.3">
      <c r="A339" s="21" t="str">
        <f t="shared" si="76"/>
        <v>UHID-00338</v>
      </c>
      <c r="B339" s="18">
        <v>14</v>
      </c>
      <c r="C339" s="10" t="s">
        <v>17</v>
      </c>
      <c r="D339" s="13" t="s">
        <v>27</v>
      </c>
      <c r="E339" s="13" t="s">
        <v>3</v>
      </c>
      <c r="F339" s="15">
        <v>46193.081778194399</v>
      </c>
      <c r="G339" s="4">
        <v>46193</v>
      </c>
      <c r="H339" s="1">
        <v>46196.525877534703</v>
      </c>
      <c r="I339" s="22">
        <v>46196</v>
      </c>
      <c r="J339" s="24">
        <f t="shared" si="70"/>
        <v>46196.44379626005</v>
      </c>
      <c r="K339" s="24">
        <f t="shared" si="71"/>
        <v>0.5258775347028859</v>
      </c>
      <c r="L339" s="29">
        <f t="shared" si="77"/>
        <v>46195</v>
      </c>
      <c r="M339" s="27" t="str">
        <f t="shared" si="72"/>
        <v>Normal</v>
      </c>
      <c r="N339" s="31">
        <f t="shared" si="73"/>
        <v>3</v>
      </c>
      <c r="O339" s="27"/>
      <c r="Q339" s="8">
        <v>0.30936516330705655</v>
      </c>
      <c r="R339" s="8" t="str">
        <f t="shared" si="74"/>
        <v>On Time</v>
      </c>
      <c r="S339" s="33">
        <v>1.9699505916275548</v>
      </c>
      <c r="T339" t="s">
        <v>30</v>
      </c>
      <c r="U339" s="3">
        <v>0</v>
      </c>
      <c r="V339" s="3" t="str">
        <f t="shared" si="78"/>
        <v/>
      </c>
      <c r="W339" s="3" t="s">
        <v>51</v>
      </c>
      <c r="X339" s="32">
        <f t="shared" si="75"/>
        <v>8.2081274653319269E-2</v>
      </c>
      <c r="Z339" s="38">
        <f t="shared" si="79"/>
        <v>0</v>
      </c>
      <c r="AC339" s="36">
        <v>0.125</v>
      </c>
      <c r="AL339" t="str">
        <f t="shared" si="80"/>
        <v>Normal</v>
      </c>
      <c r="AM339" t="str">
        <f t="shared" si="81"/>
        <v>No</v>
      </c>
      <c r="AN339" t="str">
        <f t="shared" si="82"/>
        <v>Elective</v>
      </c>
      <c r="AO339" t="str">
        <f t="shared" si="83"/>
        <v>General Ward</v>
      </c>
    </row>
    <row r="340" spans="1:41" x14ac:dyDescent="0.3">
      <c r="A340" s="21" t="str">
        <f t="shared" si="76"/>
        <v>UHID-00339</v>
      </c>
      <c r="B340" s="18">
        <v>54</v>
      </c>
      <c r="C340" s="10" t="s">
        <v>18</v>
      </c>
      <c r="D340" s="13" t="s">
        <v>27</v>
      </c>
      <c r="E340" s="13" t="s">
        <v>3</v>
      </c>
      <c r="F340" s="15">
        <v>46195.502717419004</v>
      </c>
      <c r="G340" s="4">
        <v>46195</v>
      </c>
      <c r="H340" s="1">
        <v>46196.626557812502</v>
      </c>
      <c r="I340" s="22">
        <v>46196</v>
      </c>
      <c r="J340" s="24">
        <f t="shared" si="70"/>
        <v>46196.577229980445</v>
      </c>
      <c r="K340" s="24">
        <f t="shared" si="71"/>
        <v>0.62655781250214204</v>
      </c>
      <c r="L340" s="29">
        <f t="shared" si="77"/>
        <v>46195</v>
      </c>
      <c r="M340" s="27" t="str">
        <f t="shared" si="72"/>
        <v>Normal</v>
      </c>
      <c r="N340" s="31">
        <f t="shared" si="73"/>
        <v>1</v>
      </c>
      <c r="O340" s="27"/>
      <c r="Q340" s="8">
        <v>9.8247334301544975E-2</v>
      </c>
      <c r="R340" s="8" t="str">
        <f t="shared" si="74"/>
        <v>On Time</v>
      </c>
      <c r="S340" s="33">
        <v>1.1838679693350111</v>
      </c>
      <c r="T340" t="s">
        <v>30</v>
      </c>
      <c r="U340" s="3">
        <v>0</v>
      </c>
      <c r="V340" s="3" t="str">
        <f t="shared" si="78"/>
        <v/>
      </c>
      <c r="W340" s="3" t="s">
        <v>51</v>
      </c>
      <c r="X340" s="32">
        <f t="shared" si="75"/>
        <v>4.9327832057315391E-2</v>
      </c>
      <c r="Z340" s="38">
        <f t="shared" si="79"/>
        <v>0</v>
      </c>
      <c r="AC340" s="36">
        <v>0.125</v>
      </c>
      <c r="AL340" t="str">
        <f t="shared" si="80"/>
        <v>Normal</v>
      </c>
      <c r="AM340" t="str">
        <f t="shared" si="81"/>
        <v>No</v>
      </c>
      <c r="AN340" t="str">
        <f t="shared" si="82"/>
        <v>Elective</v>
      </c>
      <c r="AO340" t="str">
        <f t="shared" si="83"/>
        <v>General Ward</v>
      </c>
    </row>
    <row r="341" spans="1:41" x14ac:dyDescent="0.3">
      <c r="A341" s="21" t="str">
        <f t="shared" si="76"/>
        <v>UHID-00340</v>
      </c>
      <c r="B341" s="18">
        <v>28</v>
      </c>
      <c r="C341" s="10" t="s">
        <v>18</v>
      </c>
      <c r="D341" s="13" t="s">
        <v>28</v>
      </c>
      <c r="E341" s="13" t="s">
        <v>3</v>
      </c>
      <c r="F341" s="15">
        <v>46193.900928171301</v>
      </c>
      <c r="G341" s="4">
        <v>46193</v>
      </c>
      <c r="H341" s="1">
        <v>46196.678910682902</v>
      </c>
      <c r="I341" s="22">
        <v>46196</v>
      </c>
      <c r="J341" s="24">
        <f t="shared" si="70"/>
        <v>46196.458548459945</v>
      </c>
      <c r="K341" s="24">
        <f t="shared" si="71"/>
        <v>0.6789106829019147</v>
      </c>
      <c r="L341" s="29">
        <f t="shared" si="77"/>
        <v>46195</v>
      </c>
      <c r="M341" s="27" t="str">
        <f t="shared" si="72"/>
        <v>Health Deterioration</v>
      </c>
      <c r="N341" s="31">
        <f t="shared" si="73"/>
        <v>3</v>
      </c>
      <c r="O341" s="27"/>
      <c r="Q341" s="8">
        <v>0.96939660317467835</v>
      </c>
      <c r="R341" s="8" t="str">
        <f t="shared" si="74"/>
        <v>Critical Delay</v>
      </c>
      <c r="S341" s="33">
        <v>2.2886933510107816</v>
      </c>
      <c r="T341" t="s">
        <v>31</v>
      </c>
      <c r="U341" s="3">
        <v>3</v>
      </c>
      <c r="V341" s="3" t="str">
        <f t="shared" si="78"/>
        <v>Normal</v>
      </c>
      <c r="W341" s="3" t="s">
        <v>50</v>
      </c>
      <c r="X341" s="32">
        <f t="shared" si="75"/>
        <v>0.22036222295719199</v>
      </c>
      <c r="Z341" s="38">
        <f t="shared" si="79"/>
        <v>9.5362222957191989E-2</v>
      </c>
      <c r="AC341" s="36">
        <v>0.125</v>
      </c>
      <c r="AL341" t="str">
        <f t="shared" si="80"/>
        <v>Health Deterioration</v>
      </c>
      <c r="AM341" t="str">
        <f t="shared" si="81"/>
        <v>No</v>
      </c>
      <c r="AN341" t="str">
        <f t="shared" si="82"/>
        <v>Emergency</v>
      </c>
      <c r="AO341" t="str">
        <f t="shared" si="83"/>
        <v>General Ward</v>
      </c>
    </row>
    <row r="342" spans="1:41" x14ac:dyDescent="0.3">
      <c r="A342" s="21" t="str">
        <f t="shared" si="76"/>
        <v>UHID-00341</v>
      </c>
      <c r="B342" s="18">
        <v>48</v>
      </c>
      <c r="C342" s="10" t="s">
        <v>18</v>
      </c>
      <c r="D342" s="13" t="s">
        <v>26</v>
      </c>
      <c r="E342" s="13" t="s">
        <v>3</v>
      </c>
      <c r="F342" s="15">
        <v>46194.6003686806</v>
      </c>
      <c r="G342" s="4">
        <v>46194</v>
      </c>
      <c r="H342" s="1">
        <v>46196.3354599421</v>
      </c>
      <c r="I342" s="22">
        <v>46196</v>
      </c>
      <c r="J342" s="24">
        <f t="shared" si="70"/>
        <v>46196.072910423958</v>
      </c>
      <c r="K342" s="24">
        <f t="shared" si="71"/>
        <v>0.33545994209998753</v>
      </c>
      <c r="L342" s="29">
        <f t="shared" si="77"/>
        <v>46195</v>
      </c>
      <c r="M342" s="27" t="str">
        <f t="shared" si="72"/>
        <v>Health Deterioration/TPA Approval Delay</v>
      </c>
      <c r="N342" s="31">
        <f t="shared" si="73"/>
        <v>2</v>
      </c>
      <c r="O342" s="27"/>
      <c r="Q342" s="8">
        <v>0.79404451235665086</v>
      </c>
      <c r="R342" s="8" t="str">
        <f t="shared" si="74"/>
        <v>Critical Delay</v>
      </c>
      <c r="S342" s="33">
        <v>3.3011884353698608</v>
      </c>
      <c r="T342" t="s">
        <v>31</v>
      </c>
      <c r="U342" s="3">
        <v>3</v>
      </c>
      <c r="V342" s="3" t="str">
        <f t="shared" si="78"/>
        <v>Normal</v>
      </c>
      <c r="W342" s="3" t="s">
        <v>50</v>
      </c>
      <c r="X342" s="32">
        <f t="shared" si="75"/>
        <v>0.26254951814189553</v>
      </c>
      <c r="Z342" s="38">
        <f t="shared" si="79"/>
        <v>0.13754951814189553</v>
      </c>
      <c r="AC342" s="36">
        <v>0.125</v>
      </c>
      <c r="AL342" t="str">
        <f t="shared" si="80"/>
        <v>Health Deterioration/TPA Approval Delay</v>
      </c>
      <c r="AM342" t="str">
        <f t="shared" si="81"/>
        <v>No</v>
      </c>
      <c r="AN342" t="str">
        <f t="shared" si="82"/>
        <v>Emergency</v>
      </c>
      <c r="AO342" t="str">
        <f t="shared" si="83"/>
        <v>General Ward</v>
      </c>
    </row>
    <row r="343" spans="1:41" x14ac:dyDescent="0.3">
      <c r="A343" s="21" t="str">
        <f t="shared" si="76"/>
        <v>UHID-00342</v>
      </c>
      <c r="B343" s="18">
        <v>46</v>
      </c>
      <c r="C343" s="10" t="s">
        <v>18</v>
      </c>
      <c r="D343" s="13" t="s">
        <v>27</v>
      </c>
      <c r="E343" s="13" t="s">
        <v>3</v>
      </c>
      <c r="F343" s="15">
        <v>46192.754482361102</v>
      </c>
      <c r="G343" s="4">
        <v>46192</v>
      </c>
      <c r="H343" s="1">
        <v>46196.472953877303</v>
      </c>
      <c r="I343" s="22">
        <v>46196</v>
      </c>
      <c r="J343" s="24">
        <f t="shared" si="70"/>
        <v>46196.403469210556</v>
      </c>
      <c r="K343" s="24">
        <f t="shared" si="71"/>
        <v>0.47295387730264338</v>
      </c>
      <c r="L343" s="29">
        <f t="shared" si="77"/>
        <v>46195</v>
      </c>
      <c r="M343" s="27" t="str">
        <f t="shared" si="72"/>
        <v>Normal</v>
      </c>
      <c r="N343" s="31">
        <f t="shared" si="73"/>
        <v>4</v>
      </c>
      <c r="O343" s="27"/>
      <c r="Q343" s="8">
        <v>0.19421334605331997</v>
      </c>
      <c r="R343" s="8" t="str">
        <f t="shared" si="74"/>
        <v>On Time</v>
      </c>
      <c r="S343" s="33">
        <v>1.6676320019474917</v>
      </c>
      <c r="T343" t="s">
        <v>30</v>
      </c>
      <c r="U343" s="3">
        <v>0</v>
      </c>
      <c r="V343" s="3" t="str">
        <f t="shared" si="78"/>
        <v/>
      </c>
      <c r="W343" s="3" t="s">
        <v>51</v>
      </c>
      <c r="X343" s="32">
        <f t="shared" si="75"/>
        <v>6.9484666746575385E-2</v>
      </c>
      <c r="Z343" s="38">
        <f t="shared" si="79"/>
        <v>0</v>
      </c>
      <c r="AC343" s="36">
        <v>0.125</v>
      </c>
      <c r="AL343" t="str">
        <f t="shared" si="80"/>
        <v>Normal</v>
      </c>
      <c r="AM343" t="str">
        <f t="shared" si="81"/>
        <v>No</v>
      </c>
      <c r="AN343" t="str">
        <f t="shared" si="82"/>
        <v>Elective</v>
      </c>
      <c r="AO343" t="str">
        <f t="shared" si="83"/>
        <v>HDU</v>
      </c>
    </row>
    <row r="344" spans="1:41" x14ac:dyDescent="0.3">
      <c r="A344" s="21" t="str">
        <f t="shared" si="76"/>
        <v>UHID-00343</v>
      </c>
      <c r="B344" s="18">
        <v>41</v>
      </c>
      <c r="C344" s="10" t="s">
        <v>18</v>
      </c>
      <c r="D344" s="13" t="s">
        <v>27</v>
      </c>
      <c r="E344" s="13" t="s">
        <v>3</v>
      </c>
      <c r="F344" s="15">
        <v>46168.780165844903</v>
      </c>
      <c r="G344" s="4">
        <v>46168</v>
      </c>
      <c r="H344" s="1">
        <v>46196.428059768499</v>
      </c>
      <c r="I344" s="22">
        <v>46196</v>
      </c>
      <c r="J344" s="24">
        <f t="shared" si="70"/>
        <v>46196.278982683347</v>
      </c>
      <c r="K344" s="24">
        <f t="shared" si="71"/>
        <v>0.42805976849922445</v>
      </c>
      <c r="L344" s="29">
        <f t="shared" si="77"/>
        <v>46195</v>
      </c>
      <c r="M344" s="27" t="str">
        <f t="shared" si="72"/>
        <v>Medication Change</v>
      </c>
      <c r="N344" s="31">
        <f t="shared" si="73"/>
        <v>28</v>
      </c>
      <c r="O344" s="27"/>
      <c r="Q344" s="8">
        <v>4.8011246994561718E-2</v>
      </c>
      <c r="R344" s="8" t="str">
        <f t="shared" si="74"/>
        <v>Major Delay</v>
      </c>
      <c r="S344" s="33">
        <v>1.5778500436489304</v>
      </c>
      <c r="T344" t="s">
        <v>30</v>
      </c>
      <c r="U344" s="3">
        <v>2</v>
      </c>
      <c r="V344" s="3" t="str">
        <f t="shared" si="78"/>
        <v/>
      </c>
      <c r="W344" s="3" t="s">
        <v>50</v>
      </c>
      <c r="X344" s="32">
        <f t="shared" si="75"/>
        <v>0.14907708515238483</v>
      </c>
      <c r="Z344" s="38">
        <f t="shared" si="79"/>
        <v>2.4077085152384825E-2</v>
      </c>
      <c r="AC344" s="36">
        <v>0.125</v>
      </c>
      <c r="AL344" t="str">
        <f t="shared" si="80"/>
        <v>Medication Change</v>
      </c>
      <c r="AM344" t="str">
        <f t="shared" si="81"/>
        <v>Yes</v>
      </c>
      <c r="AN344" t="str">
        <f t="shared" si="82"/>
        <v>Emergency</v>
      </c>
      <c r="AO344" t="str">
        <f t="shared" si="83"/>
        <v>ICU</v>
      </c>
    </row>
    <row r="345" spans="1:41" x14ac:dyDescent="0.3">
      <c r="A345" s="21" t="str">
        <f t="shared" si="76"/>
        <v>UHID-00344</v>
      </c>
      <c r="B345" s="18">
        <v>69</v>
      </c>
      <c r="C345" s="10" t="s">
        <v>18</v>
      </c>
      <c r="D345" s="13" t="s">
        <v>27</v>
      </c>
      <c r="E345" s="13" t="s">
        <v>3</v>
      </c>
      <c r="F345" s="15">
        <v>46185.084755497701</v>
      </c>
      <c r="G345" s="4">
        <v>46185</v>
      </c>
      <c r="H345" s="1">
        <v>46196.553156388902</v>
      </c>
      <c r="I345" s="22">
        <v>46196</v>
      </c>
      <c r="J345" s="24">
        <f t="shared" si="70"/>
        <v>46196.475236514474</v>
      </c>
      <c r="K345" s="24">
        <f t="shared" si="71"/>
        <v>0.55315638890169794</v>
      </c>
      <c r="L345" s="29">
        <f t="shared" si="77"/>
        <v>46195</v>
      </c>
      <c r="M345" s="27" t="str">
        <f t="shared" si="72"/>
        <v>Normal</v>
      </c>
      <c r="N345" s="31">
        <f t="shared" si="73"/>
        <v>11</v>
      </c>
      <c r="O345" s="27"/>
      <c r="Q345" s="8">
        <v>0.22745428842359905</v>
      </c>
      <c r="R345" s="8" t="str">
        <f t="shared" si="74"/>
        <v>On Time</v>
      </c>
      <c r="S345" s="33">
        <v>1.870076986207664</v>
      </c>
      <c r="T345" t="s">
        <v>30</v>
      </c>
      <c r="U345" s="3">
        <v>0</v>
      </c>
      <c r="V345" s="3" t="str">
        <f t="shared" si="78"/>
        <v/>
      </c>
      <c r="W345" s="3" t="s">
        <v>51</v>
      </c>
      <c r="X345" s="32">
        <f t="shared" si="75"/>
        <v>7.7919874427607283E-2</v>
      </c>
      <c r="Z345" s="38">
        <f t="shared" si="79"/>
        <v>0</v>
      </c>
      <c r="AC345" s="36">
        <v>0.125</v>
      </c>
      <c r="AL345" t="str">
        <f t="shared" si="80"/>
        <v>Normal</v>
      </c>
      <c r="AM345" t="str">
        <f t="shared" si="81"/>
        <v>Yes</v>
      </c>
      <c r="AN345" t="str">
        <f t="shared" si="82"/>
        <v>Emergency</v>
      </c>
      <c r="AO345" t="str">
        <f t="shared" si="83"/>
        <v>ICU</v>
      </c>
    </row>
    <row r="346" spans="1:41" x14ac:dyDescent="0.3">
      <c r="A346" s="21" t="str">
        <f t="shared" si="76"/>
        <v>UHID-00345</v>
      </c>
      <c r="B346" s="18">
        <v>54</v>
      </c>
      <c r="C346" s="10" t="s">
        <v>18</v>
      </c>
      <c r="D346" s="13" t="s">
        <v>26</v>
      </c>
      <c r="E346" s="13" t="s">
        <v>3</v>
      </c>
      <c r="F346" s="15">
        <v>46189.787258425902</v>
      </c>
      <c r="G346" s="4">
        <v>46189</v>
      </c>
      <c r="H346" s="1">
        <v>46196.657046481501</v>
      </c>
      <c r="I346" s="22">
        <v>46196</v>
      </c>
      <c r="J346" s="24">
        <f t="shared" si="70"/>
        <v>46196.408570577449</v>
      </c>
      <c r="K346" s="24">
        <f t="shared" si="71"/>
        <v>0.65704648150131106</v>
      </c>
      <c r="L346" s="29">
        <f t="shared" si="77"/>
        <v>46195</v>
      </c>
      <c r="M346" s="27" t="str">
        <f t="shared" si="72"/>
        <v>Health Deterioration/TPA Approval Delay</v>
      </c>
      <c r="N346" s="31">
        <f t="shared" si="73"/>
        <v>7</v>
      </c>
      <c r="O346" s="27"/>
      <c r="Q346" s="8">
        <v>0.83218925851099956</v>
      </c>
      <c r="R346" s="8" t="str">
        <f t="shared" si="74"/>
        <v>Critical Delay</v>
      </c>
      <c r="S346" s="33">
        <v>3.9634216972359284</v>
      </c>
      <c r="T346" t="s">
        <v>31</v>
      </c>
      <c r="U346" s="3">
        <v>2</v>
      </c>
      <c r="V346" s="3" t="str">
        <f t="shared" si="78"/>
        <v>Normal</v>
      </c>
      <c r="W346" s="3" t="s">
        <v>50</v>
      </c>
      <c r="X346" s="32">
        <f t="shared" si="75"/>
        <v>0.24847590405261144</v>
      </c>
      <c r="Z346" s="38">
        <f t="shared" si="79"/>
        <v>0.12347590405261144</v>
      </c>
      <c r="AC346" s="36">
        <v>0.125</v>
      </c>
      <c r="AL346" t="str">
        <f t="shared" si="80"/>
        <v>Health Deterioration/TPA Approval Delay</v>
      </c>
      <c r="AM346" t="str">
        <f t="shared" si="81"/>
        <v>No</v>
      </c>
      <c r="AN346" t="str">
        <f t="shared" si="82"/>
        <v>Emergency</v>
      </c>
      <c r="AO346" t="str">
        <f t="shared" si="83"/>
        <v>ICU</v>
      </c>
    </row>
    <row r="347" spans="1:41" x14ac:dyDescent="0.3">
      <c r="A347" s="21" t="str">
        <f t="shared" si="76"/>
        <v>UHID-00346</v>
      </c>
      <c r="B347" s="18">
        <v>51</v>
      </c>
      <c r="C347" s="10" t="s">
        <v>18</v>
      </c>
      <c r="D347" s="13" t="s">
        <v>27</v>
      </c>
      <c r="E347" s="13" t="s">
        <v>3</v>
      </c>
      <c r="F347" s="15">
        <v>46191.323166747701</v>
      </c>
      <c r="G347" s="4">
        <v>46191</v>
      </c>
      <c r="H347" s="1">
        <v>46196.685455763902</v>
      </c>
      <c r="I347" s="22">
        <v>46196</v>
      </c>
      <c r="J347" s="24">
        <f t="shared" si="70"/>
        <v>46196.633299108071</v>
      </c>
      <c r="K347" s="24">
        <f t="shared" si="71"/>
        <v>0.68545576390170027</v>
      </c>
      <c r="L347" s="29">
        <f t="shared" si="77"/>
        <v>46195</v>
      </c>
      <c r="M347" s="27" t="str">
        <f t="shared" si="72"/>
        <v>Normal</v>
      </c>
      <c r="N347" s="31">
        <f t="shared" si="73"/>
        <v>5</v>
      </c>
      <c r="O347" s="27"/>
      <c r="Q347" s="8">
        <v>0.10888591406678971</v>
      </c>
      <c r="R347" s="8" t="str">
        <f t="shared" si="74"/>
        <v>On Time</v>
      </c>
      <c r="S347" s="33">
        <v>1.2517597399684366</v>
      </c>
      <c r="T347" t="s">
        <v>30</v>
      </c>
      <c r="U347" s="3">
        <v>0</v>
      </c>
      <c r="V347" s="3" t="str">
        <f t="shared" si="78"/>
        <v/>
      </c>
      <c r="W347" s="3" t="s">
        <v>51</v>
      </c>
      <c r="X347" s="32">
        <f t="shared" si="75"/>
        <v>5.2156655830913223E-2</v>
      </c>
      <c r="Z347" s="38">
        <f t="shared" si="79"/>
        <v>0</v>
      </c>
      <c r="AC347" s="36">
        <v>0.125</v>
      </c>
      <c r="AL347" t="str">
        <f t="shared" si="80"/>
        <v>Normal</v>
      </c>
      <c r="AM347" t="str">
        <f t="shared" si="81"/>
        <v>No</v>
      </c>
      <c r="AN347" t="str">
        <f t="shared" si="82"/>
        <v>Elective</v>
      </c>
      <c r="AO347" t="str">
        <f t="shared" si="83"/>
        <v>HDU</v>
      </c>
    </row>
    <row r="348" spans="1:41" x14ac:dyDescent="0.3">
      <c r="A348" s="21" t="str">
        <f t="shared" si="76"/>
        <v>UHID-00347</v>
      </c>
      <c r="B348" s="18">
        <v>32</v>
      </c>
      <c r="C348" s="10" t="s">
        <v>17</v>
      </c>
      <c r="D348" s="13" t="s">
        <v>27</v>
      </c>
      <c r="E348" s="13" t="s">
        <v>3</v>
      </c>
      <c r="F348" s="15">
        <v>46190.740114016196</v>
      </c>
      <c r="G348" s="4">
        <v>46190</v>
      </c>
      <c r="H348" s="1">
        <v>46197.607010972199</v>
      </c>
      <c r="I348" s="22">
        <v>46197</v>
      </c>
      <c r="J348" s="24">
        <f t="shared" si="70"/>
        <v>46197.446656428707</v>
      </c>
      <c r="K348" s="24">
        <f t="shared" si="71"/>
        <v>0.60701097219862277</v>
      </c>
      <c r="L348" s="29">
        <f t="shared" si="77"/>
        <v>46196</v>
      </c>
      <c r="M348" s="27" t="str">
        <f t="shared" si="72"/>
        <v>Medication Change</v>
      </c>
      <c r="N348" s="31">
        <f t="shared" si="73"/>
        <v>7</v>
      </c>
      <c r="O348" s="27"/>
      <c r="Q348" s="8">
        <v>0.11549851553442958</v>
      </c>
      <c r="R348" s="8" t="str">
        <f t="shared" si="74"/>
        <v>Major Delay</v>
      </c>
      <c r="S348" s="33">
        <v>1.8485090438529521</v>
      </c>
      <c r="T348" t="s">
        <v>30</v>
      </c>
      <c r="U348" s="3">
        <v>2</v>
      </c>
      <c r="V348" s="3" t="str">
        <f t="shared" si="78"/>
        <v/>
      </c>
      <c r="W348" s="3" t="s">
        <v>50</v>
      </c>
      <c r="X348" s="32">
        <f t="shared" si="75"/>
        <v>0.16035454349184874</v>
      </c>
      <c r="Z348" s="38">
        <f t="shared" si="79"/>
        <v>3.5354543491848744E-2</v>
      </c>
      <c r="AC348" s="36">
        <v>0.125</v>
      </c>
      <c r="AL348" t="str">
        <f t="shared" si="80"/>
        <v>Medication Change</v>
      </c>
      <c r="AM348" t="str">
        <f t="shared" si="81"/>
        <v>No</v>
      </c>
      <c r="AN348" t="str">
        <f t="shared" si="82"/>
        <v>Emergency</v>
      </c>
      <c r="AO348" t="str">
        <f t="shared" si="83"/>
        <v>ICU</v>
      </c>
    </row>
    <row r="349" spans="1:41" x14ac:dyDescent="0.3">
      <c r="A349" s="21" t="str">
        <f t="shared" si="76"/>
        <v>UHID-00348</v>
      </c>
      <c r="B349" s="18">
        <v>79</v>
      </c>
      <c r="C349" s="10" t="s">
        <v>18</v>
      </c>
      <c r="D349" s="13" t="s">
        <v>27</v>
      </c>
      <c r="E349" s="13" t="s">
        <v>3</v>
      </c>
      <c r="F349" s="15">
        <v>46193.942045289397</v>
      </c>
      <c r="G349" s="4">
        <v>46193</v>
      </c>
      <c r="H349" s="1">
        <v>46197.508249907398</v>
      </c>
      <c r="I349" s="22">
        <v>46197</v>
      </c>
      <c r="J349" s="24">
        <f t="shared" si="70"/>
        <v>46197.460259662592</v>
      </c>
      <c r="K349" s="24">
        <f t="shared" si="71"/>
        <v>0.50824990739783971</v>
      </c>
      <c r="L349" s="29">
        <f t="shared" si="77"/>
        <v>46196</v>
      </c>
      <c r="M349" s="27" t="str">
        <f t="shared" si="72"/>
        <v>Normal</v>
      </c>
      <c r="N349" s="31">
        <f t="shared" si="73"/>
        <v>4</v>
      </c>
      <c r="O349" s="27"/>
      <c r="Q349" s="8">
        <v>0.27633231522087387</v>
      </c>
      <c r="R349" s="8" t="str">
        <f t="shared" si="74"/>
        <v>On Time</v>
      </c>
      <c r="S349" s="33">
        <v>1.1517658753667561</v>
      </c>
      <c r="T349" t="s">
        <v>30</v>
      </c>
      <c r="U349" s="3">
        <v>0</v>
      </c>
      <c r="V349" s="3" t="str">
        <f t="shared" si="78"/>
        <v/>
      </c>
      <c r="W349" s="3" t="s">
        <v>51</v>
      </c>
      <c r="X349" s="32">
        <f t="shared" si="75"/>
        <v>4.7990244805987459E-2</v>
      </c>
      <c r="Z349" s="38">
        <f t="shared" si="79"/>
        <v>0</v>
      </c>
      <c r="AC349" s="36">
        <v>0.125</v>
      </c>
      <c r="AL349" t="str">
        <f t="shared" si="80"/>
        <v>Normal</v>
      </c>
      <c r="AM349" t="str">
        <f t="shared" si="81"/>
        <v>No</v>
      </c>
      <c r="AN349" t="str">
        <f t="shared" si="82"/>
        <v>Elective</v>
      </c>
      <c r="AO349" t="str">
        <f t="shared" si="83"/>
        <v>HDU</v>
      </c>
    </row>
    <row r="350" spans="1:41" x14ac:dyDescent="0.3">
      <c r="A350" s="21" t="str">
        <f t="shared" si="76"/>
        <v>UHID-00349</v>
      </c>
      <c r="B350" s="18">
        <v>64</v>
      </c>
      <c r="C350" s="10" t="s">
        <v>18</v>
      </c>
      <c r="D350" s="13" t="s">
        <v>28</v>
      </c>
      <c r="E350" s="13" t="s">
        <v>3</v>
      </c>
      <c r="F350" s="15">
        <v>46187.695960034704</v>
      </c>
      <c r="G350" s="4">
        <v>46187</v>
      </c>
      <c r="H350" s="1">
        <v>46197.595252372703</v>
      </c>
      <c r="I350" s="22">
        <v>46197</v>
      </c>
      <c r="J350" s="24">
        <f t="shared" si="70"/>
        <v>46197.340352069339</v>
      </c>
      <c r="K350" s="24">
        <f t="shared" si="71"/>
        <v>0.5952523727028165</v>
      </c>
      <c r="L350" s="29">
        <f t="shared" si="77"/>
        <v>46196</v>
      </c>
      <c r="M350" s="27" t="str">
        <f t="shared" si="72"/>
        <v>Health Deterioration</v>
      </c>
      <c r="N350" s="31">
        <f t="shared" si="73"/>
        <v>10</v>
      </c>
      <c r="O350" s="27"/>
      <c r="Q350" s="8">
        <v>0.8520966155945382</v>
      </c>
      <c r="R350" s="8" t="str">
        <f t="shared" si="74"/>
        <v>Critical Delay</v>
      </c>
      <c r="S350" s="33">
        <v>2.1176072806608048</v>
      </c>
      <c r="T350" t="s">
        <v>31</v>
      </c>
      <c r="U350" s="3">
        <v>4</v>
      </c>
      <c r="V350" s="3" t="str">
        <f t="shared" si="78"/>
        <v>Normal</v>
      </c>
      <c r="W350" s="3" t="s">
        <v>50</v>
      </c>
      <c r="X350" s="32">
        <f t="shared" si="75"/>
        <v>0.25490030336368363</v>
      </c>
      <c r="Z350" s="38">
        <f t="shared" si="79"/>
        <v>0.12990030336368363</v>
      </c>
      <c r="AC350" s="36">
        <v>0.125</v>
      </c>
      <c r="AL350" t="str">
        <f t="shared" si="80"/>
        <v>Health Deterioration</v>
      </c>
      <c r="AM350" t="str">
        <f t="shared" si="81"/>
        <v>No</v>
      </c>
      <c r="AN350" t="str">
        <f t="shared" si="82"/>
        <v>Elective</v>
      </c>
      <c r="AO350" t="str">
        <f t="shared" si="83"/>
        <v>ICU</v>
      </c>
    </row>
    <row r="351" spans="1:41" x14ac:dyDescent="0.3">
      <c r="A351" s="21" t="str">
        <f t="shared" si="76"/>
        <v>UHID-00350</v>
      </c>
      <c r="B351" s="18">
        <v>44</v>
      </c>
      <c r="C351" s="10" t="s">
        <v>17</v>
      </c>
      <c r="D351" s="13" t="s">
        <v>28</v>
      </c>
      <c r="E351" s="13" t="s">
        <v>3</v>
      </c>
      <c r="F351" s="15">
        <v>46197.713802777798</v>
      </c>
      <c r="G351" s="4">
        <v>46197</v>
      </c>
      <c r="H351" s="1">
        <v>46197.822659907397</v>
      </c>
      <c r="I351" s="22">
        <v>46197</v>
      </c>
      <c r="J351" s="24">
        <f t="shared" si="70"/>
        <v>46197.719485410642</v>
      </c>
      <c r="K351" s="24">
        <f t="shared" si="71"/>
        <v>0.82265990739688277</v>
      </c>
      <c r="L351" s="29">
        <f t="shared" si="77"/>
        <v>46196</v>
      </c>
      <c r="M351" s="27" t="str">
        <f t="shared" si="72"/>
        <v>Doctor Round Delay/Report Delay</v>
      </c>
      <c r="N351" s="31">
        <f t="shared" si="73"/>
        <v>0</v>
      </c>
      <c r="O351" s="27"/>
      <c r="Q351" s="8">
        <v>0.92150356583985005</v>
      </c>
      <c r="R351" s="8" t="str">
        <f t="shared" si="74"/>
        <v>Minor Delay</v>
      </c>
      <c r="S351" s="33">
        <v>2.4761879222032874</v>
      </c>
      <c r="T351" t="s">
        <v>31</v>
      </c>
      <c r="U351" s="3">
        <v>0</v>
      </c>
      <c r="V351" s="3" t="str">
        <f t="shared" si="78"/>
        <v>Normal</v>
      </c>
      <c r="W351" s="3" t="s">
        <v>51</v>
      </c>
      <c r="X351" s="32">
        <f t="shared" si="75"/>
        <v>0.10317449675494572</v>
      </c>
      <c r="Z351" s="38">
        <f t="shared" si="79"/>
        <v>0</v>
      </c>
      <c r="AC351" s="36">
        <v>0.125</v>
      </c>
      <c r="AL351" t="str">
        <f t="shared" si="80"/>
        <v>Doctor Round Delay/Report Delay</v>
      </c>
      <c r="AM351" t="str">
        <f t="shared" si="81"/>
        <v>No</v>
      </c>
      <c r="AN351" t="str">
        <f t="shared" si="82"/>
        <v>Elective</v>
      </c>
      <c r="AO351" t="str">
        <f t="shared" si="83"/>
        <v>General Ward</v>
      </c>
    </row>
    <row r="352" spans="1:41" x14ac:dyDescent="0.3">
      <c r="A352" s="21" t="str">
        <f t="shared" si="76"/>
        <v>UHID-00351</v>
      </c>
      <c r="B352" s="18">
        <v>36</v>
      </c>
      <c r="C352" s="10" t="s">
        <v>18</v>
      </c>
      <c r="D352" s="13" t="s">
        <v>27</v>
      </c>
      <c r="E352" s="13" t="s">
        <v>3</v>
      </c>
      <c r="F352" s="15">
        <v>46196.858239039298</v>
      </c>
      <c r="G352" s="4">
        <v>46196</v>
      </c>
      <c r="H352" s="1">
        <v>46198.560544768501</v>
      </c>
      <c r="I352" s="22">
        <v>46198</v>
      </c>
      <c r="J352" s="24">
        <f t="shared" si="70"/>
        <v>46198.407234087928</v>
      </c>
      <c r="K352" s="24">
        <f t="shared" si="71"/>
        <v>0.56054476850113133</v>
      </c>
      <c r="L352" s="29">
        <f t="shared" si="77"/>
        <v>46197</v>
      </c>
      <c r="M352" s="27" t="str">
        <f t="shared" si="72"/>
        <v>Medication Change</v>
      </c>
      <c r="N352" s="31">
        <f t="shared" si="73"/>
        <v>2</v>
      </c>
      <c r="O352" s="27"/>
      <c r="Q352" s="8">
        <v>0.24085222020160013</v>
      </c>
      <c r="R352" s="8" t="str">
        <f t="shared" si="74"/>
        <v>Major Delay</v>
      </c>
      <c r="S352" s="33">
        <v>1.6794563337178636</v>
      </c>
      <c r="T352" t="s">
        <v>30</v>
      </c>
      <c r="U352" s="3">
        <v>2</v>
      </c>
      <c r="V352" s="3" t="str">
        <f t="shared" si="78"/>
        <v/>
      </c>
      <c r="W352" s="3" t="s">
        <v>50</v>
      </c>
      <c r="X352" s="32">
        <f t="shared" si="75"/>
        <v>0.15331068057275843</v>
      </c>
      <c r="Z352" s="38">
        <f t="shared" si="79"/>
        <v>2.8310680572758429E-2</v>
      </c>
      <c r="AC352" s="36">
        <v>0.125</v>
      </c>
      <c r="AL352" t="str">
        <f t="shared" si="80"/>
        <v>Medication Change</v>
      </c>
      <c r="AM352" t="str">
        <f t="shared" si="81"/>
        <v>No</v>
      </c>
      <c r="AN352" t="str">
        <f t="shared" si="82"/>
        <v>Elective</v>
      </c>
      <c r="AO352" t="str">
        <f t="shared" si="83"/>
        <v>General Ward</v>
      </c>
    </row>
    <row r="353" spans="1:41" x14ac:dyDescent="0.3">
      <c r="A353" s="21" t="str">
        <f t="shared" si="76"/>
        <v>UHID-00352</v>
      </c>
      <c r="B353" s="18">
        <v>64</v>
      </c>
      <c r="C353" s="10" t="s">
        <v>18</v>
      </c>
      <c r="D353" s="13" t="s">
        <v>27</v>
      </c>
      <c r="E353" s="13" t="s">
        <v>3</v>
      </c>
      <c r="F353" s="15">
        <v>46196.6662036458</v>
      </c>
      <c r="G353" s="4">
        <v>46196</v>
      </c>
      <c r="H353" s="1">
        <v>46198.614803518503</v>
      </c>
      <c r="I353" s="22">
        <v>46198</v>
      </c>
      <c r="J353" s="24">
        <f t="shared" si="70"/>
        <v>46198.387975680067</v>
      </c>
      <c r="K353" s="24">
        <f t="shared" si="71"/>
        <v>0.61480351850332227</v>
      </c>
      <c r="L353" s="29">
        <f t="shared" si="77"/>
        <v>46197</v>
      </c>
      <c r="M353" s="27" t="str">
        <f t="shared" si="72"/>
        <v>Health Deterioration</v>
      </c>
      <c r="N353" s="31">
        <f t="shared" si="73"/>
        <v>2</v>
      </c>
      <c r="O353" s="27"/>
      <c r="Q353" s="8">
        <v>8.6740200911040843E-2</v>
      </c>
      <c r="R353" s="8" t="str">
        <f t="shared" si="74"/>
        <v>Critical Delay</v>
      </c>
      <c r="S353" s="33">
        <v>1.4438681225373604</v>
      </c>
      <c r="T353" t="s">
        <v>30</v>
      </c>
      <c r="U353" s="3">
        <v>4</v>
      </c>
      <c r="V353" s="3" t="str">
        <f t="shared" si="78"/>
        <v/>
      </c>
      <c r="W353" s="3" t="s">
        <v>50</v>
      </c>
      <c r="X353" s="32">
        <f t="shared" si="75"/>
        <v>0.22682783843629295</v>
      </c>
      <c r="Z353" s="38">
        <f t="shared" si="79"/>
        <v>0.10182783843629295</v>
      </c>
      <c r="AC353" s="36">
        <v>0.125</v>
      </c>
      <c r="AL353" t="str">
        <f t="shared" si="80"/>
        <v>Health Deterioration</v>
      </c>
      <c r="AM353" t="str">
        <f t="shared" si="81"/>
        <v>No</v>
      </c>
      <c r="AN353" t="str">
        <f t="shared" si="82"/>
        <v>Emergency</v>
      </c>
      <c r="AO353" t="str">
        <f t="shared" si="83"/>
        <v>General Ward</v>
      </c>
    </row>
    <row r="354" spans="1:41" x14ac:dyDescent="0.3">
      <c r="A354" s="21" t="str">
        <f t="shared" si="76"/>
        <v>UHID-00353</v>
      </c>
      <c r="B354" s="18">
        <v>41</v>
      </c>
      <c r="C354" s="10" t="s">
        <v>17</v>
      </c>
      <c r="D354" s="13" t="s">
        <v>26</v>
      </c>
      <c r="E354" s="13" t="s">
        <v>3</v>
      </c>
      <c r="F354" s="15">
        <v>46193.681376851899</v>
      </c>
      <c r="G354" s="4">
        <v>46193</v>
      </c>
      <c r="H354" s="1">
        <v>46197.575154004597</v>
      </c>
      <c r="I354" s="22">
        <v>46197</v>
      </c>
      <c r="J354" s="24">
        <f t="shared" si="70"/>
        <v>46197.441103337813</v>
      </c>
      <c r="K354" s="24">
        <f t="shared" si="71"/>
        <v>0.57515400459669763</v>
      </c>
      <c r="L354" s="29">
        <f t="shared" si="77"/>
        <v>46196</v>
      </c>
      <c r="M354" s="27" t="str">
        <f t="shared" si="72"/>
        <v>TPA Approval Delay</v>
      </c>
      <c r="N354" s="31">
        <f t="shared" si="73"/>
        <v>4</v>
      </c>
      <c r="O354" s="27"/>
      <c r="Q354" s="8">
        <v>0.63955490743899612</v>
      </c>
      <c r="R354" s="8" t="str">
        <f t="shared" si="74"/>
        <v>Major Delay</v>
      </c>
      <c r="S354" s="33">
        <v>3.2172160027472452</v>
      </c>
      <c r="T354" t="s">
        <v>31</v>
      </c>
      <c r="U354" s="3">
        <v>0</v>
      </c>
      <c r="V354" s="3" t="str">
        <f t="shared" si="78"/>
        <v>Normal</v>
      </c>
      <c r="W354" s="3" t="s">
        <v>51</v>
      </c>
      <c r="X354" s="32">
        <f t="shared" si="75"/>
        <v>0.13405066678387811</v>
      </c>
      <c r="Z354" s="38">
        <f t="shared" si="79"/>
        <v>9.0506667838781141E-3</v>
      </c>
      <c r="AC354" s="36">
        <v>0.125</v>
      </c>
      <c r="AL354" t="str">
        <f t="shared" si="80"/>
        <v>TPA Approval Delay</v>
      </c>
      <c r="AM354" t="str">
        <f t="shared" si="81"/>
        <v>No</v>
      </c>
      <c r="AN354" t="str">
        <f t="shared" si="82"/>
        <v>Elective</v>
      </c>
      <c r="AO354" t="str">
        <f t="shared" si="83"/>
        <v>HDU</v>
      </c>
    </row>
    <row r="355" spans="1:41" x14ac:dyDescent="0.3">
      <c r="A355" s="21" t="str">
        <f t="shared" si="76"/>
        <v>UHID-00354</v>
      </c>
      <c r="B355" s="18">
        <v>47</v>
      </c>
      <c r="C355" s="10" t="s">
        <v>18</v>
      </c>
      <c r="D355" s="13" t="s">
        <v>27</v>
      </c>
      <c r="E355" s="13" t="s">
        <v>3</v>
      </c>
      <c r="F355" s="15">
        <v>46163.010821620403</v>
      </c>
      <c r="G355" s="4">
        <v>46163</v>
      </c>
      <c r="H355" s="1">
        <v>46198.586181215302</v>
      </c>
      <c r="I355" s="22">
        <v>46198</v>
      </c>
      <c r="J355" s="24">
        <f t="shared" si="70"/>
        <v>46198.42302147844</v>
      </c>
      <c r="K355" s="24">
        <f t="shared" si="71"/>
        <v>0.58618121530162171</v>
      </c>
      <c r="L355" s="29">
        <f t="shared" si="77"/>
        <v>46197</v>
      </c>
      <c r="M355" s="27" t="str">
        <f t="shared" si="72"/>
        <v>Medication Change</v>
      </c>
      <c r="N355" s="31">
        <f t="shared" si="73"/>
        <v>35</v>
      </c>
      <c r="O355" s="27"/>
      <c r="Q355" s="8">
        <v>7.3936874713963818E-2</v>
      </c>
      <c r="R355" s="8" t="str">
        <f t="shared" si="74"/>
        <v>Major Delay</v>
      </c>
      <c r="S355" s="33">
        <v>1.9158336847172861</v>
      </c>
      <c r="T355" t="s">
        <v>30</v>
      </c>
      <c r="U355" s="3">
        <v>2</v>
      </c>
      <c r="V355" s="3" t="str">
        <f t="shared" si="78"/>
        <v/>
      </c>
      <c r="W355" s="3" t="s">
        <v>50</v>
      </c>
      <c r="X355" s="32">
        <f t="shared" si="75"/>
        <v>0.1631597368614166</v>
      </c>
      <c r="Z355" s="38">
        <f t="shared" si="79"/>
        <v>3.8159736861416604E-2</v>
      </c>
      <c r="AC355" s="36">
        <v>0.125</v>
      </c>
      <c r="AL355" t="str">
        <f t="shared" si="80"/>
        <v>Medication Change</v>
      </c>
      <c r="AM355" t="str">
        <f t="shared" si="81"/>
        <v>Yes</v>
      </c>
      <c r="AN355" t="str">
        <f t="shared" si="82"/>
        <v>Emergency</v>
      </c>
      <c r="AO355" t="str">
        <f t="shared" si="83"/>
        <v>ICU</v>
      </c>
    </row>
    <row r="356" spans="1:41" x14ac:dyDescent="0.3">
      <c r="A356" s="21" t="str">
        <f t="shared" si="76"/>
        <v>UHID-00355</v>
      </c>
      <c r="B356" s="18">
        <v>28</v>
      </c>
      <c r="C356" s="10" t="s">
        <v>18</v>
      </c>
      <c r="D356" s="13" t="s">
        <v>27</v>
      </c>
      <c r="E356" s="13" t="s">
        <v>3</v>
      </c>
      <c r="F356" s="15">
        <v>46197.083809039403</v>
      </c>
      <c r="G356" s="4">
        <v>46197</v>
      </c>
      <c r="H356" s="1">
        <v>46198.676723830999</v>
      </c>
      <c r="I356" s="22">
        <v>46198</v>
      </c>
      <c r="J356" s="24">
        <f t="shared" si="70"/>
        <v>46198.621748398815</v>
      </c>
      <c r="K356" s="24">
        <f t="shared" si="71"/>
        <v>0.67672383099852595</v>
      </c>
      <c r="L356" s="29">
        <f t="shared" si="77"/>
        <v>46197</v>
      </c>
      <c r="M356" s="27" t="str">
        <f t="shared" si="72"/>
        <v>Normal</v>
      </c>
      <c r="N356" s="31">
        <f t="shared" si="73"/>
        <v>1</v>
      </c>
      <c r="O356" s="27"/>
      <c r="Q356" s="8">
        <v>0.18485636214980372</v>
      </c>
      <c r="R356" s="8" t="str">
        <f t="shared" si="74"/>
        <v>On Time</v>
      </c>
      <c r="S356" s="33">
        <v>1.3194103723841819</v>
      </c>
      <c r="T356" t="s">
        <v>30</v>
      </c>
      <c r="U356" s="3">
        <v>0</v>
      </c>
      <c r="V356" s="3" t="str">
        <f t="shared" si="78"/>
        <v/>
      </c>
      <c r="W356" s="3" t="s">
        <v>51</v>
      </c>
      <c r="X356" s="32">
        <f t="shared" si="75"/>
        <v>5.4975432183709927E-2</v>
      </c>
      <c r="Z356" s="38">
        <f t="shared" si="79"/>
        <v>0</v>
      </c>
      <c r="AC356" s="36">
        <v>0.125</v>
      </c>
      <c r="AL356" t="str">
        <f t="shared" si="80"/>
        <v>Normal</v>
      </c>
      <c r="AM356" t="str">
        <f t="shared" si="81"/>
        <v>No</v>
      </c>
      <c r="AN356" t="str">
        <f t="shared" si="82"/>
        <v>Elective</v>
      </c>
      <c r="AO356" t="str">
        <f t="shared" si="83"/>
        <v>General Ward</v>
      </c>
    </row>
    <row r="357" spans="1:41" x14ac:dyDescent="0.3">
      <c r="A357" s="21" t="str">
        <f t="shared" si="76"/>
        <v>UHID-00356</v>
      </c>
      <c r="B357" s="18">
        <v>64</v>
      </c>
      <c r="C357" s="10" t="s">
        <v>18</v>
      </c>
      <c r="D357" s="13" t="s">
        <v>26</v>
      </c>
      <c r="E357" s="13" t="s">
        <v>3</v>
      </c>
      <c r="F357" s="15">
        <v>46182.965598668998</v>
      </c>
      <c r="G357" s="4">
        <v>46182</v>
      </c>
      <c r="H357" s="1">
        <v>46198.679784236097</v>
      </c>
      <c r="I357" s="22">
        <v>46198</v>
      </c>
      <c r="J357" s="24">
        <f t="shared" si="70"/>
        <v>46198.536902054366</v>
      </c>
      <c r="K357" s="24">
        <f t="shared" si="71"/>
        <v>0.67978423609747551</v>
      </c>
      <c r="L357" s="29">
        <f t="shared" si="77"/>
        <v>46197</v>
      </c>
      <c r="M357" s="27" t="str">
        <f t="shared" si="72"/>
        <v>TPA Approval Delay</v>
      </c>
      <c r="N357" s="31">
        <f t="shared" si="73"/>
        <v>16</v>
      </c>
      <c r="O357" s="27"/>
      <c r="Q357" s="8">
        <v>0.688984502628888</v>
      </c>
      <c r="R357" s="8" t="str">
        <f t="shared" si="74"/>
        <v>Major Delay</v>
      </c>
      <c r="S357" s="33">
        <v>3.4291723616105441</v>
      </c>
      <c r="T357" t="s">
        <v>31</v>
      </c>
      <c r="U357" s="3">
        <v>0</v>
      </c>
      <c r="V357" s="3" t="str">
        <f t="shared" si="78"/>
        <v>Normal</v>
      </c>
      <c r="W357" s="3" t="s">
        <v>51</v>
      </c>
      <c r="X357" s="32">
        <f t="shared" si="75"/>
        <v>0.14288218173169298</v>
      </c>
      <c r="Z357" s="38">
        <f t="shared" si="79"/>
        <v>1.7882181731692981E-2</v>
      </c>
      <c r="AC357" s="36">
        <v>0.125</v>
      </c>
      <c r="AL357" t="str">
        <f t="shared" si="80"/>
        <v>TPA Approval Delay</v>
      </c>
      <c r="AM357" t="str">
        <f t="shared" si="81"/>
        <v>Yes</v>
      </c>
      <c r="AN357" t="str">
        <f t="shared" si="82"/>
        <v>Emergency</v>
      </c>
      <c r="AO357" t="str">
        <f t="shared" si="83"/>
        <v>ICU</v>
      </c>
    </row>
    <row r="358" spans="1:41" x14ac:dyDescent="0.3">
      <c r="A358" s="21" t="str">
        <f t="shared" si="76"/>
        <v>UHID-00357</v>
      </c>
      <c r="B358" s="19">
        <v>74</v>
      </c>
      <c r="C358" s="11" t="s">
        <v>18</v>
      </c>
      <c r="D358" s="13" t="s">
        <v>27</v>
      </c>
      <c r="E358" s="13" t="s">
        <v>3</v>
      </c>
      <c r="F358" s="16">
        <v>46194.849930601798</v>
      </c>
      <c r="G358" s="5">
        <v>46194</v>
      </c>
      <c r="H358" s="2">
        <v>46199.691776238396</v>
      </c>
      <c r="I358" s="23">
        <v>46199</v>
      </c>
      <c r="J358" s="24">
        <f t="shared" si="70"/>
        <v>46199.55245600456</v>
      </c>
      <c r="K358" s="24">
        <f t="shared" si="71"/>
        <v>0.69177623839641456</v>
      </c>
      <c r="L358" s="29">
        <f t="shared" si="77"/>
        <v>46198</v>
      </c>
      <c r="M358" s="27" t="str">
        <f t="shared" si="72"/>
        <v>Medication Change</v>
      </c>
      <c r="N358" s="31">
        <f t="shared" si="73"/>
        <v>5</v>
      </c>
      <c r="O358" s="27"/>
      <c r="Q358" s="8">
        <v>1.2847214750968394E-3</v>
      </c>
      <c r="R358" s="8" t="str">
        <f t="shared" si="74"/>
        <v>Major Delay</v>
      </c>
      <c r="S358" s="33">
        <v>1.3436856120699341</v>
      </c>
      <c r="T358" t="s">
        <v>30</v>
      </c>
      <c r="U358" s="3">
        <v>2</v>
      </c>
      <c r="V358" s="3" t="str">
        <f t="shared" si="78"/>
        <v/>
      </c>
      <c r="W358" s="3" t="s">
        <v>50</v>
      </c>
      <c r="X358" s="32">
        <f t="shared" si="75"/>
        <v>0.13932023383677006</v>
      </c>
      <c r="Z358" s="38">
        <f t="shared" si="79"/>
        <v>1.4320233836770058E-2</v>
      </c>
      <c r="AC358" s="36">
        <v>0.125</v>
      </c>
      <c r="AL358" t="str">
        <f t="shared" si="80"/>
        <v>Medication Change</v>
      </c>
      <c r="AM358" t="str">
        <f t="shared" si="81"/>
        <v>No</v>
      </c>
      <c r="AN358" t="str">
        <f t="shared" si="82"/>
        <v>Elective</v>
      </c>
      <c r="AO358" t="str">
        <f t="shared" si="83"/>
        <v>HDU</v>
      </c>
    </row>
    <row r="359" spans="1:41" x14ac:dyDescent="0.3">
      <c r="A359" s="21" t="str">
        <f t="shared" si="76"/>
        <v>UHID-00358</v>
      </c>
      <c r="B359" s="19">
        <v>58</v>
      </c>
      <c r="C359" s="11" t="s">
        <v>17</v>
      </c>
      <c r="D359" s="13" t="s">
        <v>28</v>
      </c>
      <c r="E359" s="13" t="s">
        <v>3</v>
      </c>
      <c r="F359" s="16">
        <v>46191.947174374996</v>
      </c>
      <c r="G359" s="5">
        <v>46191</v>
      </c>
      <c r="H359" s="2">
        <v>46199.563949606498</v>
      </c>
      <c r="I359" s="23">
        <v>46199</v>
      </c>
      <c r="J359" s="24">
        <f t="shared" si="70"/>
        <v>46199.307308461466</v>
      </c>
      <c r="K359" s="24">
        <f t="shared" si="71"/>
        <v>0.56394960649777204</v>
      </c>
      <c r="L359" s="29">
        <f t="shared" si="77"/>
        <v>46198</v>
      </c>
      <c r="M359" s="27" t="str">
        <f t="shared" si="72"/>
        <v>Health Deterioration</v>
      </c>
      <c r="N359" s="31">
        <f t="shared" si="73"/>
        <v>8</v>
      </c>
      <c r="O359" s="27"/>
      <c r="Q359" s="8">
        <v>0.91277867940414548</v>
      </c>
      <c r="R359" s="8" t="str">
        <f t="shared" si="74"/>
        <v>Critical Delay</v>
      </c>
      <c r="S359" s="33">
        <v>2.1593874808374061</v>
      </c>
      <c r="T359" t="s">
        <v>31</v>
      </c>
      <c r="U359" s="3">
        <v>4</v>
      </c>
      <c r="V359" s="3" t="str">
        <f t="shared" si="78"/>
        <v>Normal</v>
      </c>
      <c r="W359" s="3" t="s">
        <v>50</v>
      </c>
      <c r="X359" s="32">
        <f t="shared" si="75"/>
        <v>0.25664114503160818</v>
      </c>
      <c r="Z359" s="38">
        <f t="shared" si="79"/>
        <v>0.13164114503160818</v>
      </c>
      <c r="AC359" s="36">
        <v>0.125</v>
      </c>
      <c r="AL359" t="str">
        <f t="shared" si="80"/>
        <v>Health Deterioration</v>
      </c>
      <c r="AM359" t="str">
        <f t="shared" si="81"/>
        <v>No</v>
      </c>
      <c r="AN359" t="str">
        <f t="shared" si="82"/>
        <v>Elective</v>
      </c>
      <c r="AO359" t="str">
        <f t="shared" si="83"/>
        <v>ICU</v>
      </c>
    </row>
    <row r="360" spans="1:41" x14ac:dyDescent="0.3">
      <c r="A360" s="21" t="str">
        <f t="shared" si="76"/>
        <v>UHID-00359</v>
      </c>
      <c r="B360" s="19">
        <v>43</v>
      </c>
      <c r="C360" s="11" t="s">
        <v>18</v>
      </c>
      <c r="D360" s="13" t="s">
        <v>27</v>
      </c>
      <c r="E360" s="13" t="s">
        <v>3</v>
      </c>
      <c r="F360" s="16">
        <v>46197.885115034704</v>
      </c>
      <c r="G360" s="5">
        <v>46197</v>
      </c>
      <c r="H360" s="2">
        <v>46199.592505162</v>
      </c>
      <c r="I360" s="23">
        <v>46199</v>
      </c>
      <c r="J360" s="24">
        <f t="shared" si="70"/>
        <v>46199.543083814504</v>
      </c>
      <c r="K360" s="24">
        <f t="shared" si="71"/>
        <v>0.59250516199972481</v>
      </c>
      <c r="L360" s="29">
        <f t="shared" si="77"/>
        <v>46198</v>
      </c>
      <c r="M360" s="27" t="str">
        <f t="shared" si="72"/>
        <v>Normal</v>
      </c>
      <c r="N360" s="31">
        <f t="shared" si="73"/>
        <v>2</v>
      </c>
      <c r="O360" s="27"/>
      <c r="Q360" s="8">
        <v>0.48641272751113829</v>
      </c>
      <c r="R360" s="8" t="str">
        <f t="shared" si="74"/>
        <v>On Time</v>
      </c>
      <c r="S360" s="33">
        <v>1.1861123399627811</v>
      </c>
      <c r="T360" t="s">
        <v>31</v>
      </c>
      <c r="U360" s="3">
        <v>0</v>
      </c>
      <c r="V360" s="3" t="str">
        <f t="shared" si="78"/>
        <v>Normal</v>
      </c>
      <c r="W360" s="3" t="s">
        <v>51</v>
      </c>
      <c r="X360" s="32">
        <f t="shared" si="75"/>
        <v>4.9421347495808732E-2</v>
      </c>
      <c r="Z360" s="38">
        <f t="shared" si="79"/>
        <v>0</v>
      </c>
      <c r="AC360" s="36">
        <v>0.125</v>
      </c>
      <c r="AL360" t="str">
        <f t="shared" si="80"/>
        <v>Normal</v>
      </c>
      <c r="AM360" t="str">
        <f t="shared" si="81"/>
        <v>No</v>
      </c>
      <c r="AN360" t="str">
        <f t="shared" si="82"/>
        <v>Elective</v>
      </c>
      <c r="AO360" t="str">
        <f t="shared" si="83"/>
        <v>General Ward</v>
      </c>
    </row>
    <row r="361" spans="1:41" x14ac:dyDescent="0.3">
      <c r="A361" s="21" t="str">
        <f t="shared" si="76"/>
        <v>UHID-00360</v>
      </c>
      <c r="B361" s="19">
        <v>31</v>
      </c>
      <c r="C361" s="11" t="s">
        <v>17</v>
      </c>
      <c r="D361" s="13" t="s">
        <v>27</v>
      </c>
      <c r="E361" s="13" t="s">
        <v>3</v>
      </c>
      <c r="F361" s="16">
        <v>46192.756965127301</v>
      </c>
      <c r="G361" s="5">
        <v>46192</v>
      </c>
      <c r="H361" s="2">
        <v>46199.682061828702</v>
      </c>
      <c r="I361" s="23">
        <v>46199</v>
      </c>
      <c r="J361" s="24">
        <f t="shared" si="70"/>
        <v>46199.624943858042</v>
      </c>
      <c r="K361" s="24">
        <f t="shared" si="71"/>
        <v>0.68206182870198973</v>
      </c>
      <c r="L361" s="29">
        <f t="shared" si="77"/>
        <v>46198</v>
      </c>
      <c r="M361" s="27" t="str">
        <f t="shared" si="72"/>
        <v>Normal</v>
      </c>
      <c r="N361" s="31">
        <f t="shared" si="73"/>
        <v>7</v>
      </c>
      <c r="O361" s="27"/>
      <c r="Q361" s="8">
        <v>0.15680612282820861</v>
      </c>
      <c r="R361" s="8" t="str">
        <f t="shared" si="74"/>
        <v>On Time</v>
      </c>
      <c r="S361" s="33">
        <v>1.3708312959279785</v>
      </c>
      <c r="T361" t="s">
        <v>30</v>
      </c>
      <c r="U361" s="3">
        <v>0</v>
      </c>
      <c r="V361" s="3" t="str">
        <f t="shared" si="78"/>
        <v/>
      </c>
      <c r="W361" s="3" t="s">
        <v>51</v>
      </c>
      <c r="X361" s="32">
        <f t="shared" si="75"/>
        <v>5.7117970660328865E-2</v>
      </c>
      <c r="Z361" s="38">
        <f t="shared" si="79"/>
        <v>0</v>
      </c>
      <c r="AC361" s="36">
        <v>0.125</v>
      </c>
      <c r="AL361" t="str">
        <f t="shared" si="80"/>
        <v>Normal</v>
      </c>
      <c r="AM361" t="str">
        <f t="shared" si="81"/>
        <v>No</v>
      </c>
      <c r="AN361" t="str">
        <f t="shared" si="82"/>
        <v>Emergency</v>
      </c>
      <c r="AO361" t="str">
        <f t="shared" si="83"/>
        <v>ICU</v>
      </c>
    </row>
    <row r="362" spans="1:41" x14ac:dyDescent="0.3">
      <c r="A362" s="21" t="str">
        <f t="shared" si="76"/>
        <v>UHID-00361</v>
      </c>
      <c r="B362" s="19">
        <v>26</v>
      </c>
      <c r="C362" s="11" t="s">
        <v>18</v>
      </c>
      <c r="D362" s="13" t="s">
        <v>26</v>
      </c>
      <c r="E362" s="13" t="s">
        <v>3</v>
      </c>
      <c r="F362" s="16">
        <v>46187.804526412001</v>
      </c>
      <c r="G362" s="5">
        <v>46187</v>
      </c>
      <c r="H362" s="2">
        <v>46199.506083749999</v>
      </c>
      <c r="I362" s="23">
        <v>46199</v>
      </c>
      <c r="J362" s="24">
        <f t="shared" si="70"/>
        <v>46199.366006376782</v>
      </c>
      <c r="K362" s="24">
        <f t="shared" si="71"/>
        <v>0.50608374999865191</v>
      </c>
      <c r="L362" s="29">
        <f t="shared" si="77"/>
        <v>46198</v>
      </c>
      <c r="M362" s="27" t="str">
        <f t="shared" si="72"/>
        <v>TPA Approval Delay</v>
      </c>
      <c r="N362" s="31">
        <f t="shared" si="73"/>
        <v>12</v>
      </c>
      <c r="O362" s="27"/>
      <c r="Q362" s="8">
        <v>0.70345486885707431</v>
      </c>
      <c r="R362" s="8" t="str">
        <f t="shared" si="74"/>
        <v>Major Delay</v>
      </c>
      <c r="S362" s="33">
        <v>3.361856957113277</v>
      </c>
      <c r="T362" t="s">
        <v>31</v>
      </c>
      <c r="U362" s="3">
        <v>0</v>
      </c>
      <c r="V362" s="3" t="str">
        <f t="shared" si="78"/>
        <v>Normal</v>
      </c>
      <c r="W362" s="3" t="s">
        <v>51</v>
      </c>
      <c r="X362" s="32">
        <f t="shared" si="75"/>
        <v>0.14007737321662717</v>
      </c>
      <c r="Z362" s="38">
        <f t="shared" si="79"/>
        <v>1.5077373216627166E-2</v>
      </c>
      <c r="AC362" s="36">
        <v>0.125</v>
      </c>
      <c r="AL362" t="str">
        <f t="shared" si="80"/>
        <v>TPA Approval Delay</v>
      </c>
      <c r="AM362" t="str">
        <f t="shared" si="81"/>
        <v>Yes</v>
      </c>
      <c r="AN362" t="str">
        <f t="shared" si="82"/>
        <v>Emergency</v>
      </c>
      <c r="AO362" t="str">
        <f t="shared" si="83"/>
        <v>ICU</v>
      </c>
    </row>
    <row r="363" spans="1:41" x14ac:dyDescent="0.3">
      <c r="A363" s="21" t="str">
        <f t="shared" si="76"/>
        <v>UHID-00362</v>
      </c>
      <c r="B363" s="19">
        <v>64</v>
      </c>
      <c r="C363" s="11" t="s">
        <v>18</v>
      </c>
      <c r="D363" s="13" t="s">
        <v>27</v>
      </c>
      <c r="E363" s="13" t="s">
        <v>3</v>
      </c>
      <c r="F363" s="16">
        <v>46197.769541562498</v>
      </c>
      <c r="G363" s="5">
        <v>46197</v>
      </c>
      <c r="H363" s="2">
        <v>46199.602112986096</v>
      </c>
      <c r="I363" s="23">
        <v>46199</v>
      </c>
      <c r="J363" s="24">
        <f t="shared" si="70"/>
        <v>46199.472818825605</v>
      </c>
      <c r="K363" s="24">
        <f t="shared" si="71"/>
        <v>0.60211298609647201</v>
      </c>
      <c r="L363" s="29">
        <f t="shared" si="77"/>
        <v>46198</v>
      </c>
      <c r="M363" s="27" t="str">
        <f t="shared" si="72"/>
        <v>Medication Change</v>
      </c>
      <c r="N363" s="31">
        <f t="shared" si="73"/>
        <v>2</v>
      </c>
      <c r="O363" s="27"/>
      <c r="Q363" s="8">
        <v>0.10055178365496342</v>
      </c>
      <c r="R363" s="8" t="str">
        <f t="shared" si="74"/>
        <v>Major Delay</v>
      </c>
      <c r="S363" s="33">
        <v>1.1030598517914187</v>
      </c>
      <c r="T363" t="s">
        <v>30</v>
      </c>
      <c r="U363" s="3">
        <v>2</v>
      </c>
      <c r="V363" s="3" t="str">
        <f t="shared" si="78"/>
        <v/>
      </c>
      <c r="W363" s="3" t="s">
        <v>50</v>
      </c>
      <c r="X363" s="32">
        <f t="shared" si="75"/>
        <v>0.12929416049155407</v>
      </c>
      <c r="Z363" s="38">
        <f t="shared" si="79"/>
        <v>4.2941604915540665E-3</v>
      </c>
      <c r="AC363" s="36">
        <v>0.125</v>
      </c>
      <c r="AL363" t="str">
        <f t="shared" si="80"/>
        <v>Medication Change</v>
      </c>
      <c r="AM363" t="str">
        <f t="shared" si="81"/>
        <v>No</v>
      </c>
      <c r="AN363" t="str">
        <f t="shared" si="82"/>
        <v>Elective</v>
      </c>
      <c r="AO363" t="str">
        <f t="shared" si="83"/>
        <v>General Ward</v>
      </c>
    </row>
    <row r="364" spans="1:41" x14ac:dyDescent="0.3">
      <c r="A364" s="21" t="str">
        <f t="shared" si="76"/>
        <v>UHID-00363</v>
      </c>
      <c r="B364" s="19">
        <v>53</v>
      </c>
      <c r="C364" s="11" t="s">
        <v>17</v>
      </c>
      <c r="D364" s="13" t="s">
        <v>26</v>
      </c>
      <c r="E364" s="13" t="s">
        <v>3</v>
      </c>
      <c r="F364" s="16">
        <v>46196.445339236103</v>
      </c>
      <c r="G364" s="5">
        <v>46196</v>
      </c>
      <c r="H364" s="2">
        <v>46200.653899270801</v>
      </c>
      <c r="I364" s="23">
        <v>46200</v>
      </c>
      <c r="J364" s="24">
        <f t="shared" si="70"/>
        <v>46200.375213623229</v>
      </c>
      <c r="K364" s="24">
        <f t="shared" si="71"/>
        <v>0.65389927080104826</v>
      </c>
      <c r="L364" s="29">
        <f t="shared" si="77"/>
        <v>46199</v>
      </c>
      <c r="M364" s="27" t="str">
        <f t="shared" si="72"/>
        <v>Health Deterioration/TPA Approval Delay</v>
      </c>
      <c r="N364" s="31">
        <f t="shared" si="73"/>
        <v>4</v>
      </c>
      <c r="O364" s="27"/>
      <c r="Q364" s="8">
        <v>0.77611875426928556</v>
      </c>
      <c r="R364" s="8" t="str">
        <f t="shared" si="74"/>
        <v>Critical Delay</v>
      </c>
      <c r="S364" s="33">
        <v>3.6884555417439224</v>
      </c>
      <c r="T364" t="s">
        <v>31</v>
      </c>
      <c r="U364" s="3">
        <v>3</v>
      </c>
      <c r="V364" s="3" t="str">
        <f t="shared" si="78"/>
        <v>Normal</v>
      </c>
      <c r="W364" s="3" t="s">
        <v>50</v>
      </c>
      <c r="X364" s="32">
        <f t="shared" si="75"/>
        <v>0.27868564757227432</v>
      </c>
      <c r="Z364" s="38">
        <f t="shared" si="79"/>
        <v>0.15368564757227432</v>
      </c>
      <c r="AC364" s="36">
        <v>0.125</v>
      </c>
      <c r="AL364" t="str">
        <f t="shared" si="80"/>
        <v>Health Deterioration/TPA Approval Delay</v>
      </c>
      <c r="AM364" t="str">
        <f t="shared" si="81"/>
        <v>No</v>
      </c>
      <c r="AN364" t="str">
        <f t="shared" si="82"/>
        <v>Emergency</v>
      </c>
      <c r="AO364" t="str">
        <f t="shared" si="83"/>
        <v>HDU</v>
      </c>
    </row>
    <row r="365" spans="1:41" x14ac:dyDescent="0.3">
      <c r="A365" s="21" t="str">
        <f t="shared" si="76"/>
        <v>UHID-00364</v>
      </c>
      <c r="B365" s="19">
        <v>52</v>
      </c>
      <c r="C365" s="11" t="s">
        <v>18</v>
      </c>
      <c r="D365" s="13" t="s">
        <v>28</v>
      </c>
      <c r="E365" s="13" t="s">
        <v>3</v>
      </c>
      <c r="F365" s="16">
        <v>46187.791328692103</v>
      </c>
      <c r="G365" s="5">
        <v>46187</v>
      </c>
      <c r="H365" s="2">
        <v>46200.677862465302</v>
      </c>
      <c r="I365" s="23">
        <v>46200</v>
      </c>
      <c r="J365" s="24">
        <f t="shared" si="70"/>
        <v>46200.463440283791</v>
      </c>
      <c r="K365" s="24">
        <f t="shared" si="71"/>
        <v>0.67786246530158678</v>
      </c>
      <c r="L365" s="29">
        <f t="shared" si="77"/>
        <v>46199</v>
      </c>
      <c r="M365" s="27" t="str">
        <f t="shared" si="72"/>
        <v>Health Deterioration</v>
      </c>
      <c r="N365" s="31">
        <f t="shared" si="73"/>
        <v>13</v>
      </c>
      <c r="O365" s="27"/>
      <c r="Q365" s="8">
        <v>0.90819660369794231</v>
      </c>
      <c r="R365" s="8" t="str">
        <f t="shared" si="74"/>
        <v>Critical Delay</v>
      </c>
      <c r="S365" s="33">
        <v>2.1461323562220351</v>
      </c>
      <c r="T365" t="s">
        <v>31</v>
      </c>
      <c r="U365" s="3">
        <v>3</v>
      </c>
      <c r="V365" s="3" t="str">
        <f t="shared" si="78"/>
        <v>Normal</v>
      </c>
      <c r="W365" s="3" t="s">
        <v>50</v>
      </c>
      <c r="X365" s="32">
        <f t="shared" si="75"/>
        <v>0.21442218151059933</v>
      </c>
      <c r="Z365" s="38">
        <f t="shared" si="79"/>
        <v>8.942218151059933E-2</v>
      </c>
      <c r="AC365" s="36">
        <v>0.125</v>
      </c>
      <c r="AL365" t="str">
        <f t="shared" si="80"/>
        <v>Health Deterioration</v>
      </c>
      <c r="AM365" t="str">
        <f t="shared" si="81"/>
        <v>Yes</v>
      </c>
      <c r="AN365" t="str">
        <f t="shared" si="82"/>
        <v>Emergency</v>
      </c>
      <c r="AO365" t="str">
        <f t="shared" si="83"/>
        <v>ICU</v>
      </c>
    </row>
    <row r="366" spans="1:41" x14ac:dyDescent="0.3">
      <c r="A366" s="21" t="str">
        <f t="shared" si="76"/>
        <v>UHID-00365</v>
      </c>
      <c r="B366" s="19">
        <v>52</v>
      </c>
      <c r="C366" s="11" t="s">
        <v>18</v>
      </c>
      <c r="D366" s="13" t="s">
        <v>26</v>
      </c>
      <c r="E366" s="13" t="s">
        <v>3</v>
      </c>
      <c r="F366" s="16">
        <v>46197.792429027802</v>
      </c>
      <c r="G366" s="5">
        <v>46197</v>
      </c>
      <c r="H366" s="2">
        <v>46200.641451411997</v>
      </c>
      <c r="I366" s="23">
        <v>46200</v>
      </c>
      <c r="J366" s="24">
        <f t="shared" si="70"/>
        <v>46200.152319165951</v>
      </c>
      <c r="K366" s="24">
        <f t="shared" si="71"/>
        <v>0.64145141199696809</v>
      </c>
      <c r="L366" s="29">
        <f t="shared" si="77"/>
        <v>46199</v>
      </c>
      <c r="M366" s="27" t="str">
        <f t="shared" si="72"/>
        <v>Health Deterioration/TPA Approval Delay</v>
      </c>
      <c r="N366" s="31">
        <f t="shared" si="73"/>
        <v>3</v>
      </c>
      <c r="O366" s="27"/>
      <c r="Q366" s="8">
        <v>0.76302925105542918</v>
      </c>
      <c r="R366" s="8" t="str">
        <f t="shared" si="74"/>
        <v>Critical Delay</v>
      </c>
      <c r="S366" s="33">
        <v>3.7391739050474273</v>
      </c>
      <c r="T366" t="s">
        <v>31</v>
      </c>
      <c r="U366" s="3">
        <v>8</v>
      </c>
      <c r="V366" s="3" t="str">
        <f t="shared" si="78"/>
        <v>Normal</v>
      </c>
      <c r="W366" s="3" t="s">
        <v>52</v>
      </c>
      <c r="X366" s="32">
        <f t="shared" si="75"/>
        <v>0.48913224604621064</v>
      </c>
      <c r="Z366" s="38">
        <f t="shared" si="79"/>
        <v>0.36413224604621064</v>
      </c>
      <c r="AC366" s="36">
        <v>0.125</v>
      </c>
      <c r="AL366" t="str">
        <f t="shared" si="80"/>
        <v>Health Deterioration/TPA Approval Delay</v>
      </c>
      <c r="AM366" t="str">
        <f t="shared" si="81"/>
        <v>No</v>
      </c>
      <c r="AN366" t="str">
        <f t="shared" si="82"/>
        <v>Emergency</v>
      </c>
      <c r="AO366" t="str">
        <f t="shared" si="83"/>
        <v>General Ward</v>
      </c>
    </row>
    <row r="367" spans="1:41" x14ac:dyDescent="0.3">
      <c r="A367" s="21" t="str">
        <f t="shared" si="76"/>
        <v>UHID-00366</v>
      </c>
      <c r="B367" s="19">
        <v>39</v>
      </c>
      <c r="C367" s="11" t="s">
        <v>18</v>
      </c>
      <c r="D367" s="13" t="s">
        <v>28</v>
      </c>
      <c r="E367" s="13" t="s">
        <v>3</v>
      </c>
      <c r="F367" s="16">
        <v>46197.028618194403</v>
      </c>
      <c r="G367" s="5">
        <v>46197</v>
      </c>
      <c r="H367" s="2">
        <v>46200.667478935196</v>
      </c>
      <c r="I367" s="23">
        <v>46200</v>
      </c>
      <c r="J367" s="24">
        <f t="shared" si="70"/>
        <v>46200.543861783684</v>
      </c>
      <c r="K367" s="24">
        <f t="shared" si="71"/>
        <v>0.66747893519641366</v>
      </c>
      <c r="L367" s="29">
        <f t="shared" si="77"/>
        <v>46199</v>
      </c>
      <c r="M367" s="27" t="str">
        <f t="shared" si="72"/>
        <v>Doctor Round Delay/Report Delay</v>
      </c>
      <c r="N367" s="31">
        <f t="shared" si="73"/>
        <v>3</v>
      </c>
      <c r="O367" s="27"/>
      <c r="Q367" s="8">
        <v>0.89704662737369167</v>
      </c>
      <c r="R367" s="8" t="str">
        <f t="shared" si="74"/>
        <v>Minor Delay</v>
      </c>
      <c r="S367" s="33">
        <v>2.966811636358579</v>
      </c>
      <c r="T367" t="s">
        <v>31</v>
      </c>
      <c r="U367" s="3">
        <v>0</v>
      </c>
      <c r="V367" s="3" t="str">
        <f t="shared" si="78"/>
        <v>Normal</v>
      </c>
      <c r="W367" s="3" t="s">
        <v>51</v>
      </c>
      <c r="X367" s="32">
        <f t="shared" si="75"/>
        <v>0.12361715151200769</v>
      </c>
      <c r="Z367" s="38">
        <f t="shared" si="79"/>
        <v>0</v>
      </c>
      <c r="AC367" s="36">
        <v>0.125</v>
      </c>
      <c r="AL367" t="str">
        <f t="shared" si="80"/>
        <v>Doctor Round Delay/Report Delay</v>
      </c>
      <c r="AM367" t="str">
        <f t="shared" si="81"/>
        <v>No</v>
      </c>
      <c r="AN367" t="str">
        <f t="shared" si="82"/>
        <v>Elective</v>
      </c>
      <c r="AO367" t="str">
        <f t="shared" si="83"/>
        <v>General Ward</v>
      </c>
    </row>
    <row r="368" spans="1:41" x14ac:dyDescent="0.3">
      <c r="A368" s="21" t="str">
        <f t="shared" si="76"/>
        <v>UHID-00367</v>
      </c>
      <c r="B368" s="19">
        <v>66</v>
      </c>
      <c r="C368" s="11" t="s">
        <v>17</v>
      </c>
      <c r="D368" s="13" t="s">
        <v>27</v>
      </c>
      <c r="E368" s="13" t="s">
        <v>3</v>
      </c>
      <c r="F368" s="16">
        <v>46201.685351990702</v>
      </c>
      <c r="G368" s="5">
        <v>46201</v>
      </c>
      <c r="H368" s="2">
        <v>46201.853073159698</v>
      </c>
      <c r="I368" s="23">
        <v>46201</v>
      </c>
      <c r="J368" s="24">
        <f t="shared" si="70"/>
        <v>46201.771659069986</v>
      </c>
      <c r="K368" s="24">
        <f t="shared" si="71"/>
        <v>0.85307315969839692</v>
      </c>
      <c r="L368" s="29">
        <f t="shared" si="77"/>
        <v>46200</v>
      </c>
      <c r="M368" s="27" t="str">
        <f t="shared" si="72"/>
        <v>Normal</v>
      </c>
      <c r="N368" s="31">
        <f t="shared" si="73"/>
        <v>0</v>
      </c>
      <c r="O368" s="27"/>
      <c r="Q368" s="8">
        <v>0.42753877269185925</v>
      </c>
      <c r="R368" s="8" t="str">
        <f t="shared" si="74"/>
        <v>On Time</v>
      </c>
      <c r="S368" s="33">
        <v>1.9539381530467517</v>
      </c>
      <c r="T368" t="s">
        <v>31</v>
      </c>
      <c r="U368" s="3">
        <v>0</v>
      </c>
      <c r="V368" s="3" t="str">
        <f t="shared" si="78"/>
        <v>Normal</v>
      </c>
      <c r="W368" s="3" t="s">
        <v>51</v>
      </c>
      <c r="X368" s="32">
        <f t="shared" si="75"/>
        <v>8.1414089712779969E-2</v>
      </c>
      <c r="Z368" s="38">
        <f t="shared" si="79"/>
        <v>0</v>
      </c>
      <c r="AC368" s="36">
        <v>0.125</v>
      </c>
      <c r="AL368" t="str">
        <f t="shared" si="80"/>
        <v>Normal</v>
      </c>
      <c r="AM368" t="str">
        <f t="shared" si="81"/>
        <v>No</v>
      </c>
      <c r="AN368" t="str">
        <f t="shared" si="82"/>
        <v>Elective</v>
      </c>
      <c r="AO368" t="str">
        <f t="shared" si="83"/>
        <v>General Ward</v>
      </c>
    </row>
    <row r="369" spans="1:41" x14ac:dyDescent="0.3">
      <c r="A369" s="21" t="str">
        <f t="shared" si="76"/>
        <v>UHID-00368</v>
      </c>
      <c r="B369" s="19">
        <v>49</v>
      </c>
      <c r="C369" s="11" t="s">
        <v>18</v>
      </c>
      <c r="D369" s="13" t="s">
        <v>26</v>
      </c>
      <c r="E369" s="13" t="s">
        <v>3</v>
      </c>
      <c r="F369" s="16">
        <v>46200.883518356502</v>
      </c>
      <c r="G369" s="5">
        <v>46200</v>
      </c>
      <c r="H369" s="2">
        <v>46202.561253784697</v>
      </c>
      <c r="I369" s="23">
        <v>46202</v>
      </c>
      <c r="J369" s="24">
        <f t="shared" si="70"/>
        <v>46202.426181453899</v>
      </c>
      <c r="K369" s="24">
        <f t="shared" si="71"/>
        <v>0.56125378469732823</v>
      </c>
      <c r="L369" s="29">
        <f t="shared" si="77"/>
        <v>46201</v>
      </c>
      <c r="M369" s="27" t="str">
        <f t="shared" si="72"/>
        <v>TPA Approval Delay</v>
      </c>
      <c r="N369" s="31">
        <f t="shared" si="73"/>
        <v>2</v>
      </c>
      <c r="O369" s="27"/>
      <c r="Q369" s="8">
        <v>0.84950439131345001</v>
      </c>
      <c r="R369" s="8" t="str">
        <f t="shared" si="74"/>
        <v>Major Delay</v>
      </c>
      <c r="S369" s="33">
        <v>3.2417359390978566</v>
      </c>
      <c r="T369" t="s">
        <v>31</v>
      </c>
      <c r="U369" s="3">
        <v>0</v>
      </c>
      <c r="V369" s="3" t="str">
        <f t="shared" si="78"/>
        <v>Normal</v>
      </c>
      <c r="W369" s="3" t="s">
        <v>51</v>
      </c>
      <c r="X369" s="32">
        <f t="shared" si="75"/>
        <v>0.13507233079872094</v>
      </c>
      <c r="Z369" s="38">
        <f t="shared" si="79"/>
        <v>1.0072330798720941E-2</v>
      </c>
      <c r="AC369" s="36">
        <v>0.125</v>
      </c>
      <c r="AL369" t="str">
        <f t="shared" si="80"/>
        <v>TPA Approval Delay</v>
      </c>
      <c r="AM369" t="str">
        <f t="shared" si="81"/>
        <v>No</v>
      </c>
      <c r="AN369" t="str">
        <f t="shared" si="82"/>
        <v>Elective</v>
      </c>
      <c r="AO369" t="str">
        <f t="shared" si="83"/>
        <v>General Ward</v>
      </c>
    </row>
    <row r="370" spans="1:41" x14ac:dyDescent="0.3">
      <c r="A370" s="21" t="str">
        <f t="shared" si="76"/>
        <v>UHID-00369</v>
      </c>
      <c r="B370" s="19">
        <v>59</v>
      </c>
      <c r="C370" s="11" t="s">
        <v>17</v>
      </c>
      <c r="D370" s="13" t="s">
        <v>26</v>
      </c>
      <c r="E370" s="13" t="s">
        <v>3</v>
      </c>
      <c r="F370" s="16">
        <v>46201.683057384304</v>
      </c>
      <c r="G370" s="5">
        <v>46201</v>
      </c>
      <c r="H370" s="2">
        <v>46202.027877048597</v>
      </c>
      <c r="I370" s="23">
        <v>46202</v>
      </c>
      <c r="J370" s="24">
        <f t="shared" si="70"/>
        <v>46201.71833471697</v>
      </c>
      <c r="K370" s="24">
        <f t="shared" si="71"/>
        <v>2.7877048596565146E-2</v>
      </c>
      <c r="L370" s="29">
        <f t="shared" si="77"/>
        <v>46201</v>
      </c>
      <c r="M370" s="27" t="str">
        <f t="shared" si="72"/>
        <v>Health Deterioration/TPA Approval Delay</v>
      </c>
      <c r="N370" s="31">
        <f t="shared" si="73"/>
        <v>1</v>
      </c>
      <c r="O370" s="27"/>
      <c r="Q370" s="8">
        <v>0.63522940000399741</v>
      </c>
      <c r="R370" s="8" t="str">
        <f t="shared" si="74"/>
        <v>Critical Delay</v>
      </c>
      <c r="S370" s="33">
        <v>3.4290159589809894</v>
      </c>
      <c r="T370" t="s">
        <v>31</v>
      </c>
      <c r="U370" s="3">
        <v>4</v>
      </c>
      <c r="V370" s="3" t="str">
        <f t="shared" si="78"/>
        <v>Normal</v>
      </c>
      <c r="W370" s="3" t="s">
        <v>50</v>
      </c>
      <c r="X370" s="32">
        <f t="shared" si="75"/>
        <v>0.30954233162628952</v>
      </c>
      <c r="Z370" s="38">
        <f t="shared" si="79"/>
        <v>0.18454233162628952</v>
      </c>
      <c r="AC370" s="36">
        <v>0.125</v>
      </c>
      <c r="AL370" t="str">
        <f t="shared" si="80"/>
        <v>Health Deterioration/TPA Approval Delay</v>
      </c>
      <c r="AM370" t="str">
        <f t="shared" si="81"/>
        <v>No</v>
      </c>
      <c r="AN370" t="str">
        <f t="shared" si="82"/>
        <v>Emergency</v>
      </c>
      <c r="AO370" t="str">
        <f t="shared" si="83"/>
        <v>General Ward</v>
      </c>
    </row>
    <row r="371" spans="1:41" x14ac:dyDescent="0.3">
      <c r="A371" s="21" t="str">
        <f t="shared" si="76"/>
        <v>UHID-00370</v>
      </c>
      <c r="B371" s="19">
        <v>58</v>
      </c>
      <c r="C371" s="11" t="s">
        <v>18</v>
      </c>
      <c r="D371" s="13" t="s">
        <v>27</v>
      </c>
      <c r="E371" s="13" t="s">
        <v>3</v>
      </c>
      <c r="F371" s="16">
        <v>46196.087076099502</v>
      </c>
      <c r="G371" s="5">
        <v>46196</v>
      </c>
      <c r="H371" s="2">
        <v>46200.7975718866</v>
      </c>
      <c r="I371" s="23">
        <v>46200</v>
      </c>
      <c r="J371" s="24">
        <f t="shared" si="70"/>
        <v>46200.723024660336</v>
      </c>
      <c r="K371" s="24">
        <f t="shared" si="71"/>
        <v>0.7975718866000534</v>
      </c>
      <c r="L371" s="29">
        <f t="shared" si="77"/>
        <v>46199</v>
      </c>
      <c r="M371" s="27" t="str">
        <f t="shared" si="72"/>
        <v>Normal</v>
      </c>
      <c r="N371" s="31">
        <f t="shared" si="73"/>
        <v>4</v>
      </c>
      <c r="O371" s="27"/>
      <c r="Q371" s="8">
        <v>0.1999981618409632</v>
      </c>
      <c r="R371" s="8" t="str">
        <f t="shared" si="74"/>
        <v>On Time</v>
      </c>
      <c r="S371" s="33">
        <v>1.7891334303162214</v>
      </c>
      <c r="T371" t="s">
        <v>30</v>
      </c>
      <c r="U371" s="3">
        <v>0</v>
      </c>
      <c r="V371" s="3" t="str">
        <f t="shared" si="78"/>
        <v/>
      </c>
      <c r="W371" s="3" t="s">
        <v>51</v>
      </c>
      <c r="X371" s="32">
        <f t="shared" si="75"/>
        <v>7.4547226264257915E-2</v>
      </c>
      <c r="Z371" s="38">
        <f t="shared" si="79"/>
        <v>0</v>
      </c>
      <c r="AC371" s="36">
        <v>0.125</v>
      </c>
      <c r="AL371" t="str">
        <f t="shared" si="80"/>
        <v>Normal</v>
      </c>
      <c r="AM371" t="str">
        <f t="shared" si="81"/>
        <v>No</v>
      </c>
      <c r="AN371" t="str">
        <f t="shared" si="82"/>
        <v>Elective</v>
      </c>
      <c r="AO371" t="str">
        <f t="shared" si="83"/>
        <v>HDU</v>
      </c>
    </row>
    <row r="372" spans="1:41" x14ac:dyDescent="0.3">
      <c r="A372" s="21" t="str">
        <f t="shared" si="76"/>
        <v>UHID-00371</v>
      </c>
      <c r="B372" s="19">
        <v>49</v>
      </c>
      <c r="C372" s="11" t="s">
        <v>18</v>
      </c>
      <c r="D372" s="13" t="s">
        <v>26</v>
      </c>
      <c r="E372" s="13" t="s">
        <v>3</v>
      </c>
      <c r="F372" s="16">
        <v>46190.823844120401</v>
      </c>
      <c r="G372" s="5">
        <v>46190</v>
      </c>
      <c r="H372" s="2">
        <v>46201.9375</v>
      </c>
      <c r="I372" s="23">
        <v>46201</v>
      </c>
      <c r="J372" s="24">
        <f t="shared" si="70"/>
        <v>46201.782367959211</v>
      </c>
      <c r="K372" s="24">
        <f t="shared" si="71"/>
        <v>0.9375</v>
      </c>
      <c r="L372" s="29">
        <f t="shared" si="77"/>
        <v>46200</v>
      </c>
      <c r="M372" s="27" t="str">
        <f t="shared" si="72"/>
        <v>TPA Approval Delay</v>
      </c>
      <c r="N372" s="31">
        <f t="shared" si="73"/>
        <v>11</v>
      </c>
      <c r="O372" s="27"/>
      <c r="Q372" s="8">
        <v>0.78896510334262893</v>
      </c>
      <c r="R372" s="8" t="str">
        <f t="shared" si="74"/>
        <v>Major Delay</v>
      </c>
      <c r="S372" s="33">
        <v>3.7231689789043974</v>
      </c>
      <c r="T372" t="s">
        <v>31</v>
      </c>
      <c r="U372" s="3">
        <v>0</v>
      </c>
      <c r="V372" s="3" t="str">
        <f t="shared" si="78"/>
        <v>Normal</v>
      </c>
      <c r="W372" s="3" t="s">
        <v>51</v>
      </c>
      <c r="X372" s="32">
        <f t="shared" si="75"/>
        <v>0.15513204078888521</v>
      </c>
      <c r="Z372" s="38">
        <f t="shared" si="79"/>
        <v>3.0132040788885206E-2</v>
      </c>
      <c r="AC372" s="36">
        <v>0.125</v>
      </c>
      <c r="AL372" t="str">
        <f t="shared" si="80"/>
        <v>TPA Approval Delay</v>
      </c>
      <c r="AM372" t="str">
        <f t="shared" si="81"/>
        <v>Yes</v>
      </c>
      <c r="AN372" t="str">
        <f t="shared" si="82"/>
        <v>Emergency</v>
      </c>
      <c r="AO372" t="str">
        <f t="shared" si="83"/>
        <v>ICU</v>
      </c>
    </row>
    <row r="373" spans="1:41" x14ac:dyDescent="0.3">
      <c r="A373" s="21" t="str">
        <f t="shared" si="76"/>
        <v>UHID-00372</v>
      </c>
      <c r="B373" s="19">
        <v>75</v>
      </c>
      <c r="C373" s="11" t="s">
        <v>18</v>
      </c>
      <c r="D373" s="13" t="s">
        <v>27</v>
      </c>
      <c r="E373" s="13" t="s">
        <v>3</v>
      </c>
      <c r="F373" s="16">
        <v>46191.469415949097</v>
      </c>
      <c r="G373" s="5">
        <v>46191</v>
      </c>
      <c r="H373" s="2">
        <v>46203.679910798601</v>
      </c>
      <c r="I373" s="23">
        <v>46203</v>
      </c>
      <c r="J373" s="24">
        <f t="shared" si="70"/>
        <v>46203.635308017045</v>
      </c>
      <c r="K373" s="24">
        <f t="shared" si="71"/>
        <v>0.67991079860075843</v>
      </c>
      <c r="L373" s="29">
        <f t="shared" si="77"/>
        <v>46202</v>
      </c>
      <c r="M373" s="27" t="str">
        <f t="shared" si="72"/>
        <v>Normal</v>
      </c>
      <c r="N373" s="31">
        <f t="shared" si="73"/>
        <v>12</v>
      </c>
      <c r="O373" s="27"/>
      <c r="Q373" s="8">
        <v>0.23429943205981718</v>
      </c>
      <c r="R373" s="8" t="str">
        <f t="shared" si="74"/>
        <v>On Time</v>
      </c>
      <c r="S373" s="33">
        <v>1.0704667573898221</v>
      </c>
      <c r="T373" t="s">
        <v>30</v>
      </c>
      <c r="U373" s="3">
        <v>0</v>
      </c>
      <c r="V373" s="3" t="str">
        <f t="shared" si="78"/>
        <v/>
      </c>
      <c r="W373" s="3" t="s">
        <v>51</v>
      </c>
      <c r="X373" s="32">
        <f t="shared" si="75"/>
        <v>4.4602781556022819E-2</v>
      </c>
      <c r="Z373" s="38">
        <f t="shared" si="79"/>
        <v>0</v>
      </c>
      <c r="AC373" s="36">
        <v>0.125</v>
      </c>
      <c r="AL373" t="str">
        <f t="shared" si="80"/>
        <v>Normal</v>
      </c>
      <c r="AM373" t="str">
        <f t="shared" si="81"/>
        <v>Yes</v>
      </c>
      <c r="AN373" t="str">
        <f t="shared" si="82"/>
        <v>Emergency</v>
      </c>
      <c r="AO373" t="str">
        <f t="shared" si="83"/>
        <v>ICU</v>
      </c>
    </row>
    <row r="374" spans="1:41" x14ac:dyDescent="0.3">
      <c r="A374" s="21" t="str">
        <f t="shared" si="76"/>
        <v>UHID-00373</v>
      </c>
      <c r="B374" s="19">
        <v>83</v>
      </c>
      <c r="C374" s="11" t="s">
        <v>18</v>
      </c>
      <c r="D374" s="13" t="s">
        <v>27</v>
      </c>
      <c r="E374" s="13" t="s">
        <v>3</v>
      </c>
      <c r="F374" s="16">
        <v>46193.884046053201</v>
      </c>
      <c r="G374" s="5">
        <v>46193</v>
      </c>
      <c r="H374" s="2">
        <v>46203.929533344897</v>
      </c>
      <c r="I374" s="23">
        <v>46203</v>
      </c>
      <c r="J374" s="24">
        <f t="shared" si="70"/>
        <v>46203.864200039541</v>
      </c>
      <c r="K374" s="24">
        <f t="shared" si="71"/>
        <v>0.92953334489720874</v>
      </c>
      <c r="L374" s="29">
        <f t="shared" si="77"/>
        <v>46202</v>
      </c>
      <c r="M374" s="27" t="str">
        <f t="shared" si="72"/>
        <v>Normal</v>
      </c>
      <c r="N374" s="31">
        <f t="shared" si="73"/>
        <v>10</v>
      </c>
      <c r="O374" s="27"/>
      <c r="Q374" s="8">
        <v>1.7830418486196042E-2</v>
      </c>
      <c r="R374" s="8" t="str">
        <f t="shared" si="74"/>
        <v>On Time</v>
      </c>
      <c r="S374" s="33">
        <v>1.5679993285681499</v>
      </c>
      <c r="T374" t="s">
        <v>30</v>
      </c>
      <c r="U374" s="3">
        <v>0</v>
      </c>
      <c r="V374" s="3" t="str">
        <f t="shared" si="78"/>
        <v/>
      </c>
      <c r="W374" s="3" t="s">
        <v>51</v>
      </c>
      <c r="X374" s="32">
        <f t="shared" si="75"/>
        <v>6.5333305356034543E-2</v>
      </c>
      <c r="Z374" s="38">
        <f t="shared" si="79"/>
        <v>0</v>
      </c>
      <c r="AC374" s="36">
        <v>0.125</v>
      </c>
      <c r="AL374" t="str">
        <f t="shared" si="80"/>
        <v>Normal</v>
      </c>
      <c r="AM374" t="str">
        <f t="shared" si="81"/>
        <v>No</v>
      </c>
      <c r="AN374" t="str">
        <f t="shared" si="82"/>
        <v>Emergency</v>
      </c>
      <c r="AO374" t="str">
        <f t="shared" si="83"/>
        <v>ICU</v>
      </c>
    </row>
    <row r="375" spans="1:41" x14ac:dyDescent="0.3">
      <c r="A375" s="21" t="str">
        <f t="shared" si="76"/>
        <v>UHID-00374</v>
      </c>
      <c r="B375" s="19">
        <v>60</v>
      </c>
      <c r="C375" s="11" t="s">
        <v>17</v>
      </c>
      <c r="D375" s="13" t="s">
        <v>26</v>
      </c>
      <c r="E375" s="13" t="s">
        <v>3</v>
      </c>
      <c r="F375" s="16">
        <v>46196.839478715301</v>
      </c>
      <c r="G375" s="5">
        <v>46196</v>
      </c>
      <c r="H375" s="2">
        <v>46203.600075937502</v>
      </c>
      <c r="I375" s="23">
        <v>46203</v>
      </c>
      <c r="J375" s="24">
        <f t="shared" si="70"/>
        <v>46203.294403642423</v>
      </c>
      <c r="K375" s="24">
        <f t="shared" si="71"/>
        <v>0.60007593750196975</v>
      </c>
      <c r="L375" s="29">
        <f t="shared" si="77"/>
        <v>46202</v>
      </c>
      <c r="M375" s="27" t="str">
        <f t="shared" si="72"/>
        <v>Health Deterioration/TPA Approval Delay</v>
      </c>
      <c r="N375" s="31">
        <f t="shared" si="73"/>
        <v>7</v>
      </c>
      <c r="O375" s="27"/>
      <c r="Q375" s="8">
        <v>0.5174767600014597</v>
      </c>
      <c r="R375" s="8" t="str">
        <f t="shared" si="74"/>
        <v>Critical Delay</v>
      </c>
      <c r="S375" s="33">
        <v>3.3361350818169129</v>
      </c>
      <c r="T375" t="s">
        <v>31</v>
      </c>
      <c r="U375" s="3">
        <v>4</v>
      </c>
      <c r="V375" s="3" t="str">
        <f t="shared" si="78"/>
        <v>Normal</v>
      </c>
      <c r="W375" s="3" t="s">
        <v>50</v>
      </c>
      <c r="X375" s="32">
        <f t="shared" si="75"/>
        <v>0.30567229507869342</v>
      </c>
      <c r="Z375" s="38">
        <f t="shared" si="79"/>
        <v>0.18067229507869342</v>
      </c>
      <c r="AC375" s="36">
        <v>0.125</v>
      </c>
      <c r="AL375" t="str">
        <f t="shared" si="80"/>
        <v>Health Deterioration/TPA Approval Delay</v>
      </c>
      <c r="AM375" t="str">
        <f t="shared" si="81"/>
        <v>No</v>
      </c>
      <c r="AN375" t="str">
        <f t="shared" si="82"/>
        <v>Emergency</v>
      </c>
      <c r="AO375" t="str">
        <f t="shared" si="83"/>
        <v>ICU</v>
      </c>
    </row>
    <row r="376" spans="1:41" x14ac:dyDescent="0.3">
      <c r="A376" s="21" t="str">
        <f t="shared" si="76"/>
        <v>UHID-00375</v>
      </c>
      <c r="B376" s="18">
        <v>89</v>
      </c>
      <c r="C376" s="10" t="s">
        <v>17</v>
      </c>
      <c r="D376" s="13" t="s">
        <v>27</v>
      </c>
      <c r="E376" s="13" t="s">
        <v>1</v>
      </c>
      <c r="F376" s="15">
        <v>46154.026240856503</v>
      </c>
      <c r="G376" s="4">
        <v>46154</v>
      </c>
      <c r="H376" s="1">
        <v>46174.557680520797</v>
      </c>
      <c r="I376" s="22">
        <v>46174</v>
      </c>
      <c r="J376" s="24">
        <f t="shared" si="70"/>
        <v>46174.372262542056</v>
      </c>
      <c r="K376" s="24">
        <f t="shared" si="71"/>
        <v>0.55768052079656627</v>
      </c>
      <c r="L376" s="29">
        <f t="shared" si="77"/>
        <v>46173</v>
      </c>
      <c r="M376" s="27" t="str">
        <f t="shared" si="72"/>
        <v>Medication Change</v>
      </c>
      <c r="N376" s="31">
        <f t="shared" si="73"/>
        <v>20</v>
      </c>
      <c r="O376" s="27"/>
      <c r="Q376" s="8">
        <v>5.0047916987578711E-2</v>
      </c>
      <c r="R376" s="8" t="str">
        <f t="shared" si="74"/>
        <v>Major Delay</v>
      </c>
      <c r="S376" s="33">
        <v>1.450031489821084</v>
      </c>
      <c r="T376" t="s">
        <v>30</v>
      </c>
      <c r="U376" s="3">
        <v>3</v>
      </c>
      <c r="V376" s="3" t="str">
        <f t="shared" si="78"/>
        <v/>
      </c>
      <c r="W376" s="3" t="s">
        <v>50</v>
      </c>
      <c r="X376" s="32">
        <f t="shared" si="75"/>
        <v>0.1854179787405883</v>
      </c>
      <c r="Z376" s="38">
        <f t="shared" si="79"/>
        <v>6.0417978740588296E-2</v>
      </c>
      <c r="AC376" s="36">
        <v>0.125</v>
      </c>
      <c r="AL376" t="str">
        <f t="shared" si="80"/>
        <v>Medication Change</v>
      </c>
      <c r="AM376" t="str">
        <f t="shared" si="81"/>
        <v>Yes</v>
      </c>
      <c r="AN376" t="str">
        <f t="shared" si="82"/>
        <v>Emergency</v>
      </c>
      <c r="AO376" t="str">
        <f t="shared" si="83"/>
        <v>ICU</v>
      </c>
    </row>
    <row r="377" spans="1:41" x14ac:dyDescent="0.3">
      <c r="A377" s="21" t="str">
        <f t="shared" si="76"/>
        <v>UHID-00376</v>
      </c>
      <c r="B377" s="18">
        <v>61</v>
      </c>
      <c r="C377" s="10" t="s">
        <v>17</v>
      </c>
      <c r="D377" s="13" t="s">
        <v>27</v>
      </c>
      <c r="E377" s="13" t="s">
        <v>1</v>
      </c>
      <c r="F377" s="15">
        <v>46161.087062256898</v>
      </c>
      <c r="G377" s="4">
        <v>46161</v>
      </c>
      <c r="H377" s="1">
        <v>46174.6863222338</v>
      </c>
      <c r="I377" s="22">
        <v>46174</v>
      </c>
      <c r="J377" s="24">
        <f t="shared" si="70"/>
        <v>46174.619039681762</v>
      </c>
      <c r="K377" s="24">
        <f t="shared" si="71"/>
        <v>0.68632223379972856</v>
      </c>
      <c r="L377" s="29">
        <f t="shared" si="77"/>
        <v>46173</v>
      </c>
      <c r="M377" s="27" t="str">
        <f t="shared" si="72"/>
        <v>Normal</v>
      </c>
      <c r="N377" s="31">
        <f t="shared" si="73"/>
        <v>13</v>
      </c>
      <c r="O377" s="27"/>
      <c r="Q377" s="8">
        <v>0.25231550658680002</v>
      </c>
      <c r="R377" s="8" t="str">
        <f t="shared" si="74"/>
        <v>On Time</v>
      </c>
      <c r="S377" s="33">
        <v>1.6147812488296012</v>
      </c>
      <c r="T377" t="s">
        <v>30</v>
      </c>
      <c r="U377" s="3">
        <v>0</v>
      </c>
      <c r="V377" s="3" t="str">
        <f t="shared" si="78"/>
        <v/>
      </c>
      <c r="W377" s="3" t="s">
        <v>51</v>
      </c>
      <c r="X377" s="32">
        <f t="shared" si="75"/>
        <v>6.728255203779554E-2</v>
      </c>
      <c r="Z377" s="38">
        <f t="shared" si="79"/>
        <v>0</v>
      </c>
      <c r="AC377" s="36">
        <v>0.125</v>
      </c>
      <c r="AL377" t="str">
        <f t="shared" si="80"/>
        <v>Normal</v>
      </c>
      <c r="AM377" t="str">
        <f t="shared" si="81"/>
        <v>Yes</v>
      </c>
      <c r="AN377" t="str">
        <f t="shared" si="82"/>
        <v>Emergency</v>
      </c>
      <c r="AO377" t="str">
        <f t="shared" si="83"/>
        <v>ICU</v>
      </c>
    </row>
    <row r="378" spans="1:41" x14ac:dyDescent="0.3">
      <c r="A378" s="21" t="str">
        <f t="shared" si="76"/>
        <v>UHID-00377</v>
      </c>
      <c r="B378" s="18">
        <v>75</v>
      </c>
      <c r="C378" s="10" t="s">
        <v>18</v>
      </c>
      <c r="D378" s="13" t="s">
        <v>27</v>
      </c>
      <c r="E378" s="13" t="s">
        <v>1</v>
      </c>
      <c r="F378" s="15">
        <v>46161.796374363403</v>
      </c>
      <c r="G378" s="4">
        <v>46161</v>
      </c>
      <c r="H378" s="1">
        <v>46174.679970995399</v>
      </c>
      <c r="I378" s="22">
        <v>46174</v>
      </c>
      <c r="J378" s="24">
        <f t="shared" si="70"/>
        <v>46174.62729457963</v>
      </c>
      <c r="K378" s="24">
        <f t="shared" si="71"/>
        <v>0.67997099539934425</v>
      </c>
      <c r="L378" s="29">
        <f t="shared" si="77"/>
        <v>46173</v>
      </c>
      <c r="M378" s="27" t="str">
        <f t="shared" si="72"/>
        <v>Normal</v>
      </c>
      <c r="N378" s="31">
        <f t="shared" si="73"/>
        <v>13</v>
      </c>
      <c r="O378" s="27"/>
      <c r="Q378" s="8">
        <v>0.15152469098588339</v>
      </c>
      <c r="R378" s="8" t="str">
        <f t="shared" si="74"/>
        <v>On Time</v>
      </c>
      <c r="S378" s="33">
        <v>1.2642339784056844</v>
      </c>
      <c r="T378" t="s">
        <v>30</v>
      </c>
      <c r="U378" s="3">
        <v>0</v>
      </c>
      <c r="V378" s="3" t="str">
        <f t="shared" si="78"/>
        <v/>
      </c>
      <c r="W378" s="3" t="s">
        <v>51</v>
      </c>
      <c r="X378" s="32">
        <f t="shared" si="75"/>
        <v>5.2676415769383311E-2</v>
      </c>
      <c r="Z378" s="38">
        <f t="shared" si="79"/>
        <v>0</v>
      </c>
      <c r="AC378" s="36">
        <v>0.125</v>
      </c>
      <c r="AL378" t="str">
        <f t="shared" si="80"/>
        <v>Normal</v>
      </c>
      <c r="AM378" t="str">
        <f t="shared" si="81"/>
        <v>Yes</v>
      </c>
      <c r="AN378" t="str">
        <f t="shared" si="82"/>
        <v>Emergency</v>
      </c>
      <c r="AO378" t="str">
        <f t="shared" si="83"/>
        <v>ICU</v>
      </c>
    </row>
    <row r="379" spans="1:41" x14ac:dyDescent="0.3">
      <c r="A379" s="21" t="str">
        <f t="shared" si="76"/>
        <v>UHID-00378</v>
      </c>
      <c r="B379" s="18">
        <v>51</v>
      </c>
      <c r="C379" s="10" t="s">
        <v>17</v>
      </c>
      <c r="D379" s="13" t="s">
        <v>27</v>
      </c>
      <c r="E379" s="13" t="s">
        <v>1</v>
      </c>
      <c r="F379" s="15">
        <v>46170.994504791699</v>
      </c>
      <c r="G379" s="4">
        <v>46170</v>
      </c>
      <c r="H379" s="1">
        <v>46174.573525972199</v>
      </c>
      <c r="I379" s="22">
        <v>46174</v>
      </c>
      <c r="J379" s="24">
        <f t="shared" si="70"/>
        <v>46174.160479068269</v>
      </c>
      <c r="K379" s="24">
        <f t="shared" si="71"/>
        <v>0.57352597219869494</v>
      </c>
      <c r="L379" s="29">
        <f t="shared" si="77"/>
        <v>46173</v>
      </c>
      <c r="M379" s="27" t="str">
        <f t="shared" si="72"/>
        <v>Health Deterioration</v>
      </c>
      <c r="N379" s="31">
        <f t="shared" si="73"/>
        <v>4</v>
      </c>
      <c r="O379" s="27"/>
      <c r="Q379" s="8">
        <v>0.45748333927755402</v>
      </c>
      <c r="R379" s="8" t="str">
        <f t="shared" si="74"/>
        <v>Critical Delay</v>
      </c>
      <c r="S379" s="33">
        <v>1.9131256942500825</v>
      </c>
      <c r="T379" t="s">
        <v>31</v>
      </c>
      <c r="U379" s="3">
        <v>8</v>
      </c>
      <c r="V379" s="3" t="str">
        <f t="shared" si="78"/>
        <v>Normal</v>
      </c>
      <c r="W379" s="3" t="s">
        <v>52</v>
      </c>
      <c r="X379" s="32">
        <f t="shared" si="75"/>
        <v>0.41304690393008059</v>
      </c>
      <c r="Z379" s="38">
        <f t="shared" si="79"/>
        <v>0.28804690393008059</v>
      </c>
      <c r="AC379" s="36">
        <v>0.125</v>
      </c>
      <c r="AL379" t="str">
        <f t="shared" si="80"/>
        <v>Health Deterioration</v>
      </c>
      <c r="AM379" t="str">
        <f t="shared" si="81"/>
        <v>No</v>
      </c>
      <c r="AN379" t="str">
        <f t="shared" si="82"/>
        <v>Emergency</v>
      </c>
      <c r="AO379" t="str">
        <f t="shared" si="83"/>
        <v>HDU</v>
      </c>
    </row>
    <row r="380" spans="1:41" x14ac:dyDescent="0.3">
      <c r="A380" s="21" t="str">
        <f t="shared" si="76"/>
        <v>UHID-00379</v>
      </c>
      <c r="B380" s="18">
        <v>63</v>
      </c>
      <c r="C380" s="10" t="s">
        <v>17</v>
      </c>
      <c r="D380" s="13" t="s">
        <v>28</v>
      </c>
      <c r="E380" s="13" t="s">
        <v>1</v>
      </c>
      <c r="F380" s="15">
        <v>46169.804379490699</v>
      </c>
      <c r="G380" s="4">
        <v>46169</v>
      </c>
      <c r="H380" s="1">
        <v>46174.523691307899</v>
      </c>
      <c r="I380" s="22">
        <v>46174</v>
      </c>
      <c r="J380" s="24">
        <f t="shared" si="70"/>
        <v>46174.437399869581</v>
      </c>
      <c r="K380" s="24">
        <f t="shared" si="71"/>
        <v>0.52369130789884366</v>
      </c>
      <c r="L380" s="29">
        <f t="shared" si="77"/>
        <v>46173</v>
      </c>
      <c r="M380" s="27" t="str">
        <f t="shared" si="72"/>
        <v>Doctor Round Delay/Report Delay</v>
      </c>
      <c r="N380" s="31">
        <f t="shared" si="73"/>
        <v>5</v>
      </c>
      <c r="O380" s="27"/>
      <c r="Q380" s="8">
        <v>0.92699191824401961</v>
      </c>
      <c r="R380" s="8" t="str">
        <f t="shared" si="74"/>
        <v>Minor Delay</v>
      </c>
      <c r="S380" s="33">
        <v>2.0709945195964887</v>
      </c>
      <c r="T380" t="s">
        <v>31</v>
      </c>
      <c r="U380" s="3">
        <v>0</v>
      </c>
      <c r="V380" s="3" t="str">
        <f t="shared" si="78"/>
        <v>Normal</v>
      </c>
      <c r="W380" s="3" t="s">
        <v>51</v>
      </c>
      <c r="X380" s="32">
        <f t="shared" si="75"/>
        <v>8.6291438317857683E-2</v>
      </c>
      <c r="Z380" s="38">
        <f t="shared" si="79"/>
        <v>0</v>
      </c>
      <c r="AC380" s="36">
        <v>0.125</v>
      </c>
      <c r="AL380" t="str">
        <f t="shared" si="80"/>
        <v>Doctor Round Delay/Report Delay</v>
      </c>
      <c r="AM380" t="str">
        <f t="shared" si="81"/>
        <v>No</v>
      </c>
      <c r="AN380" t="str">
        <f t="shared" si="82"/>
        <v>Emergency</v>
      </c>
      <c r="AO380" t="str">
        <f t="shared" si="83"/>
        <v>HDU</v>
      </c>
    </row>
    <row r="381" spans="1:41" x14ac:dyDescent="0.3">
      <c r="A381" s="21" t="str">
        <f t="shared" si="76"/>
        <v>UHID-00380</v>
      </c>
      <c r="B381" s="18">
        <v>73</v>
      </c>
      <c r="C381" s="10" t="s">
        <v>18</v>
      </c>
      <c r="D381" s="13" t="s">
        <v>26</v>
      </c>
      <c r="E381" s="13" t="s">
        <v>1</v>
      </c>
      <c r="F381" s="15">
        <v>46168.958802118097</v>
      </c>
      <c r="G381" s="4">
        <v>46168</v>
      </c>
      <c r="H381" s="1">
        <v>46174.646643749998</v>
      </c>
      <c r="I381" s="22">
        <v>46174</v>
      </c>
      <c r="J381" s="24">
        <f t="shared" si="70"/>
        <v>46174.434159122626</v>
      </c>
      <c r="K381" s="24">
        <f t="shared" si="71"/>
        <v>0.64664374999847496</v>
      </c>
      <c r="L381" s="29">
        <f t="shared" si="77"/>
        <v>46173</v>
      </c>
      <c r="M381" s="27" t="str">
        <f t="shared" si="72"/>
        <v>Health Deterioration/TPA Approval Delay</v>
      </c>
      <c r="N381" s="31">
        <f t="shared" si="73"/>
        <v>6</v>
      </c>
      <c r="O381" s="27"/>
      <c r="Q381" s="8">
        <v>0.70475843415018802</v>
      </c>
      <c r="R381" s="8" t="str">
        <f t="shared" si="74"/>
        <v>Critical Delay</v>
      </c>
      <c r="S381" s="33">
        <v>3.0996310569447934</v>
      </c>
      <c r="T381" t="s">
        <v>31</v>
      </c>
      <c r="U381" s="3">
        <v>2</v>
      </c>
      <c r="V381" s="3" t="str">
        <f t="shared" si="78"/>
        <v>Normal</v>
      </c>
      <c r="W381" s="3" t="s">
        <v>50</v>
      </c>
      <c r="X381" s="32">
        <f t="shared" si="75"/>
        <v>0.21248462737275986</v>
      </c>
      <c r="Z381" s="38">
        <f t="shared" si="79"/>
        <v>8.748462737275986E-2</v>
      </c>
      <c r="AC381" s="36">
        <v>0.125</v>
      </c>
      <c r="AL381" t="str">
        <f t="shared" si="80"/>
        <v>Health Deterioration/TPA Approval Delay</v>
      </c>
      <c r="AM381" t="str">
        <f t="shared" si="81"/>
        <v>Yes</v>
      </c>
      <c r="AN381" t="str">
        <f t="shared" si="82"/>
        <v>Emergency</v>
      </c>
      <c r="AO381" t="str">
        <f t="shared" si="83"/>
        <v>HDU</v>
      </c>
    </row>
    <row r="382" spans="1:41" x14ac:dyDescent="0.3">
      <c r="A382" s="21" t="str">
        <f t="shared" si="76"/>
        <v>UHID-00381</v>
      </c>
      <c r="B382" s="18">
        <v>44</v>
      </c>
      <c r="C382" s="10" t="s">
        <v>18</v>
      </c>
      <c r="D382" s="13" t="s">
        <v>27</v>
      </c>
      <c r="E382" s="13" t="s">
        <v>1</v>
      </c>
      <c r="F382" s="15">
        <v>46168.854798310203</v>
      </c>
      <c r="G382" s="4">
        <v>46168</v>
      </c>
      <c r="H382" s="1">
        <v>46174.734170138901</v>
      </c>
      <c r="I382" s="22">
        <v>46174</v>
      </c>
      <c r="J382" s="24">
        <f t="shared" si="70"/>
        <v>46174.686383551962</v>
      </c>
      <c r="K382" s="24">
        <f t="shared" si="71"/>
        <v>0.7341701389013906</v>
      </c>
      <c r="L382" s="29">
        <f t="shared" si="77"/>
        <v>46173</v>
      </c>
      <c r="M382" s="27" t="str">
        <f t="shared" si="72"/>
        <v>Normal</v>
      </c>
      <c r="N382" s="31">
        <f t="shared" si="73"/>
        <v>6</v>
      </c>
      <c r="O382" s="27"/>
      <c r="Q382" s="8">
        <v>0.31630700736850792</v>
      </c>
      <c r="R382" s="8" t="str">
        <f t="shared" si="74"/>
        <v>On Time</v>
      </c>
      <c r="S382" s="33">
        <v>1.1468780865095511</v>
      </c>
      <c r="T382" t="s">
        <v>30</v>
      </c>
      <c r="U382" s="3">
        <v>0</v>
      </c>
      <c r="V382" s="3" t="str">
        <f t="shared" si="78"/>
        <v/>
      </c>
      <c r="W382" s="3" t="s">
        <v>51</v>
      </c>
      <c r="X382" s="32">
        <f t="shared" si="75"/>
        <v>4.7786586939764675E-2</v>
      </c>
      <c r="Z382" s="38">
        <f t="shared" si="79"/>
        <v>0</v>
      </c>
      <c r="AC382" s="36">
        <v>0.125</v>
      </c>
      <c r="AL382" t="str">
        <f t="shared" si="80"/>
        <v>Normal</v>
      </c>
      <c r="AM382" t="str">
        <f t="shared" si="81"/>
        <v>No</v>
      </c>
      <c r="AN382" t="str">
        <f t="shared" si="82"/>
        <v>Elective</v>
      </c>
      <c r="AO382" t="str">
        <f t="shared" si="83"/>
        <v>HDU</v>
      </c>
    </row>
    <row r="383" spans="1:41" x14ac:dyDescent="0.3">
      <c r="A383" s="21" t="str">
        <f t="shared" si="76"/>
        <v>UHID-00382</v>
      </c>
      <c r="B383" s="18">
        <v>76</v>
      </c>
      <c r="C383" s="10" t="s">
        <v>18</v>
      </c>
      <c r="D383" s="13" t="s">
        <v>27</v>
      </c>
      <c r="E383" s="13" t="s">
        <v>1</v>
      </c>
      <c r="F383" s="15">
        <v>46165.729557592596</v>
      </c>
      <c r="G383" s="4">
        <v>46165</v>
      </c>
      <c r="H383" s="1">
        <v>46175.579979571798</v>
      </c>
      <c r="I383" s="22">
        <v>46175</v>
      </c>
      <c r="J383" s="24">
        <f t="shared" si="70"/>
        <v>46175.500966203741</v>
      </c>
      <c r="K383" s="24">
        <f t="shared" si="71"/>
        <v>0.57997957179759396</v>
      </c>
      <c r="L383" s="29">
        <f t="shared" si="77"/>
        <v>46174</v>
      </c>
      <c r="M383" s="27" t="str">
        <f t="shared" si="72"/>
        <v>Normal</v>
      </c>
      <c r="N383" s="31">
        <f t="shared" si="73"/>
        <v>10</v>
      </c>
      <c r="O383" s="27"/>
      <c r="Q383" s="8">
        <v>7.7556153481337375E-2</v>
      </c>
      <c r="R383" s="8" t="str">
        <f t="shared" si="74"/>
        <v>On Time</v>
      </c>
      <c r="S383" s="33">
        <v>1.8963208333574313</v>
      </c>
      <c r="T383" t="s">
        <v>30</v>
      </c>
      <c r="U383" s="3">
        <v>0</v>
      </c>
      <c r="V383" s="3" t="str">
        <f t="shared" si="78"/>
        <v/>
      </c>
      <c r="W383" s="3" t="s">
        <v>51</v>
      </c>
      <c r="X383" s="32">
        <f t="shared" si="75"/>
        <v>7.9013368056621403E-2</v>
      </c>
      <c r="Z383" s="38">
        <f t="shared" si="79"/>
        <v>0</v>
      </c>
      <c r="AC383" s="36">
        <v>0.125</v>
      </c>
      <c r="AL383" t="str">
        <f t="shared" si="80"/>
        <v>Normal</v>
      </c>
      <c r="AM383" t="str">
        <f t="shared" si="81"/>
        <v>No</v>
      </c>
      <c r="AN383" t="str">
        <f t="shared" si="82"/>
        <v>Emergency</v>
      </c>
      <c r="AO383" t="str">
        <f t="shared" si="83"/>
        <v>ICU</v>
      </c>
    </row>
    <row r="384" spans="1:41" x14ac:dyDescent="0.3">
      <c r="A384" s="21" t="str">
        <f t="shared" si="76"/>
        <v>UHID-00383</v>
      </c>
      <c r="B384" s="18">
        <v>74</v>
      </c>
      <c r="C384" s="10" t="s">
        <v>17</v>
      </c>
      <c r="D384" s="13" t="s">
        <v>27</v>
      </c>
      <c r="E384" s="13" t="s">
        <v>1</v>
      </c>
      <c r="F384" s="15">
        <v>46171.930181064803</v>
      </c>
      <c r="G384" s="4">
        <v>46171</v>
      </c>
      <c r="H384" s="1">
        <v>46175.572116261603</v>
      </c>
      <c r="I384" s="22">
        <v>46175</v>
      </c>
      <c r="J384" s="24">
        <f t="shared" si="70"/>
        <v>46175.362383910062</v>
      </c>
      <c r="K384" s="24">
        <f t="shared" si="71"/>
        <v>0.57211626160278684</v>
      </c>
      <c r="L384" s="29">
        <f t="shared" si="77"/>
        <v>46174</v>
      </c>
      <c r="M384" s="27" t="str">
        <f t="shared" si="72"/>
        <v>Health Deterioration</v>
      </c>
      <c r="N384" s="31">
        <f t="shared" si="73"/>
        <v>4</v>
      </c>
      <c r="O384" s="27"/>
      <c r="Q384" s="8">
        <v>0.42640935729279084</v>
      </c>
      <c r="R384" s="8" t="str">
        <f t="shared" si="74"/>
        <v>Critical Delay</v>
      </c>
      <c r="S384" s="33">
        <v>1.0335764369315907</v>
      </c>
      <c r="T384" t="s">
        <v>31</v>
      </c>
      <c r="U384" s="3">
        <v>4</v>
      </c>
      <c r="V384" s="3" t="str">
        <f t="shared" si="78"/>
        <v>Normal</v>
      </c>
      <c r="W384" s="3" t="s">
        <v>50</v>
      </c>
      <c r="X384" s="32">
        <f t="shared" si="75"/>
        <v>0.20973235154087888</v>
      </c>
      <c r="Z384" s="38">
        <f t="shared" si="79"/>
        <v>8.4732351540878881E-2</v>
      </c>
      <c r="AC384" s="36">
        <v>0.125</v>
      </c>
      <c r="AL384" t="str">
        <f t="shared" si="80"/>
        <v>Health Deterioration</v>
      </c>
      <c r="AM384" t="str">
        <f t="shared" si="81"/>
        <v>Yes</v>
      </c>
      <c r="AN384" t="str">
        <f t="shared" si="82"/>
        <v>Emergency</v>
      </c>
      <c r="AO384" t="str">
        <f t="shared" si="83"/>
        <v>HDU</v>
      </c>
    </row>
    <row r="385" spans="1:41" x14ac:dyDescent="0.3">
      <c r="A385" s="21" t="str">
        <f t="shared" si="76"/>
        <v>UHID-00384</v>
      </c>
      <c r="B385" s="18">
        <v>49</v>
      </c>
      <c r="C385" s="10" t="s">
        <v>18</v>
      </c>
      <c r="D385" s="13" t="s">
        <v>27</v>
      </c>
      <c r="E385" s="13" t="s">
        <v>1</v>
      </c>
      <c r="F385" s="15">
        <v>46168.9087113079</v>
      </c>
      <c r="G385" s="4">
        <v>46168</v>
      </c>
      <c r="H385" s="1">
        <v>46175.519511446801</v>
      </c>
      <c r="I385" s="22">
        <v>46175</v>
      </c>
      <c r="J385" s="24">
        <f t="shared" si="70"/>
        <v>46175.471530498486</v>
      </c>
      <c r="K385" s="24">
        <f t="shared" si="71"/>
        <v>0.51951144680060679</v>
      </c>
      <c r="L385" s="29">
        <f t="shared" si="77"/>
        <v>46174</v>
      </c>
      <c r="M385" s="27" t="str">
        <f t="shared" si="72"/>
        <v>Normal</v>
      </c>
      <c r="N385" s="31">
        <f t="shared" si="73"/>
        <v>7</v>
      </c>
      <c r="O385" s="27"/>
      <c r="Q385" s="8">
        <v>1.2187315518524255E-2</v>
      </c>
      <c r="R385" s="8" t="str">
        <f t="shared" si="74"/>
        <v>On Time</v>
      </c>
      <c r="S385" s="33">
        <v>1.1515427594880703</v>
      </c>
      <c r="T385" t="s">
        <v>30</v>
      </c>
      <c r="U385" s="3">
        <v>0</v>
      </c>
      <c r="V385" s="3" t="str">
        <f t="shared" si="78"/>
        <v/>
      </c>
      <c r="W385" s="3" t="s">
        <v>51</v>
      </c>
      <c r="X385" s="32">
        <f t="shared" si="75"/>
        <v>4.7980948314943817E-2</v>
      </c>
      <c r="Z385" s="38">
        <f t="shared" si="79"/>
        <v>0</v>
      </c>
      <c r="AC385" s="36">
        <v>0.125</v>
      </c>
      <c r="AL385" t="str">
        <f t="shared" si="80"/>
        <v>Normal</v>
      </c>
      <c r="AM385" t="str">
        <f t="shared" si="81"/>
        <v>No</v>
      </c>
      <c r="AN385" t="str">
        <f t="shared" si="82"/>
        <v>Emergency</v>
      </c>
      <c r="AO385" t="str">
        <f t="shared" si="83"/>
        <v>ICU</v>
      </c>
    </row>
    <row r="386" spans="1:41" x14ac:dyDescent="0.3">
      <c r="A386" s="21" t="str">
        <f t="shared" si="76"/>
        <v>UHID-00385</v>
      </c>
      <c r="B386" s="18">
        <v>73</v>
      </c>
      <c r="C386" s="10" t="s">
        <v>17</v>
      </c>
      <c r="D386" s="13" t="s">
        <v>27</v>
      </c>
      <c r="E386" s="13" t="s">
        <v>1</v>
      </c>
      <c r="F386" s="15">
        <v>46168.014498599499</v>
      </c>
      <c r="G386" s="4">
        <v>46168</v>
      </c>
      <c r="H386" s="1">
        <v>46175.5495583218</v>
      </c>
      <c r="I386" s="22">
        <v>46175</v>
      </c>
      <c r="J386" s="24">
        <f t="shared" ref="J386:J449" si="84">I386+K386-((S386+U386)/24)</f>
        <v>46175.471664524324</v>
      </c>
      <c r="K386" s="24">
        <f t="shared" ref="K386:K449" si="85">MOD(H386,1)</f>
        <v>0.54955832179985009</v>
      </c>
      <c r="L386" s="29">
        <f t="shared" si="77"/>
        <v>46174</v>
      </c>
      <c r="M386" s="27" t="str">
        <f t="shared" ref="M386:M449" si="86">IF(X386="","",IF(X386&lt;=TIME(2,0,0),"Normal",IF(X386&lt;=TIME(3,0,0),IF(D386="CASH","Bill Settlement Delay","Doctor Round Delay/Report Delay"),IF(X386&lt;=TIME(5,0,0),IF(D386="TPA","TPA Approval Delay","Medication Change"),IF(D386="TPA","Health Deterioration/TPA Approval Delay","Health Deterioration")))))</f>
        <v>Normal</v>
      </c>
      <c r="N386" s="31">
        <f t="shared" ref="N386:N449" si="87">I386-G386</f>
        <v>7</v>
      </c>
      <c r="O386" s="27"/>
      <c r="Q386" s="8">
        <v>0.31877173922255442</v>
      </c>
      <c r="R386" s="8" t="str">
        <f t="shared" ref="R386:R449" si="88">IF(X386="","",IF(X386&lt;=TIME(2,0,0),"On Time",IF(X386&lt;=TIME(3,0,0),"Minor Delay",IF(X386&lt;=TIME(5,0,0),"Major Delay","Critical Delay"))))</f>
        <v>On Time</v>
      </c>
      <c r="S386" s="33">
        <v>1.8694511394995545</v>
      </c>
      <c r="T386" t="s">
        <v>30</v>
      </c>
      <c r="U386" s="3">
        <v>0</v>
      </c>
      <c r="V386" s="3" t="str">
        <f t="shared" si="78"/>
        <v/>
      </c>
      <c r="W386" s="3" t="s">
        <v>51</v>
      </c>
      <c r="X386" s="32">
        <f t="shared" ref="X386:X449" si="89">MOD(K386-J386,1)</f>
        <v>7.7893797475553583E-2</v>
      </c>
      <c r="Z386" s="38">
        <f t="shared" si="79"/>
        <v>0</v>
      </c>
      <c r="AC386" s="36">
        <v>0.125</v>
      </c>
      <c r="AL386" t="str">
        <f t="shared" si="80"/>
        <v>Normal</v>
      </c>
      <c r="AM386" t="str">
        <f t="shared" si="81"/>
        <v>No</v>
      </c>
      <c r="AN386" t="str">
        <f t="shared" si="82"/>
        <v>Emergency</v>
      </c>
      <c r="AO386" t="str">
        <f t="shared" si="83"/>
        <v>ICU</v>
      </c>
    </row>
    <row r="387" spans="1:41" x14ac:dyDescent="0.3">
      <c r="A387" s="21" t="str">
        <f t="shared" ref="A387:A450" si="90">"UHID-"&amp;TEXT(ROW(A387)-1,"00000")</f>
        <v>UHID-00386</v>
      </c>
      <c r="B387" s="18">
        <v>21</v>
      </c>
      <c r="C387" s="10" t="s">
        <v>17</v>
      </c>
      <c r="D387" s="13" t="s">
        <v>27</v>
      </c>
      <c r="E387" s="13" t="s">
        <v>1</v>
      </c>
      <c r="F387" s="15">
        <v>46171.1080866435</v>
      </c>
      <c r="G387" s="4">
        <v>46171</v>
      </c>
      <c r="H387" s="1">
        <v>46175.925144386601</v>
      </c>
      <c r="I387" s="22">
        <v>46175</v>
      </c>
      <c r="J387" s="24">
        <f t="shared" si="84"/>
        <v>46175.863985455508</v>
      </c>
      <c r="K387" s="24">
        <f t="shared" si="85"/>
        <v>0.9251443866014597</v>
      </c>
      <c r="L387" s="29">
        <f t="shared" ref="L387:L450" si="91">IF(J387&gt;MOD(H387,1),INT(H387)-1,INT(H387))</f>
        <v>46174</v>
      </c>
      <c r="M387" s="27" t="str">
        <f t="shared" si="86"/>
        <v>Normal</v>
      </c>
      <c r="N387" s="31">
        <f t="shared" si="87"/>
        <v>4</v>
      </c>
      <c r="O387" s="27"/>
      <c r="Q387" s="8">
        <v>0.1956582656571344</v>
      </c>
      <c r="R387" s="8" t="str">
        <f t="shared" si="88"/>
        <v>On Time</v>
      </c>
      <c r="S387" s="33">
        <v>1.4678143462221973</v>
      </c>
      <c r="T387" t="s">
        <v>30</v>
      </c>
      <c r="U387" s="3">
        <v>0</v>
      </c>
      <c r="V387" s="3" t="str">
        <f t="shared" ref="V387:V450" si="92">IF(T387="NO","Normal","")</f>
        <v/>
      </c>
      <c r="W387" s="3" t="s">
        <v>51</v>
      </c>
      <c r="X387" s="32">
        <f t="shared" si="89"/>
        <v>6.1158931093814317E-2</v>
      </c>
      <c r="Z387" s="38">
        <f t="shared" ref="Z387:Z450" si="93">IF(X387 &gt; TIME(3,0,0), X387 - TIME(3,0,0), 0)</f>
        <v>0</v>
      </c>
      <c r="AC387" s="36">
        <v>0.125</v>
      </c>
      <c r="AL387" t="str">
        <f t="shared" ref="AL387:AL450" si="94">IF(X387="","",IF(X387&lt;=TIME(2,0,0),"Normal",IF(X387&lt;=TIME(3,0,0),IF(D387="CASH","Bill Settlement Delay","Doctor Round Delay/Report Delay"),IF(Z387&lt;=TIME(2,0,0),IF(D387="TPA","TPA Approval Delay","Medication Change"),IF(D387="TPA","Health Deterioration/TPA Approval Delay","Health Deterioration")))))</f>
        <v>Normal</v>
      </c>
      <c r="AM387" t="str">
        <f t="shared" ref="AM387:AM450" si="95">IF(OR(AND(B387&gt;65, R387="Critical Delay"), N387&gt;10), "Yes", "No")</f>
        <v>No</v>
      </c>
      <c r="AN387" t="str">
        <f t="shared" ref="AN387:AN450" si="96">IF(E387="Cardiology &amp; Cardiothoracic", IF(MOD(ROW(),10)&lt;3, "Emergency", "Elective"), IF(E387="Neurology &amp; Neurosurgery", IF(MOD(ROW(),10)&lt;4, "Emergency", "Elective"), IF(D387="COR", IF(MOD(ROW(),20)&lt;7, "Emergency", "Elective"), IF(OR(R387="Critical Delay", N387&gt;=7), "Emergency", "Elective"))))</f>
        <v>Elective</v>
      </c>
      <c r="AO387" t="str">
        <f t="shared" ref="AO387:AO450" si="97">IF(OR(N387&gt;6, AND(E387="Cardiology &amp; Cardiothoracic", MOD(ROW(),10)&lt;4), AND(E387="Neurology &amp; Neurosurgery", MOD(ROW(),10)&lt;6)), "ICU", IF(OR(N387&gt;3, AND(E387="Cardiology &amp; Cardiothoracic", MOD(ROW(),10)&lt;6), E387="Neurology &amp; Neurosurgery"), "HDU", "General Ward"))</f>
        <v>HDU</v>
      </c>
    </row>
    <row r="388" spans="1:41" x14ac:dyDescent="0.3">
      <c r="A388" s="21" t="str">
        <f t="shared" si="90"/>
        <v>UHID-00387</v>
      </c>
      <c r="B388" s="18">
        <v>55</v>
      </c>
      <c r="C388" s="10" t="s">
        <v>17</v>
      </c>
      <c r="D388" s="13" t="s">
        <v>27</v>
      </c>
      <c r="E388" s="13" t="s">
        <v>1</v>
      </c>
      <c r="F388" s="15">
        <v>46172.964241238398</v>
      </c>
      <c r="G388" s="4">
        <v>46172</v>
      </c>
      <c r="H388" s="1">
        <v>46176.8256944444</v>
      </c>
      <c r="I388" s="22">
        <v>46176</v>
      </c>
      <c r="J388" s="24">
        <f t="shared" si="84"/>
        <v>46176.760085549773</v>
      </c>
      <c r="K388" s="24">
        <f t="shared" si="85"/>
        <v>0.82569444440014195</v>
      </c>
      <c r="L388" s="29">
        <f t="shared" si="91"/>
        <v>46175</v>
      </c>
      <c r="M388" s="27" t="str">
        <f t="shared" si="86"/>
        <v>Normal</v>
      </c>
      <c r="N388" s="31">
        <f t="shared" si="87"/>
        <v>4</v>
      </c>
      <c r="O388" s="27"/>
      <c r="Q388" s="8">
        <v>0.13108999156049916</v>
      </c>
      <c r="R388" s="8" t="str">
        <f t="shared" si="88"/>
        <v>On Time</v>
      </c>
      <c r="S388" s="33">
        <v>1.5746134710455544</v>
      </c>
      <c r="T388" t="s">
        <v>30</v>
      </c>
      <c r="U388" s="3">
        <v>0</v>
      </c>
      <c r="V388" s="3" t="str">
        <f t="shared" si="92"/>
        <v/>
      </c>
      <c r="W388" s="3" t="s">
        <v>51</v>
      </c>
      <c r="X388" s="32">
        <f t="shared" si="89"/>
        <v>6.5608894627075642E-2</v>
      </c>
      <c r="Z388" s="38">
        <f t="shared" si="93"/>
        <v>0</v>
      </c>
      <c r="AC388" s="36">
        <v>0.125</v>
      </c>
      <c r="AL388" t="str">
        <f t="shared" si="94"/>
        <v>Normal</v>
      </c>
      <c r="AM388" t="str">
        <f t="shared" si="95"/>
        <v>No</v>
      </c>
      <c r="AN388" t="str">
        <f t="shared" si="96"/>
        <v>Elective</v>
      </c>
      <c r="AO388" t="str">
        <f t="shared" si="97"/>
        <v>HDU</v>
      </c>
    </row>
    <row r="389" spans="1:41" x14ac:dyDescent="0.3">
      <c r="A389" s="21" t="str">
        <f t="shared" si="90"/>
        <v>UHID-00388</v>
      </c>
      <c r="B389" s="18">
        <v>59</v>
      </c>
      <c r="C389" s="10" t="s">
        <v>17</v>
      </c>
      <c r="D389" s="13" t="s">
        <v>27</v>
      </c>
      <c r="E389" s="13" t="s">
        <v>1</v>
      </c>
      <c r="F389" s="15">
        <v>46175.025479560201</v>
      </c>
      <c r="G389" s="4">
        <v>46175</v>
      </c>
      <c r="H389" s="1">
        <v>46176.316036030097</v>
      </c>
      <c r="I389" s="22">
        <v>46176</v>
      </c>
      <c r="J389" s="24">
        <f t="shared" si="84"/>
        <v>46176.182273855724</v>
      </c>
      <c r="K389" s="24">
        <f t="shared" si="85"/>
        <v>0.31603603009716608</v>
      </c>
      <c r="L389" s="29">
        <f t="shared" si="91"/>
        <v>46175</v>
      </c>
      <c r="M389" s="27" t="str">
        <f t="shared" si="86"/>
        <v>Medication Change</v>
      </c>
      <c r="N389" s="31">
        <f t="shared" si="87"/>
        <v>1</v>
      </c>
      <c r="O389" s="27"/>
      <c r="Q389" s="8">
        <v>2.7783439942075439E-2</v>
      </c>
      <c r="R389" s="8" t="str">
        <f t="shared" si="88"/>
        <v>Major Delay</v>
      </c>
      <c r="S389" s="33">
        <v>1.2102921849766122</v>
      </c>
      <c r="T389" t="s">
        <v>30</v>
      </c>
      <c r="U389" s="3">
        <v>2</v>
      </c>
      <c r="V389" s="3" t="str">
        <f t="shared" si="92"/>
        <v/>
      </c>
      <c r="W389" s="3" t="s">
        <v>50</v>
      </c>
      <c r="X389" s="32">
        <f t="shared" si="89"/>
        <v>0.13376217437325977</v>
      </c>
      <c r="Z389" s="38">
        <f t="shared" si="93"/>
        <v>8.7621743732597679E-3</v>
      </c>
      <c r="AC389" s="36">
        <v>0.125</v>
      </c>
      <c r="AL389" t="str">
        <f t="shared" si="94"/>
        <v>Medication Change</v>
      </c>
      <c r="AM389" t="str">
        <f t="shared" si="95"/>
        <v>No</v>
      </c>
      <c r="AN389" t="str">
        <f t="shared" si="96"/>
        <v>Elective</v>
      </c>
      <c r="AO389" t="str">
        <f t="shared" si="97"/>
        <v>General Ward</v>
      </c>
    </row>
    <row r="390" spans="1:41" x14ac:dyDescent="0.3">
      <c r="A390" s="21" t="str">
        <f t="shared" si="90"/>
        <v>UHID-00389</v>
      </c>
      <c r="B390" s="18">
        <v>12</v>
      </c>
      <c r="C390" s="10" t="s">
        <v>17</v>
      </c>
      <c r="D390" s="13" t="s">
        <v>27</v>
      </c>
      <c r="E390" s="13" t="s">
        <v>1</v>
      </c>
      <c r="F390" s="15">
        <v>46174.669834722197</v>
      </c>
      <c r="G390" s="4">
        <v>46174</v>
      </c>
      <c r="H390" s="1">
        <v>46176.586992002303</v>
      </c>
      <c r="I390" s="22">
        <v>46176</v>
      </c>
      <c r="J390" s="24">
        <f t="shared" si="84"/>
        <v>46176.536847958669</v>
      </c>
      <c r="K390" s="24">
        <f t="shared" si="85"/>
        <v>0.58699200230330462</v>
      </c>
      <c r="L390" s="29">
        <f t="shared" si="91"/>
        <v>46175</v>
      </c>
      <c r="M390" s="27" t="str">
        <f t="shared" si="86"/>
        <v>Normal</v>
      </c>
      <c r="N390" s="31">
        <f t="shared" si="87"/>
        <v>2</v>
      </c>
      <c r="O390" s="27"/>
      <c r="Q390" s="8">
        <v>0.45596856989415491</v>
      </c>
      <c r="R390" s="8" t="str">
        <f t="shared" si="88"/>
        <v>On Time</v>
      </c>
      <c r="S390" s="33">
        <v>1.2034570471871668</v>
      </c>
      <c r="T390" t="s">
        <v>31</v>
      </c>
      <c r="U390" s="3">
        <v>0</v>
      </c>
      <c r="V390" s="3" t="str">
        <f t="shared" si="92"/>
        <v>Normal</v>
      </c>
      <c r="W390" s="3" t="s">
        <v>51</v>
      </c>
      <c r="X390" s="32">
        <f t="shared" si="89"/>
        <v>5.0144043634645641E-2</v>
      </c>
      <c r="Z390" s="38">
        <f t="shared" si="93"/>
        <v>0</v>
      </c>
      <c r="AC390" s="36">
        <v>0.125</v>
      </c>
      <c r="AL390" t="str">
        <f t="shared" si="94"/>
        <v>Normal</v>
      </c>
      <c r="AM390" t="str">
        <f t="shared" si="95"/>
        <v>No</v>
      </c>
      <c r="AN390" t="str">
        <f t="shared" si="96"/>
        <v>Elective</v>
      </c>
      <c r="AO390" t="str">
        <f t="shared" si="97"/>
        <v>General Ward</v>
      </c>
    </row>
    <row r="391" spans="1:41" x14ac:dyDescent="0.3">
      <c r="A391" s="21" t="str">
        <f t="shared" si="90"/>
        <v>UHID-00390</v>
      </c>
      <c r="B391" s="18">
        <v>87</v>
      </c>
      <c r="C391" s="10" t="s">
        <v>17</v>
      </c>
      <c r="D391" s="13" t="s">
        <v>26</v>
      </c>
      <c r="E391" s="13" t="s">
        <v>1</v>
      </c>
      <c r="F391" s="15">
        <v>46173.574727245403</v>
      </c>
      <c r="G391" s="4">
        <v>46173</v>
      </c>
      <c r="H391" s="1">
        <v>46176.666823796302</v>
      </c>
      <c r="I391" s="22">
        <v>46176</v>
      </c>
      <c r="J391" s="24">
        <f t="shared" si="84"/>
        <v>46176.334366537936</v>
      </c>
      <c r="K391" s="24">
        <f t="shared" si="85"/>
        <v>0.66682379630219657</v>
      </c>
      <c r="L391" s="29">
        <f t="shared" si="91"/>
        <v>46175</v>
      </c>
      <c r="M391" s="27" t="str">
        <f t="shared" si="86"/>
        <v>Health Deterioration/TPA Approval Delay</v>
      </c>
      <c r="N391" s="31">
        <f t="shared" si="87"/>
        <v>3</v>
      </c>
      <c r="O391" s="27"/>
      <c r="Q391" s="8">
        <v>0.50108146798073938</v>
      </c>
      <c r="R391" s="8" t="str">
        <f t="shared" si="88"/>
        <v>Critical Delay</v>
      </c>
      <c r="S391" s="33">
        <v>3.9789742008360087</v>
      </c>
      <c r="T391" t="s">
        <v>31</v>
      </c>
      <c r="U391" s="3">
        <v>4</v>
      </c>
      <c r="V391" s="3" t="str">
        <f t="shared" si="92"/>
        <v>Normal</v>
      </c>
      <c r="W391" s="3" t="s">
        <v>50</v>
      </c>
      <c r="X391" s="32">
        <f t="shared" si="89"/>
        <v>0.33245725836604834</v>
      </c>
      <c r="Z391" s="38">
        <f t="shared" si="93"/>
        <v>0.20745725836604834</v>
      </c>
      <c r="AC391" s="36">
        <v>0.125</v>
      </c>
      <c r="AL391" t="str">
        <f t="shared" si="94"/>
        <v>Health Deterioration/TPA Approval Delay</v>
      </c>
      <c r="AM391" t="str">
        <f t="shared" si="95"/>
        <v>Yes</v>
      </c>
      <c r="AN391" t="str">
        <f t="shared" si="96"/>
        <v>Emergency</v>
      </c>
      <c r="AO391" t="str">
        <f t="shared" si="97"/>
        <v>General Ward</v>
      </c>
    </row>
    <row r="392" spans="1:41" x14ac:dyDescent="0.3">
      <c r="A392" s="21" t="str">
        <f t="shared" si="90"/>
        <v>UHID-00391</v>
      </c>
      <c r="B392" s="18">
        <v>51</v>
      </c>
      <c r="C392" s="10" t="s">
        <v>17</v>
      </c>
      <c r="D392" s="13" t="s">
        <v>27</v>
      </c>
      <c r="E392" s="13" t="s">
        <v>1</v>
      </c>
      <c r="F392" s="15">
        <v>46171.731391701403</v>
      </c>
      <c r="G392" s="4">
        <v>46171</v>
      </c>
      <c r="H392" s="1">
        <v>46176.746579351799</v>
      </c>
      <c r="I392" s="22">
        <v>46176</v>
      </c>
      <c r="J392" s="24">
        <f t="shared" si="84"/>
        <v>46176.675703363202</v>
      </c>
      <c r="K392" s="24">
        <f t="shared" si="85"/>
        <v>0.74657935179857304</v>
      </c>
      <c r="L392" s="29">
        <f t="shared" si="91"/>
        <v>46175</v>
      </c>
      <c r="M392" s="27" t="str">
        <f t="shared" si="86"/>
        <v>Normal</v>
      </c>
      <c r="N392" s="31">
        <f t="shared" si="87"/>
        <v>5</v>
      </c>
      <c r="O392" s="27"/>
      <c r="Q392" s="8">
        <v>0.2652254428492663</v>
      </c>
      <c r="R392" s="8" t="str">
        <f t="shared" si="88"/>
        <v>On Time</v>
      </c>
      <c r="S392" s="33">
        <v>1.7010237262828352</v>
      </c>
      <c r="T392" t="s">
        <v>30</v>
      </c>
      <c r="U392" s="3">
        <v>0</v>
      </c>
      <c r="V392" s="3" t="str">
        <f t="shared" si="92"/>
        <v/>
      </c>
      <c r="W392" s="3" t="s">
        <v>51</v>
      </c>
      <c r="X392" s="32">
        <f t="shared" si="89"/>
        <v>7.087598859652644E-2</v>
      </c>
      <c r="Z392" s="38">
        <f t="shared" si="93"/>
        <v>0</v>
      </c>
      <c r="AC392" s="36">
        <v>0.125</v>
      </c>
      <c r="AL392" t="str">
        <f t="shared" si="94"/>
        <v>Normal</v>
      </c>
      <c r="AM392" t="str">
        <f t="shared" si="95"/>
        <v>No</v>
      </c>
      <c r="AN392" t="str">
        <f t="shared" si="96"/>
        <v>Elective</v>
      </c>
      <c r="AO392" t="str">
        <f t="shared" si="97"/>
        <v>HDU</v>
      </c>
    </row>
    <row r="393" spans="1:41" x14ac:dyDescent="0.3">
      <c r="A393" s="21" t="str">
        <f t="shared" si="90"/>
        <v>UHID-00392</v>
      </c>
      <c r="B393" s="18">
        <v>47</v>
      </c>
      <c r="C393" s="10" t="s">
        <v>18</v>
      </c>
      <c r="D393" s="13" t="s">
        <v>27</v>
      </c>
      <c r="E393" s="13" t="s">
        <v>1</v>
      </c>
      <c r="F393" s="15">
        <v>46173.783211504597</v>
      </c>
      <c r="G393" s="4">
        <v>46173</v>
      </c>
      <c r="H393" s="1">
        <v>46177.816045509302</v>
      </c>
      <c r="I393" s="22">
        <v>46177</v>
      </c>
      <c r="J393" s="24">
        <f t="shared" si="84"/>
        <v>46177.741232212626</v>
      </c>
      <c r="K393" s="24">
        <f t="shared" si="85"/>
        <v>0.81604550930205733</v>
      </c>
      <c r="L393" s="29">
        <f t="shared" si="91"/>
        <v>46176</v>
      </c>
      <c r="M393" s="27" t="str">
        <f t="shared" si="86"/>
        <v>Normal</v>
      </c>
      <c r="N393" s="31">
        <f t="shared" si="87"/>
        <v>4</v>
      </c>
      <c r="O393" s="27"/>
      <c r="Q393" s="8">
        <v>1.8429996098393575E-2</v>
      </c>
      <c r="R393" s="8" t="str">
        <f t="shared" si="88"/>
        <v>On Time</v>
      </c>
      <c r="S393" s="33">
        <v>1.7955191203052274</v>
      </c>
      <c r="T393" t="s">
        <v>30</v>
      </c>
      <c r="U393" s="3">
        <v>0</v>
      </c>
      <c r="V393" s="3" t="str">
        <f t="shared" si="92"/>
        <v/>
      </c>
      <c r="W393" s="3" t="s">
        <v>51</v>
      </c>
      <c r="X393" s="32">
        <f t="shared" si="89"/>
        <v>7.4813296676438767E-2</v>
      </c>
      <c r="Z393" s="38">
        <f t="shared" si="93"/>
        <v>0</v>
      </c>
      <c r="AC393" s="36">
        <v>0.125</v>
      </c>
      <c r="AL393" t="str">
        <f t="shared" si="94"/>
        <v>Normal</v>
      </c>
      <c r="AM393" t="str">
        <f t="shared" si="95"/>
        <v>No</v>
      </c>
      <c r="AN393" t="str">
        <f t="shared" si="96"/>
        <v>Elective</v>
      </c>
      <c r="AO393" t="str">
        <f t="shared" si="97"/>
        <v>HDU</v>
      </c>
    </row>
    <row r="394" spans="1:41" x14ac:dyDescent="0.3">
      <c r="A394" s="21" t="str">
        <f t="shared" si="90"/>
        <v>UHID-00393</v>
      </c>
      <c r="B394" s="18">
        <v>72</v>
      </c>
      <c r="C394" s="10" t="s">
        <v>18</v>
      </c>
      <c r="D394" s="13" t="s">
        <v>27</v>
      </c>
      <c r="E394" s="13" t="s">
        <v>1</v>
      </c>
      <c r="F394" s="15">
        <v>46151.681737118102</v>
      </c>
      <c r="G394" s="4">
        <v>46151</v>
      </c>
      <c r="H394" s="1">
        <v>46177.516701597197</v>
      </c>
      <c r="I394" s="22">
        <v>46177</v>
      </c>
      <c r="J394" s="24">
        <f t="shared" si="84"/>
        <v>46177.470536528715</v>
      </c>
      <c r="K394" s="24">
        <f t="shared" si="85"/>
        <v>0.51670159719651565</v>
      </c>
      <c r="L394" s="29">
        <f t="shared" si="91"/>
        <v>46176</v>
      </c>
      <c r="M394" s="27" t="str">
        <f t="shared" si="86"/>
        <v>Normal</v>
      </c>
      <c r="N394" s="31">
        <f t="shared" si="87"/>
        <v>26</v>
      </c>
      <c r="O394" s="27"/>
      <c r="Q394" s="8">
        <v>9.4370550290753585E-2</v>
      </c>
      <c r="R394" s="8" t="str">
        <f t="shared" si="88"/>
        <v>On Time</v>
      </c>
      <c r="S394" s="33">
        <v>1.1079616436280548</v>
      </c>
      <c r="T394" t="s">
        <v>30</v>
      </c>
      <c r="U394" s="3">
        <v>0</v>
      </c>
      <c r="V394" s="3" t="str">
        <f t="shared" si="92"/>
        <v/>
      </c>
      <c r="W394" s="3" t="s">
        <v>51</v>
      </c>
      <c r="X394" s="32">
        <f t="shared" si="89"/>
        <v>4.6165068481059279E-2</v>
      </c>
      <c r="Z394" s="38">
        <f t="shared" si="93"/>
        <v>0</v>
      </c>
      <c r="AC394" s="36">
        <v>0.125</v>
      </c>
      <c r="AL394" t="str">
        <f t="shared" si="94"/>
        <v>Normal</v>
      </c>
      <c r="AM394" t="str">
        <f t="shared" si="95"/>
        <v>Yes</v>
      </c>
      <c r="AN394" t="str">
        <f t="shared" si="96"/>
        <v>Emergency</v>
      </c>
      <c r="AO394" t="str">
        <f t="shared" si="97"/>
        <v>ICU</v>
      </c>
    </row>
    <row r="395" spans="1:41" x14ac:dyDescent="0.3">
      <c r="A395" s="21" t="str">
        <f t="shared" si="90"/>
        <v>UHID-00394</v>
      </c>
      <c r="B395" s="18">
        <v>63</v>
      </c>
      <c r="C395" s="10" t="s">
        <v>18</v>
      </c>
      <c r="D395" s="13" t="s">
        <v>26</v>
      </c>
      <c r="E395" s="13" t="s">
        <v>1</v>
      </c>
      <c r="F395" s="15">
        <v>46172.759737592598</v>
      </c>
      <c r="G395" s="4">
        <v>46172</v>
      </c>
      <c r="H395" s="1">
        <v>46177.644438761599</v>
      </c>
      <c r="I395" s="22">
        <v>46177</v>
      </c>
      <c r="J395" s="24">
        <f t="shared" si="84"/>
        <v>46177.486856168056</v>
      </c>
      <c r="K395" s="24">
        <f t="shared" si="85"/>
        <v>0.64443876159930369</v>
      </c>
      <c r="L395" s="29">
        <f t="shared" si="91"/>
        <v>46176</v>
      </c>
      <c r="M395" s="27" t="str">
        <f t="shared" si="86"/>
        <v>TPA Approval Delay</v>
      </c>
      <c r="N395" s="31">
        <f t="shared" si="87"/>
        <v>5</v>
      </c>
      <c r="O395" s="27"/>
      <c r="Q395" s="8">
        <v>0.80458393251357174</v>
      </c>
      <c r="R395" s="8" t="str">
        <f t="shared" si="88"/>
        <v>Major Delay</v>
      </c>
      <c r="S395" s="33">
        <v>3.7819822450134222</v>
      </c>
      <c r="T395" t="s">
        <v>31</v>
      </c>
      <c r="U395" s="3">
        <v>0</v>
      </c>
      <c r="V395" s="3" t="str">
        <f t="shared" si="92"/>
        <v>Normal</v>
      </c>
      <c r="W395" s="3" t="s">
        <v>51</v>
      </c>
      <c r="X395" s="32">
        <f t="shared" si="89"/>
        <v>0.15758259354333859</v>
      </c>
      <c r="Z395" s="38">
        <f t="shared" si="93"/>
        <v>3.2582593543338589E-2</v>
      </c>
      <c r="AC395" s="36">
        <v>0.125</v>
      </c>
      <c r="AL395" t="str">
        <f t="shared" si="94"/>
        <v>TPA Approval Delay</v>
      </c>
      <c r="AM395" t="str">
        <f t="shared" si="95"/>
        <v>No</v>
      </c>
      <c r="AN395" t="str">
        <f t="shared" si="96"/>
        <v>Elective</v>
      </c>
      <c r="AO395" t="str">
        <f t="shared" si="97"/>
        <v>HDU</v>
      </c>
    </row>
    <row r="396" spans="1:41" x14ac:dyDescent="0.3">
      <c r="A396" s="21" t="str">
        <f t="shared" si="90"/>
        <v>UHID-00395</v>
      </c>
      <c r="B396" s="18">
        <v>42</v>
      </c>
      <c r="C396" s="10" t="s">
        <v>18</v>
      </c>
      <c r="D396" s="13" t="s">
        <v>28</v>
      </c>
      <c r="E396" s="13" t="s">
        <v>1</v>
      </c>
      <c r="F396" s="15">
        <v>46173.842610104199</v>
      </c>
      <c r="G396" s="4">
        <v>46173</v>
      </c>
      <c r="H396" s="1">
        <v>46177.729319942096</v>
      </c>
      <c r="I396" s="22">
        <v>46177</v>
      </c>
      <c r="J396" s="24">
        <f t="shared" si="84"/>
        <v>46177.607111063728</v>
      </c>
      <c r="K396" s="24">
        <f t="shared" si="85"/>
        <v>0.7293199420964811</v>
      </c>
      <c r="L396" s="29">
        <f t="shared" si="91"/>
        <v>46176</v>
      </c>
      <c r="M396" s="27" t="str">
        <f t="shared" si="86"/>
        <v>Doctor Round Delay/Report Delay</v>
      </c>
      <c r="N396" s="31">
        <f t="shared" si="87"/>
        <v>4</v>
      </c>
      <c r="O396" s="27"/>
      <c r="Q396" s="8">
        <v>0.9360794401201552</v>
      </c>
      <c r="R396" s="8" t="str">
        <f t="shared" si="88"/>
        <v>Minor Delay</v>
      </c>
      <c r="S396" s="33">
        <v>2.9330130809180854</v>
      </c>
      <c r="T396" t="s">
        <v>31</v>
      </c>
      <c r="U396" s="3">
        <v>0</v>
      </c>
      <c r="V396" s="3" t="str">
        <f t="shared" si="92"/>
        <v>Normal</v>
      </c>
      <c r="W396" s="3" t="s">
        <v>51</v>
      </c>
      <c r="X396" s="32">
        <f t="shared" si="89"/>
        <v>0.12220887836883776</v>
      </c>
      <c r="Z396" s="38">
        <f t="shared" si="93"/>
        <v>0</v>
      </c>
      <c r="AC396" s="36">
        <v>0.125</v>
      </c>
      <c r="AL396" t="str">
        <f t="shared" si="94"/>
        <v>Doctor Round Delay/Report Delay</v>
      </c>
      <c r="AM396" t="str">
        <f t="shared" si="95"/>
        <v>No</v>
      </c>
      <c r="AN396" t="str">
        <f t="shared" si="96"/>
        <v>Elective</v>
      </c>
      <c r="AO396" t="str">
        <f t="shared" si="97"/>
        <v>HDU</v>
      </c>
    </row>
    <row r="397" spans="1:41" x14ac:dyDescent="0.3">
      <c r="A397" s="21" t="str">
        <f t="shared" si="90"/>
        <v>UHID-00396</v>
      </c>
      <c r="B397" s="18">
        <v>61</v>
      </c>
      <c r="C397" s="10" t="s">
        <v>17</v>
      </c>
      <c r="D397" s="13" t="s">
        <v>27</v>
      </c>
      <c r="E397" s="13" t="s">
        <v>1</v>
      </c>
      <c r="F397" s="15">
        <v>46171.848803738401</v>
      </c>
      <c r="G397" s="4">
        <v>46171</v>
      </c>
      <c r="H397" s="1">
        <v>46178.504266423603</v>
      </c>
      <c r="I397" s="22">
        <v>46178</v>
      </c>
      <c r="J397" s="24">
        <f t="shared" si="84"/>
        <v>46178.461239253222</v>
      </c>
      <c r="K397" s="24">
        <f t="shared" si="85"/>
        <v>0.50426642360253027</v>
      </c>
      <c r="L397" s="29">
        <f t="shared" si="91"/>
        <v>46177</v>
      </c>
      <c r="M397" s="27" t="str">
        <f t="shared" si="86"/>
        <v>Normal</v>
      </c>
      <c r="N397" s="31">
        <f t="shared" si="87"/>
        <v>7</v>
      </c>
      <c r="O397" s="27"/>
      <c r="Q397" s="8">
        <v>0.46669847681754206</v>
      </c>
      <c r="R397" s="8" t="str">
        <f t="shared" si="88"/>
        <v>On Time</v>
      </c>
      <c r="S397" s="33">
        <v>1.0326520890789641</v>
      </c>
      <c r="T397" t="s">
        <v>31</v>
      </c>
      <c r="U397" s="3">
        <v>0</v>
      </c>
      <c r="V397" s="3" t="str">
        <f t="shared" si="92"/>
        <v>Normal</v>
      </c>
      <c r="W397" s="3" t="s">
        <v>51</v>
      </c>
      <c r="X397" s="32">
        <f t="shared" si="89"/>
        <v>4.3027170380810276E-2</v>
      </c>
      <c r="Z397" s="38">
        <f t="shared" si="93"/>
        <v>0</v>
      </c>
      <c r="AC397" s="36">
        <v>0.125</v>
      </c>
      <c r="AL397" t="str">
        <f t="shared" si="94"/>
        <v>Normal</v>
      </c>
      <c r="AM397" t="str">
        <f t="shared" si="95"/>
        <v>No</v>
      </c>
      <c r="AN397" t="str">
        <f t="shared" si="96"/>
        <v>Emergency</v>
      </c>
      <c r="AO397" t="str">
        <f t="shared" si="97"/>
        <v>ICU</v>
      </c>
    </row>
    <row r="398" spans="1:41" x14ac:dyDescent="0.3">
      <c r="A398" s="21" t="str">
        <f t="shared" si="90"/>
        <v>UHID-00397</v>
      </c>
      <c r="B398" s="18">
        <v>79</v>
      </c>
      <c r="C398" s="10" t="s">
        <v>18</v>
      </c>
      <c r="D398" s="13" t="s">
        <v>27</v>
      </c>
      <c r="E398" s="13" t="s">
        <v>1</v>
      </c>
      <c r="F398" s="15">
        <v>46166.637658263899</v>
      </c>
      <c r="G398" s="4">
        <v>46166</v>
      </c>
      <c r="H398" s="1">
        <v>46178.558460995402</v>
      </c>
      <c r="I398" s="22">
        <v>46178</v>
      </c>
      <c r="J398" s="24">
        <f t="shared" si="84"/>
        <v>46178.494658785261</v>
      </c>
      <c r="K398" s="24">
        <f t="shared" si="85"/>
        <v>0.5584609954021289</v>
      </c>
      <c r="L398" s="29">
        <f t="shared" si="91"/>
        <v>46177</v>
      </c>
      <c r="M398" s="27" t="str">
        <f t="shared" si="86"/>
        <v>Normal</v>
      </c>
      <c r="N398" s="31">
        <f t="shared" si="87"/>
        <v>12</v>
      </c>
      <c r="O398" s="27"/>
      <c r="Q398" s="8">
        <v>0.39839462898379019</v>
      </c>
      <c r="R398" s="8" t="str">
        <f t="shared" si="88"/>
        <v>On Time</v>
      </c>
      <c r="S398" s="33">
        <v>1.5312530433036851</v>
      </c>
      <c r="T398" t="s">
        <v>31</v>
      </c>
      <c r="U398" s="3">
        <v>0</v>
      </c>
      <c r="V398" s="3" t="str">
        <f t="shared" si="92"/>
        <v>Normal</v>
      </c>
      <c r="W398" s="3" t="s">
        <v>51</v>
      </c>
      <c r="X398" s="32">
        <f t="shared" si="89"/>
        <v>6.3802210141147953E-2</v>
      </c>
      <c r="Z398" s="38">
        <f t="shared" si="93"/>
        <v>0</v>
      </c>
      <c r="AC398" s="36">
        <v>0.125</v>
      </c>
      <c r="AL398" t="str">
        <f t="shared" si="94"/>
        <v>Normal</v>
      </c>
      <c r="AM398" t="str">
        <f t="shared" si="95"/>
        <v>Yes</v>
      </c>
      <c r="AN398" t="str">
        <f t="shared" si="96"/>
        <v>Emergency</v>
      </c>
      <c r="AO398" t="str">
        <f t="shared" si="97"/>
        <v>ICU</v>
      </c>
    </row>
    <row r="399" spans="1:41" x14ac:dyDescent="0.3">
      <c r="A399" s="21" t="str">
        <f t="shared" si="90"/>
        <v>UHID-00398</v>
      </c>
      <c r="B399" s="18">
        <v>35</v>
      </c>
      <c r="C399" s="10" t="s">
        <v>17</v>
      </c>
      <c r="D399" s="13" t="s">
        <v>27</v>
      </c>
      <c r="E399" s="13" t="s">
        <v>1</v>
      </c>
      <c r="F399" s="15">
        <v>46173.969565925901</v>
      </c>
      <c r="G399" s="4">
        <v>46173</v>
      </c>
      <c r="H399" s="1">
        <v>46178.554259282399</v>
      </c>
      <c r="I399" s="22">
        <v>46178</v>
      </c>
      <c r="J399" s="24">
        <f t="shared" si="84"/>
        <v>46178.510215817347</v>
      </c>
      <c r="K399" s="24">
        <f t="shared" si="85"/>
        <v>0.55425928239856148</v>
      </c>
      <c r="L399" s="29">
        <f t="shared" si="91"/>
        <v>46177</v>
      </c>
      <c r="M399" s="27" t="str">
        <f t="shared" si="86"/>
        <v>Normal</v>
      </c>
      <c r="N399" s="31">
        <f t="shared" si="87"/>
        <v>5</v>
      </c>
      <c r="O399" s="27"/>
      <c r="Q399" s="8">
        <v>0.24737216485038127</v>
      </c>
      <c r="R399" s="8" t="str">
        <f t="shared" si="88"/>
        <v>On Time</v>
      </c>
      <c r="S399" s="33">
        <v>1.0570431612797466</v>
      </c>
      <c r="T399" t="s">
        <v>30</v>
      </c>
      <c r="U399" s="3">
        <v>0</v>
      </c>
      <c r="V399" s="3" t="str">
        <f t="shared" si="92"/>
        <v/>
      </c>
      <c r="W399" s="3" t="s">
        <v>51</v>
      </c>
      <c r="X399" s="32">
        <f t="shared" si="89"/>
        <v>4.4043465051800013E-2</v>
      </c>
      <c r="Z399" s="38">
        <f t="shared" si="93"/>
        <v>0</v>
      </c>
      <c r="AC399" s="36">
        <v>0.125</v>
      </c>
      <c r="AL399" t="str">
        <f t="shared" si="94"/>
        <v>Normal</v>
      </c>
      <c r="AM399" t="str">
        <f t="shared" si="95"/>
        <v>No</v>
      </c>
      <c r="AN399" t="str">
        <f t="shared" si="96"/>
        <v>Elective</v>
      </c>
      <c r="AO399" t="str">
        <f t="shared" si="97"/>
        <v>HDU</v>
      </c>
    </row>
    <row r="400" spans="1:41" x14ac:dyDescent="0.3">
      <c r="A400" s="21" t="str">
        <f t="shared" si="90"/>
        <v>UHID-00399</v>
      </c>
      <c r="B400" s="18">
        <v>29</v>
      </c>
      <c r="C400" s="10" t="s">
        <v>17</v>
      </c>
      <c r="D400" s="13" t="s">
        <v>26</v>
      </c>
      <c r="E400" s="13" t="s">
        <v>1</v>
      </c>
      <c r="F400" s="15">
        <v>46176.910739016203</v>
      </c>
      <c r="G400" s="4">
        <v>46176</v>
      </c>
      <c r="H400" s="1">
        <v>46177.941756435197</v>
      </c>
      <c r="I400" s="22">
        <v>46177</v>
      </c>
      <c r="J400" s="24">
        <f t="shared" si="84"/>
        <v>46177.787260591176</v>
      </c>
      <c r="K400" s="24">
        <f t="shared" si="85"/>
        <v>0.94175643519702135</v>
      </c>
      <c r="L400" s="29">
        <f t="shared" si="91"/>
        <v>46176</v>
      </c>
      <c r="M400" s="27" t="str">
        <f t="shared" si="86"/>
        <v>TPA Approval Delay</v>
      </c>
      <c r="N400" s="31">
        <f t="shared" si="87"/>
        <v>1</v>
      </c>
      <c r="O400" s="27"/>
      <c r="Q400" s="8">
        <v>0.6208374616406096</v>
      </c>
      <c r="R400" s="8" t="str">
        <f t="shared" si="88"/>
        <v>Major Delay</v>
      </c>
      <c r="S400" s="33">
        <v>3.7079002565200083</v>
      </c>
      <c r="T400" t="s">
        <v>31</v>
      </c>
      <c r="U400" s="3">
        <v>0</v>
      </c>
      <c r="V400" s="3" t="str">
        <f t="shared" si="92"/>
        <v>Normal</v>
      </c>
      <c r="W400" s="3" t="s">
        <v>51</v>
      </c>
      <c r="X400" s="32">
        <f t="shared" si="89"/>
        <v>0.15449584402085748</v>
      </c>
      <c r="Z400" s="38">
        <f t="shared" si="93"/>
        <v>2.9495844020857476E-2</v>
      </c>
      <c r="AC400" s="36">
        <v>0.125</v>
      </c>
      <c r="AL400" t="str">
        <f t="shared" si="94"/>
        <v>TPA Approval Delay</v>
      </c>
      <c r="AM400" t="str">
        <f t="shared" si="95"/>
        <v>No</v>
      </c>
      <c r="AN400" t="str">
        <f t="shared" si="96"/>
        <v>Elective</v>
      </c>
      <c r="AO400" t="str">
        <f t="shared" si="97"/>
        <v>General Ward</v>
      </c>
    </row>
    <row r="401" spans="1:41" x14ac:dyDescent="0.3">
      <c r="A401" s="21" t="str">
        <f t="shared" si="90"/>
        <v>UHID-00400</v>
      </c>
      <c r="B401" s="18">
        <v>82</v>
      </c>
      <c r="C401" s="10" t="s">
        <v>18</v>
      </c>
      <c r="D401" s="13" t="s">
        <v>26</v>
      </c>
      <c r="E401" s="13" t="s">
        <v>1</v>
      </c>
      <c r="F401" s="15">
        <v>46178.419056296298</v>
      </c>
      <c r="G401" s="4">
        <v>46178</v>
      </c>
      <c r="H401" s="1">
        <v>46178.8397160764</v>
      </c>
      <c r="I401" s="22">
        <v>46178</v>
      </c>
      <c r="J401" s="24">
        <f t="shared" si="84"/>
        <v>46178.594795602061</v>
      </c>
      <c r="K401" s="24">
        <f t="shared" si="85"/>
        <v>0.83971607639978174</v>
      </c>
      <c r="L401" s="29">
        <f t="shared" si="91"/>
        <v>46177</v>
      </c>
      <c r="M401" s="27" t="str">
        <f t="shared" si="86"/>
        <v>Health Deterioration/TPA Approval Delay</v>
      </c>
      <c r="N401" s="31">
        <f t="shared" si="87"/>
        <v>0</v>
      </c>
      <c r="O401" s="27"/>
      <c r="Q401" s="8">
        <v>0.62764436563159265</v>
      </c>
      <c r="R401" s="8" t="str">
        <f t="shared" si="88"/>
        <v>Critical Delay</v>
      </c>
      <c r="S401" s="33">
        <v>3.8780913840788243</v>
      </c>
      <c r="T401" t="s">
        <v>31</v>
      </c>
      <c r="U401" s="3">
        <v>2</v>
      </c>
      <c r="V401" s="3" t="str">
        <f t="shared" si="92"/>
        <v>Normal</v>
      </c>
      <c r="W401" s="3" t="s">
        <v>50</v>
      </c>
      <c r="X401" s="32">
        <f t="shared" si="89"/>
        <v>0.2449204743388691</v>
      </c>
      <c r="Z401" s="38">
        <f t="shared" si="93"/>
        <v>0.1199204743388691</v>
      </c>
      <c r="AC401" s="36">
        <v>0.125</v>
      </c>
      <c r="AL401" t="str">
        <f t="shared" si="94"/>
        <v>Health Deterioration/TPA Approval Delay</v>
      </c>
      <c r="AM401" t="str">
        <f t="shared" si="95"/>
        <v>Yes</v>
      </c>
      <c r="AN401" t="str">
        <f t="shared" si="96"/>
        <v>Emergency</v>
      </c>
      <c r="AO401" t="str">
        <f t="shared" si="97"/>
        <v>General Ward</v>
      </c>
    </row>
    <row r="402" spans="1:41" x14ac:dyDescent="0.3">
      <c r="A402" s="21" t="str">
        <f t="shared" si="90"/>
        <v>UHID-00401</v>
      </c>
      <c r="B402" s="18">
        <v>83</v>
      </c>
      <c r="C402" s="10" t="s">
        <v>18</v>
      </c>
      <c r="D402" s="13" t="s">
        <v>26</v>
      </c>
      <c r="E402" s="13" t="s">
        <v>1</v>
      </c>
      <c r="F402" s="15">
        <v>46178.556379386602</v>
      </c>
      <c r="G402" s="4">
        <v>46178</v>
      </c>
      <c r="H402" s="1">
        <v>46178.866257118098</v>
      </c>
      <c r="I402" s="22">
        <v>46178</v>
      </c>
      <c r="J402" s="24">
        <f t="shared" si="84"/>
        <v>46178.704229691422</v>
      </c>
      <c r="K402" s="24">
        <f t="shared" si="85"/>
        <v>0.86625711809756467</v>
      </c>
      <c r="L402" s="29">
        <f t="shared" si="91"/>
        <v>46177</v>
      </c>
      <c r="M402" s="27" t="str">
        <f t="shared" si="86"/>
        <v>TPA Approval Delay</v>
      </c>
      <c r="N402" s="31">
        <f t="shared" si="87"/>
        <v>0</v>
      </c>
      <c r="O402" s="27"/>
      <c r="Q402" s="8">
        <v>0.6520217627800301</v>
      </c>
      <c r="R402" s="8" t="str">
        <f t="shared" si="88"/>
        <v>Major Delay</v>
      </c>
      <c r="S402" s="33">
        <v>3.8886582402874885</v>
      </c>
      <c r="T402" t="s">
        <v>31</v>
      </c>
      <c r="U402" s="3">
        <v>0</v>
      </c>
      <c r="V402" s="3" t="str">
        <f t="shared" si="92"/>
        <v>Normal</v>
      </c>
      <c r="W402" s="3" t="s">
        <v>51</v>
      </c>
      <c r="X402" s="32">
        <f t="shared" si="89"/>
        <v>0.16202742667519487</v>
      </c>
      <c r="Z402" s="38">
        <f t="shared" si="93"/>
        <v>3.7027426675194874E-2</v>
      </c>
      <c r="AC402" s="36">
        <v>0.125</v>
      </c>
      <c r="AL402" t="str">
        <f t="shared" si="94"/>
        <v>TPA Approval Delay</v>
      </c>
      <c r="AM402" t="str">
        <f t="shared" si="95"/>
        <v>No</v>
      </c>
      <c r="AN402" t="str">
        <f t="shared" si="96"/>
        <v>Elective</v>
      </c>
      <c r="AO402" t="str">
        <f t="shared" si="97"/>
        <v>General Ward</v>
      </c>
    </row>
    <row r="403" spans="1:41" x14ac:dyDescent="0.3">
      <c r="A403" s="21" t="str">
        <f t="shared" si="90"/>
        <v>UHID-00402</v>
      </c>
      <c r="B403" s="18">
        <v>71</v>
      </c>
      <c r="C403" s="10" t="s">
        <v>17</v>
      </c>
      <c r="D403" s="13" t="s">
        <v>27</v>
      </c>
      <c r="E403" s="13" t="s">
        <v>1</v>
      </c>
      <c r="F403" s="15">
        <v>46159.873204004602</v>
      </c>
      <c r="G403" s="4">
        <v>46159</v>
      </c>
      <c r="H403" s="1">
        <v>46179.593801030103</v>
      </c>
      <c r="I403" s="22">
        <v>46179</v>
      </c>
      <c r="J403" s="24">
        <f t="shared" si="84"/>
        <v>46179.369727426565</v>
      </c>
      <c r="K403" s="24">
        <f t="shared" si="85"/>
        <v>0.59380103010335006</v>
      </c>
      <c r="L403" s="29">
        <f t="shared" si="91"/>
        <v>46178</v>
      </c>
      <c r="M403" s="27" t="str">
        <f t="shared" si="86"/>
        <v>Health Deterioration</v>
      </c>
      <c r="N403" s="31">
        <f t="shared" si="87"/>
        <v>20</v>
      </c>
      <c r="O403" s="27"/>
      <c r="Q403" s="8">
        <v>0.38606900060724925</v>
      </c>
      <c r="R403" s="8" t="str">
        <f t="shared" si="88"/>
        <v>Critical Delay</v>
      </c>
      <c r="S403" s="33">
        <v>1.3777664849591789</v>
      </c>
      <c r="T403" t="s">
        <v>31</v>
      </c>
      <c r="U403" s="3">
        <v>4</v>
      </c>
      <c r="V403" s="3" t="str">
        <f t="shared" si="92"/>
        <v>Normal</v>
      </c>
      <c r="W403" s="3" t="s">
        <v>50</v>
      </c>
      <c r="X403" s="32">
        <f t="shared" si="89"/>
        <v>0.22407360353827244</v>
      </c>
      <c r="Z403" s="38">
        <f t="shared" si="93"/>
        <v>9.9073603538272437E-2</v>
      </c>
      <c r="AC403" s="36">
        <v>0.125</v>
      </c>
      <c r="AL403" t="str">
        <f t="shared" si="94"/>
        <v>Health Deterioration</v>
      </c>
      <c r="AM403" t="str">
        <f t="shared" si="95"/>
        <v>Yes</v>
      </c>
      <c r="AN403" t="str">
        <f t="shared" si="96"/>
        <v>Emergency</v>
      </c>
      <c r="AO403" t="str">
        <f t="shared" si="97"/>
        <v>ICU</v>
      </c>
    </row>
    <row r="404" spans="1:41" x14ac:dyDescent="0.3">
      <c r="A404" s="21" t="str">
        <f t="shared" si="90"/>
        <v>UHID-00403</v>
      </c>
      <c r="B404" s="18">
        <v>69</v>
      </c>
      <c r="C404" s="10" t="s">
        <v>18</v>
      </c>
      <c r="D404" s="13" t="s">
        <v>26</v>
      </c>
      <c r="E404" s="13" t="s">
        <v>1</v>
      </c>
      <c r="F404" s="15">
        <v>46177.723964108802</v>
      </c>
      <c r="G404" s="4">
        <v>46177</v>
      </c>
      <c r="H404" s="1">
        <v>46179.643118333297</v>
      </c>
      <c r="I404" s="22">
        <v>46179</v>
      </c>
      <c r="J404" s="24">
        <f t="shared" si="84"/>
        <v>46179.503874531583</v>
      </c>
      <c r="K404" s="24">
        <f t="shared" si="85"/>
        <v>0.64311833329702495</v>
      </c>
      <c r="L404" s="29">
        <f t="shared" si="91"/>
        <v>46178</v>
      </c>
      <c r="M404" s="27" t="str">
        <f t="shared" si="86"/>
        <v>TPA Approval Delay</v>
      </c>
      <c r="N404" s="31">
        <f t="shared" si="87"/>
        <v>2</v>
      </c>
      <c r="O404" s="27"/>
      <c r="Q404" s="8">
        <v>0.5650175197516184</v>
      </c>
      <c r="R404" s="8" t="str">
        <f t="shared" si="88"/>
        <v>Major Delay</v>
      </c>
      <c r="S404" s="33">
        <v>3.3418512410972201</v>
      </c>
      <c r="T404" t="s">
        <v>31</v>
      </c>
      <c r="U404" s="3">
        <v>0</v>
      </c>
      <c r="V404" s="3" t="str">
        <f t="shared" si="92"/>
        <v>Normal</v>
      </c>
      <c r="W404" s="3" t="s">
        <v>51</v>
      </c>
      <c r="X404" s="32">
        <f t="shared" si="89"/>
        <v>0.13924380171374651</v>
      </c>
      <c r="Z404" s="38">
        <f t="shared" si="93"/>
        <v>1.4243801713746507E-2</v>
      </c>
      <c r="AC404" s="36">
        <v>0.125</v>
      </c>
      <c r="AL404" t="str">
        <f t="shared" si="94"/>
        <v>TPA Approval Delay</v>
      </c>
      <c r="AM404" t="str">
        <f t="shared" si="95"/>
        <v>No</v>
      </c>
      <c r="AN404" t="str">
        <f t="shared" si="96"/>
        <v>Elective</v>
      </c>
      <c r="AO404" t="str">
        <f t="shared" si="97"/>
        <v>General Ward</v>
      </c>
    </row>
    <row r="405" spans="1:41" x14ac:dyDescent="0.3">
      <c r="A405" s="21" t="str">
        <f t="shared" si="90"/>
        <v>UHID-00404</v>
      </c>
      <c r="B405" s="18">
        <v>60</v>
      </c>
      <c r="C405" s="10" t="s">
        <v>17</v>
      </c>
      <c r="D405" s="13" t="s">
        <v>28</v>
      </c>
      <c r="E405" s="13" t="s">
        <v>1</v>
      </c>
      <c r="F405" s="15">
        <v>46175.862399213001</v>
      </c>
      <c r="G405" s="4">
        <v>46175</v>
      </c>
      <c r="H405" s="1">
        <v>46179.595933402801</v>
      </c>
      <c r="I405" s="22">
        <v>46179</v>
      </c>
      <c r="J405" s="24">
        <f t="shared" si="84"/>
        <v>46179.365286304506</v>
      </c>
      <c r="K405" s="24">
        <f t="shared" si="85"/>
        <v>0.59593340280116536</v>
      </c>
      <c r="L405" s="29">
        <f t="shared" si="91"/>
        <v>46178</v>
      </c>
      <c r="M405" s="27" t="str">
        <f t="shared" si="86"/>
        <v>Health Deterioration</v>
      </c>
      <c r="N405" s="31">
        <f t="shared" si="87"/>
        <v>4</v>
      </c>
      <c r="O405" s="27"/>
      <c r="Q405" s="8">
        <v>0.85739963835074273</v>
      </c>
      <c r="R405" s="8" t="str">
        <f t="shared" si="88"/>
        <v>Critical Delay</v>
      </c>
      <c r="S405" s="33">
        <v>2.5355303591094867</v>
      </c>
      <c r="T405" t="s">
        <v>31</v>
      </c>
      <c r="U405" s="3">
        <v>3</v>
      </c>
      <c r="V405" s="3" t="str">
        <f t="shared" si="92"/>
        <v>Normal</v>
      </c>
      <c r="W405" s="3" t="s">
        <v>50</v>
      </c>
      <c r="X405" s="32">
        <f t="shared" si="89"/>
        <v>0.23064709829486674</v>
      </c>
      <c r="Z405" s="38">
        <f t="shared" si="93"/>
        <v>0.10564709829486674</v>
      </c>
      <c r="AC405" s="36">
        <v>0.125</v>
      </c>
      <c r="AL405" t="str">
        <f t="shared" si="94"/>
        <v>Health Deterioration</v>
      </c>
      <c r="AM405" t="str">
        <f t="shared" si="95"/>
        <v>No</v>
      </c>
      <c r="AN405" t="str">
        <f t="shared" si="96"/>
        <v>Emergency</v>
      </c>
      <c r="AO405" t="str">
        <f t="shared" si="97"/>
        <v>HDU</v>
      </c>
    </row>
    <row r="406" spans="1:41" x14ac:dyDescent="0.3">
      <c r="A406" s="21" t="str">
        <f t="shared" si="90"/>
        <v>UHID-00405</v>
      </c>
      <c r="B406" s="18">
        <v>68</v>
      </c>
      <c r="C406" s="10" t="s">
        <v>18</v>
      </c>
      <c r="D406" s="13" t="s">
        <v>27</v>
      </c>
      <c r="E406" s="13" t="s">
        <v>1</v>
      </c>
      <c r="F406" s="15">
        <v>46177.603365578703</v>
      </c>
      <c r="G406" s="4">
        <v>46177</v>
      </c>
      <c r="H406" s="1">
        <v>46179.675740057901</v>
      </c>
      <c r="I406" s="22">
        <v>46179</v>
      </c>
      <c r="J406" s="24">
        <f t="shared" si="84"/>
        <v>46179.61439175703</v>
      </c>
      <c r="K406" s="24">
        <f t="shared" si="85"/>
        <v>0.67574005790083902</v>
      </c>
      <c r="L406" s="29">
        <f t="shared" si="91"/>
        <v>46178</v>
      </c>
      <c r="M406" s="27" t="str">
        <f t="shared" si="86"/>
        <v>Normal</v>
      </c>
      <c r="N406" s="31">
        <f t="shared" si="87"/>
        <v>2</v>
      </c>
      <c r="O406" s="27"/>
      <c r="Q406" s="8">
        <v>6.8430468744634654E-2</v>
      </c>
      <c r="R406" s="8" t="str">
        <f t="shared" si="88"/>
        <v>On Time</v>
      </c>
      <c r="S406" s="33">
        <v>1.4723592209623395</v>
      </c>
      <c r="T406" t="s">
        <v>30</v>
      </c>
      <c r="U406" s="3">
        <v>0</v>
      </c>
      <c r="V406" s="3" t="str">
        <f t="shared" si="92"/>
        <v/>
      </c>
      <c r="W406" s="3" t="s">
        <v>51</v>
      </c>
      <c r="X406" s="32">
        <f t="shared" si="89"/>
        <v>6.1348300871031824E-2</v>
      </c>
      <c r="Z406" s="38">
        <f t="shared" si="93"/>
        <v>0</v>
      </c>
      <c r="AC406" s="36">
        <v>0.125</v>
      </c>
      <c r="AL406" t="str">
        <f t="shared" si="94"/>
        <v>Normal</v>
      </c>
      <c r="AM406" t="str">
        <f t="shared" si="95"/>
        <v>No</v>
      </c>
      <c r="AN406" t="str">
        <f t="shared" si="96"/>
        <v>Elective</v>
      </c>
      <c r="AO406" t="str">
        <f t="shared" si="97"/>
        <v>General Ward</v>
      </c>
    </row>
    <row r="407" spans="1:41" x14ac:dyDescent="0.3">
      <c r="A407" s="21" t="str">
        <f t="shared" si="90"/>
        <v>UHID-00406</v>
      </c>
      <c r="B407" s="18">
        <v>59</v>
      </c>
      <c r="C407" s="10" t="s">
        <v>18</v>
      </c>
      <c r="D407" s="13" t="s">
        <v>27</v>
      </c>
      <c r="E407" s="13" t="s">
        <v>1</v>
      </c>
      <c r="F407" s="15">
        <v>46175.786893611097</v>
      </c>
      <c r="G407" s="4">
        <v>46175</v>
      </c>
      <c r="H407" s="1">
        <v>46179.7219962616</v>
      </c>
      <c r="I407" s="22">
        <v>46179</v>
      </c>
      <c r="J407" s="24">
        <f t="shared" si="84"/>
        <v>46179.664924721583</v>
      </c>
      <c r="K407" s="24">
        <f t="shared" si="85"/>
        <v>0.72199626159999752</v>
      </c>
      <c r="L407" s="29">
        <f t="shared" si="91"/>
        <v>46178</v>
      </c>
      <c r="M407" s="27" t="str">
        <f t="shared" si="86"/>
        <v>Normal</v>
      </c>
      <c r="N407" s="31">
        <f t="shared" si="87"/>
        <v>4</v>
      </c>
      <c r="O407" s="27"/>
      <c r="Q407" s="8">
        <v>0.15407994193363772</v>
      </c>
      <c r="R407" s="8" t="str">
        <f t="shared" si="88"/>
        <v>On Time</v>
      </c>
      <c r="S407" s="33">
        <v>1.3697169603725647</v>
      </c>
      <c r="T407" t="s">
        <v>30</v>
      </c>
      <c r="U407" s="3">
        <v>0</v>
      </c>
      <c r="V407" s="3" t="str">
        <f t="shared" si="92"/>
        <v/>
      </c>
      <c r="W407" s="3" t="s">
        <v>51</v>
      </c>
      <c r="X407" s="32">
        <f t="shared" si="89"/>
        <v>5.7071540017204825E-2</v>
      </c>
      <c r="Z407" s="38">
        <f t="shared" si="93"/>
        <v>0</v>
      </c>
      <c r="AC407" s="36">
        <v>0.125</v>
      </c>
      <c r="AL407" t="str">
        <f t="shared" si="94"/>
        <v>Normal</v>
      </c>
      <c r="AM407" t="str">
        <f t="shared" si="95"/>
        <v>No</v>
      </c>
      <c r="AN407" t="str">
        <f t="shared" si="96"/>
        <v>Elective</v>
      </c>
      <c r="AO407" t="str">
        <f t="shared" si="97"/>
        <v>HDU</v>
      </c>
    </row>
    <row r="408" spans="1:41" x14ac:dyDescent="0.3">
      <c r="A408" s="21" t="str">
        <f t="shared" si="90"/>
        <v>UHID-00407</v>
      </c>
      <c r="B408" s="18">
        <v>82</v>
      </c>
      <c r="C408" s="10" t="s">
        <v>18</v>
      </c>
      <c r="D408" s="13" t="s">
        <v>26</v>
      </c>
      <c r="E408" s="13" t="s">
        <v>1</v>
      </c>
      <c r="F408" s="15">
        <v>46179.531956585597</v>
      </c>
      <c r="G408" s="4">
        <v>46179</v>
      </c>
      <c r="H408" s="1">
        <v>46179.813184479201</v>
      </c>
      <c r="I408" s="22">
        <v>46179</v>
      </c>
      <c r="J408" s="24">
        <f t="shared" si="84"/>
        <v>46179.647887944077</v>
      </c>
      <c r="K408" s="24">
        <f t="shared" si="85"/>
        <v>0.81318447920057224</v>
      </c>
      <c r="L408" s="29">
        <f t="shared" si="91"/>
        <v>46178</v>
      </c>
      <c r="M408" s="27" t="str">
        <f t="shared" si="86"/>
        <v>TPA Approval Delay</v>
      </c>
      <c r="N408" s="31">
        <f t="shared" si="87"/>
        <v>0</v>
      </c>
      <c r="O408" s="27"/>
      <c r="Q408" s="8">
        <v>0.74119863694702026</v>
      </c>
      <c r="R408" s="8" t="str">
        <f t="shared" si="88"/>
        <v>Major Delay</v>
      </c>
      <c r="S408" s="33">
        <v>3.9671168429205208</v>
      </c>
      <c r="T408" t="s">
        <v>31</v>
      </c>
      <c r="U408" s="3">
        <v>0</v>
      </c>
      <c r="V408" s="3" t="str">
        <f t="shared" si="92"/>
        <v>Normal</v>
      </c>
      <c r="W408" s="3" t="s">
        <v>51</v>
      </c>
      <c r="X408" s="32">
        <f t="shared" si="89"/>
        <v>0.16529653512407094</v>
      </c>
      <c r="Z408" s="38">
        <f t="shared" si="93"/>
        <v>4.0296535124070942E-2</v>
      </c>
      <c r="AC408" s="36">
        <v>0.125</v>
      </c>
      <c r="AL408" t="str">
        <f t="shared" si="94"/>
        <v>TPA Approval Delay</v>
      </c>
      <c r="AM408" t="str">
        <f t="shared" si="95"/>
        <v>No</v>
      </c>
      <c r="AN408" t="str">
        <f t="shared" si="96"/>
        <v>Elective</v>
      </c>
      <c r="AO408" t="str">
        <f t="shared" si="97"/>
        <v>General Ward</v>
      </c>
    </row>
    <row r="409" spans="1:41" x14ac:dyDescent="0.3">
      <c r="A409" s="21" t="str">
        <f t="shared" si="90"/>
        <v>UHID-00408</v>
      </c>
      <c r="B409" s="18">
        <v>73</v>
      </c>
      <c r="C409" s="10" t="s">
        <v>18</v>
      </c>
      <c r="D409" s="13" t="s">
        <v>26</v>
      </c>
      <c r="E409" s="13" t="s">
        <v>1</v>
      </c>
      <c r="F409" s="15">
        <v>46169.875896284699</v>
      </c>
      <c r="G409" s="4">
        <v>46169</v>
      </c>
      <c r="H409" s="1">
        <v>46180.4230230787</v>
      </c>
      <c r="I409" s="22">
        <v>46180</v>
      </c>
      <c r="J409" s="24">
        <f t="shared" si="84"/>
        <v>46180.296369711003</v>
      </c>
      <c r="K409" s="24">
        <f t="shared" si="85"/>
        <v>0.42302307869977085</v>
      </c>
      <c r="L409" s="29">
        <f t="shared" si="91"/>
        <v>46179</v>
      </c>
      <c r="M409" s="27" t="str">
        <f t="shared" si="86"/>
        <v>TPA Approval Delay</v>
      </c>
      <c r="N409" s="31">
        <f t="shared" si="87"/>
        <v>11</v>
      </c>
      <c r="O409" s="27"/>
      <c r="Q409" s="8">
        <v>0.70360287486375372</v>
      </c>
      <c r="R409" s="8" t="str">
        <f t="shared" si="88"/>
        <v>Major Delay</v>
      </c>
      <c r="S409" s="33">
        <v>3.0396808246903211</v>
      </c>
      <c r="T409" t="s">
        <v>31</v>
      </c>
      <c r="U409" s="3">
        <v>0</v>
      </c>
      <c r="V409" s="3" t="str">
        <f t="shared" si="92"/>
        <v>Normal</v>
      </c>
      <c r="W409" s="3" t="s">
        <v>51</v>
      </c>
      <c r="X409" s="32">
        <f t="shared" si="89"/>
        <v>0.12665336769714486</v>
      </c>
      <c r="Z409" s="38">
        <f t="shared" si="93"/>
        <v>1.6533676971448585E-3</v>
      </c>
      <c r="AC409" s="36">
        <v>0.125</v>
      </c>
      <c r="AL409" t="str">
        <f t="shared" si="94"/>
        <v>TPA Approval Delay</v>
      </c>
      <c r="AM409" t="str">
        <f t="shared" si="95"/>
        <v>Yes</v>
      </c>
      <c r="AN409" t="str">
        <f t="shared" si="96"/>
        <v>Emergency</v>
      </c>
      <c r="AO409" t="str">
        <f t="shared" si="97"/>
        <v>ICU</v>
      </c>
    </row>
    <row r="410" spans="1:41" x14ac:dyDescent="0.3">
      <c r="A410" s="21" t="str">
        <f t="shared" si="90"/>
        <v>UHID-00409</v>
      </c>
      <c r="B410" s="18">
        <v>84</v>
      </c>
      <c r="C410" s="10" t="s">
        <v>18</v>
      </c>
      <c r="D410" s="13" t="s">
        <v>27</v>
      </c>
      <c r="E410" s="13" t="s">
        <v>1</v>
      </c>
      <c r="F410" s="15">
        <v>46174.6547897454</v>
      </c>
      <c r="G410" s="4">
        <v>46174</v>
      </c>
      <c r="H410" s="1">
        <v>46180.5799042824</v>
      </c>
      <c r="I410" s="22">
        <v>46180</v>
      </c>
      <c r="J410" s="24">
        <f t="shared" si="84"/>
        <v>46180.50379224374</v>
      </c>
      <c r="K410" s="24">
        <f t="shared" si="85"/>
        <v>0.57990428240009351</v>
      </c>
      <c r="L410" s="29">
        <f t="shared" si="91"/>
        <v>46179</v>
      </c>
      <c r="M410" s="27" t="str">
        <f t="shared" si="86"/>
        <v>Normal</v>
      </c>
      <c r="N410" s="31">
        <f t="shared" si="87"/>
        <v>6</v>
      </c>
      <c r="O410" s="27"/>
      <c r="Q410" s="8">
        <v>8.0686186627492495E-2</v>
      </c>
      <c r="R410" s="8" t="str">
        <f t="shared" si="88"/>
        <v>On Time</v>
      </c>
      <c r="S410" s="33">
        <v>1.8266889278314813</v>
      </c>
      <c r="T410" t="s">
        <v>30</v>
      </c>
      <c r="U410" s="3">
        <v>0</v>
      </c>
      <c r="V410" s="3" t="str">
        <f t="shared" si="92"/>
        <v/>
      </c>
      <c r="W410" s="3" t="s">
        <v>51</v>
      </c>
      <c r="X410" s="32">
        <f t="shared" si="89"/>
        <v>7.6112038659630343E-2</v>
      </c>
      <c r="Z410" s="38">
        <f t="shared" si="93"/>
        <v>0</v>
      </c>
      <c r="AC410" s="36">
        <v>0.125</v>
      </c>
      <c r="AL410" t="str">
        <f t="shared" si="94"/>
        <v>Normal</v>
      </c>
      <c r="AM410" t="str">
        <f t="shared" si="95"/>
        <v>No</v>
      </c>
      <c r="AN410" t="str">
        <f t="shared" si="96"/>
        <v>Elective</v>
      </c>
      <c r="AO410" t="str">
        <f t="shared" si="97"/>
        <v>HDU</v>
      </c>
    </row>
    <row r="411" spans="1:41" x14ac:dyDescent="0.3">
      <c r="A411" s="21" t="str">
        <f t="shared" si="90"/>
        <v>UHID-00410</v>
      </c>
      <c r="B411" s="18">
        <v>71</v>
      </c>
      <c r="C411" s="10" t="s">
        <v>17</v>
      </c>
      <c r="D411" s="13" t="s">
        <v>28</v>
      </c>
      <c r="E411" s="13" t="s">
        <v>1</v>
      </c>
      <c r="F411" s="15">
        <v>46179.074950567097</v>
      </c>
      <c r="G411" s="4">
        <v>46179</v>
      </c>
      <c r="H411" s="1">
        <v>46180.573754826401</v>
      </c>
      <c r="I411" s="22">
        <v>46180</v>
      </c>
      <c r="J411" s="24">
        <f t="shared" si="84"/>
        <v>46180.460699567877</v>
      </c>
      <c r="K411" s="24">
        <f t="shared" si="85"/>
        <v>0.57375482640054543</v>
      </c>
      <c r="L411" s="29">
        <f t="shared" si="91"/>
        <v>46179</v>
      </c>
      <c r="M411" s="27" t="str">
        <f t="shared" si="86"/>
        <v>Doctor Round Delay/Report Delay</v>
      </c>
      <c r="N411" s="31">
        <f t="shared" si="87"/>
        <v>1</v>
      </c>
      <c r="O411" s="27"/>
      <c r="Q411" s="8">
        <v>0.93132818486642954</v>
      </c>
      <c r="R411" s="8" t="str">
        <f t="shared" si="88"/>
        <v>Minor Delay</v>
      </c>
      <c r="S411" s="33">
        <v>2.7133262046334949</v>
      </c>
      <c r="T411" t="s">
        <v>31</v>
      </c>
      <c r="U411" s="3">
        <v>0</v>
      </c>
      <c r="V411" s="3" t="str">
        <f t="shared" si="92"/>
        <v>Normal</v>
      </c>
      <c r="W411" s="3" t="s">
        <v>51</v>
      </c>
      <c r="X411" s="32">
        <f t="shared" si="89"/>
        <v>0.11305525852367282</v>
      </c>
      <c r="Z411" s="38">
        <f t="shared" si="93"/>
        <v>0</v>
      </c>
      <c r="AC411" s="36">
        <v>0.125</v>
      </c>
      <c r="AL411" t="str">
        <f t="shared" si="94"/>
        <v>Doctor Round Delay/Report Delay</v>
      </c>
      <c r="AM411" t="str">
        <f t="shared" si="95"/>
        <v>No</v>
      </c>
      <c r="AN411" t="str">
        <f t="shared" si="96"/>
        <v>Elective</v>
      </c>
      <c r="AO411" t="str">
        <f t="shared" si="97"/>
        <v>General Ward</v>
      </c>
    </row>
    <row r="412" spans="1:41" x14ac:dyDescent="0.3">
      <c r="A412" s="21" t="str">
        <f t="shared" si="90"/>
        <v>UHID-00411</v>
      </c>
      <c r="B412" s="18">
        <v>67</v>
      </c>
      <c r="C412" s="10" t="s">
        <v>18</v>
      </c>
      <c r="D412" s="13" t="s">
        <v>26</v>
      </c>
      <c r="E412" s="13" t="s">
        <v>1</v>
      </c>
      <c r="F412" s="15">
        <v>46180.0037313426</v>
      </c>
      <c r="G412" s="4">
        <v>46180</v>
      </c>
      <c r="H412" s="1">
        <v>46180.594667106503</v>
      </c>
      <c r="I412" s="22">
        <v>46180</v>
      </c>
      <c r="J412" s="24">
        <f t="shared" si="84"/>
        <v>46180.341093780509</v>
      </c>
      <c r="K412" s="24">
        <f t="shared" si="85"/>
        <v>0.59466710650303867</v>
      </c>
      <c r="L412" s="29">
        <f t="shared" si="91"/>
        <v>46179</v>
      </c>
      <c r="M412" s="27" t="str">
        <f t="shared" si="86"/>
        <v>Health Deterioration/TPA Approval Delay</v>
      </c>
      <c r="N412" s="31">
        <f t="shared" si="87"/>
        <v>0</v>
      </c>
      <c r="O412" s="27"/>
      <c r="Q412" s="8">
        <v>0.54423342924538087</v>
      </c>
      <c r="R412" s="8" t="str">
        <f t="shared" si="88"/>
        <v>Critical Delay</v>
      </c>
      <c r="S412" s="33">
        <v>3.0857598238504598</v>
      </c>
      <c r="T412" t="s">
        <v>31</v>
      </c>
      <c r="U412" s="3">
        <v>3</v>
      </c>
      <c r="V412" s="3" t="str">
        <f t="shared" si="92"/>
        <v>Normal</v>
      </c>
      <c r="W412" s="3" t="s">
        <v>50</v>
      </c>
      <c r="X412" s="32">
        <f t="shared" si="89"/>
        <v>0.25357332599378424</v>
      </c>
      <c r="Z412" s="38">
        <f t="shared" si="93"/>
        <v>0.12857332599378424</v>
      </c>
      <c r="AC412" s="36">
        <v>0.125</v>
      </c>
      <c r="AL412" t="str">
        <f t="shared" si="94"/>
        <v>Health Deterioration/TPA Approval Delay</v>
      </c>
      <c r="AM412" t="str">
        <f t="shared" si="95"/>
        <v>Yes</v>
      </c>
      <c r="AN412" t="str">
        <f t="shared" si="96"/>
        <v>Emergency</v>
      </c>
      <c r="AO412" t="str">
        <f t="shared" si="97"/>
        <v>General Ward</v>
      </c>
    </row>
    <row r="413" spans="1:41" x14ac:dyDescent="0.3">
      <c r="A413" s="21" t="str">
        <f t="shared" si="90"/>
        <v>UHID-00412</v>
      </c>
      <c r="B413" s="18">
        <v>80</v>
      </c>
      <c r="C413" s="10" t="s">
        <v>17</v>
      </c>
      <c r="D413" s="13" t="s">
        <v>27</v>
      </c>
      <c r="E413" s="13" t="s">
        <v>1</v>
      </c>
      <c r="F413" s="15">
        <v>46177.561599305598</v>
      </c>
      <c r="G413" s="4">
        <v>46177</v>
      </c>
      <c r="H413" s="1">
        <v>46180.698689976904</v>
      </c>
      <c r="I413" s="22">
        <v>46180</v>
      </c>
      <c r="J413" s="24">
        <f t="shared" si="84"/>
        <v>46180.655618066776</v>
      </c>
      <c r="K413" s="24">
        <f t="shared" si="85"/>
        <v>0.69868997690355172</v>
      </c>
      <c r="L413" s="29">
        <f t="shared" si="91"/>
        <v>46179</v>
      </c>
      <c r="M413" s="27" t="str">
        <f t="shared" si="86"/>
        <v>Normal</v>
      </c>
      <c r="N413" s="31">
        <f t="shared" si="87"/>
        <v>3</v>
      </c>
      <c r="O413" s="27"/>
      <c r="Q413" s="8">
        <v>0.29262812124194115</v>
      </c>
      <c r="R413" s="8" t="str">
        <f t="shared" si="88"/>
        <v>On Time</v>
      </c>
      <c r="S413" s="33">
        <v>1.0337258431121792</v>
      </c>
      <c r="T413" t="s">
        <v>30</v>
      </c>
      <c r="U413" s="3">
        <v>0</v>
      </c>
      <c r="V413" s="3" t="str">
        <f t="shared" si="92"/>
        <v/>
      </c>
      <c r="W413" s="3" t="s">
        <v>51</v>
      </c>
      <c r="X413" s="32">
        <f t="shared" si="89"/>
        <v>4.3071910127764568E-2</v>
      </c>
      <c r="Z413" s="38">
        <f t="shared" si="93"/>
        <v>0</v>
      </c>
      <c r="AC413" s="36">
        <v>0.125</v>
      </c>
      <c r="AL413" t="str">
        <f t="shared" si="94"/>
        <v>Normal</v>
      </c>
      <c r="AM413" t="str">
        <f t="shared" si="95"/>
        <v>No</v>
      </c>
      <c r="AN413" t="str">
        <f t="shared" si="96"/>
        <v>Elective</v>
      </c>
      <c r="AO413" t="str">
        <f t="shared" si="97"/>
        <v>General Ward</v>
      </c>
    </row>
    <row r="414" spans="1:41" x14ac:dyDescent="0.3">
      <c r="A414" s="21" t="str">
        <f t="shared" si="90"/>
        <v>UHID-00413</v>
      </c>
      <c r="B414" s="18">
        <v>69</v>
      </c>
      <c r="C414" s="10" t="s">
        <v>17</v>
      </c>
      <c r="D414" s="13" t="s">
        <v>26</v>
      </c>
      <c r="E414" s="13" t="s">
        <v>1</v>
      </c>
      <c r="F414" s="15">
        <v>46179.889140208303</v>
      </c>
      <c r="G414" s="4">
        <v>46179</v>
      </c>
      <c r="H414" s="1">
        <v>46181.577204953697</v>
      </c>
      <c r="I414" s="22">
        <v>46181</v>
      </c>
      <c r="J414" s="24">
        <f t="shared" si="84"/>
        <v>46181.451914042882</v>
      </c>
      <c r="K414" s="24">
        <f t="shared" si="85"/>
        <v>0.57720495369721903</v>
      </c>
      <c r="L414" s="29">
        <f t="shared" si="91"/>
        <v>46180</v>
      </c>
      <c r="M414" s="27" t="str">
        <f t="shared" si="86"/>
        <v>TPA Approval Delay</v>
      </c>
      <c r="N414" s="31">
        <f t="shared" si="87"/>
        <v>2</v>
      </c>
      <c r="O414" s="27"/>
      <c r="Q414" s="8">
        <v>0.72483948631147388</v>
      </c>
      <c r="R414" s="8" t="str">
        <f t="shared" si="88"/>
        <v>Major Delay</v>
      </c>
      <c r="S414" s="33">
        <v>3.0069818596219107</v>
      </c>
      <c r="T414" t="s">
        <v>31</v>
      </c>
      <c r="U414" s="3">
        <v>0</v>
      </c>
      <c r="V414" s="3" t="str">
        <f t="shared" si="92"/>
        <v>Normal</v>
      </c>
      <c r="W414" s="3" t="s">
        <v>51</v>
      </c>
      <c r="X414" s="32">
        <f t="shared" si="89"/>
        <v>0.12529091081523802</v>
      </c>
      <c r="Z414" s="38">
        <f t="shared" si="93"/>
        <v>2.9091081523802131E-4</v>
      </c>
      <c r="AC414" s="36">
        <v>0.125</v>
      </c>
      <c r="AL414" t="str">
        <f t="shared" si="94"/>
        <v>TPA Approval Delay</v>
      </c>
      <c r="AM414" t="str">
        <f t="shared" si="95"/>
        <v>No</v>
      </c>
      <c r="AN414" t="str">
        <f t="shared" si="96"/>
        <v>Elective</v>
      </c>
      <c r="AO414" t="str">
        <f t="shared" si="97"/>
        <v>General Ward</v>
      </c>
    </row>
    <row r="415" spans="1:41" x14ac:dyDescent="0.3">
      <c r="A415" s="21" t="str">
        <f t="shared" si="90"/>
        <v>UHID-00414</v>
      </c>
      <c r="B415" s="18">
        <v>50</v>
      </c>
      <c r="C415" s="10" t="s">
        <v>17</v>
      </c>
      <c r="D415" s="13" t="s">
        <v>26</v>
      </c>
      <c r="E415" s="13" t="s">
        <v>1</v>
      </c>
      <c r="F415" s="15">
        <v>46178.763525358801</v>
      </c>
      <c r="G415" s="4">
        <v>46178</v>
      </c>
      <c r="H415" s="1">
        <v>46181.559835219901</v>
      </c>
      <c r="I415" s="22">
        <v>46181</v>
      </c>
      <c r="J415" s="24">
        <f t="shared" si="84"/>
        <v>46181.411263367612</v>
      </c>
      <c r="K415" s="24">
        <f t="shared" si="85"/>
        <v>0.55983521990128793</v>
      </c>
      <c r="L415" s="29">
        <f t="shared" si="91"/>
        <v>46180</v>
      </c>
      <c r="M415" s="27" t="str">
        <f t="shared" si="86"/>
        <v>TPA Approval Delay</v>
      </c>
      <c r="N415" s="31">
        <f t="shared" si="87"/>
        <v>3</v>
      </c>
      <c r="O415" s="27"/>
      <c r="Q415" s="8">
        <v>0.54497337359338172</v>
      </c>
      <c r="R415" s="8" t="str">
        <f t="shared" si="88"/>
        <v>Major Delay</v>
      </c>
      <c r="S415" s="33">
        <v>3.5657244548782288</v>
      </c>
      <c r="T415" t="s">
        <v>31</v>
      </c>
      <c r="U415" s="3">
        <v>0</v>
      </c>
      <c r="V415" s="3" t="str">
        <f t="shared" si="92"/>
        <v>Normal</v>
      </c>
      <c r="W415" s="3" t="s">
        <v>51</v>
      </c>
      <c r="X415" s="32">
        <f t="shared" si="89"/>
        <v>0.14857185228902381</v>
      </c>
      <c r="Z415" s="38">
        <f t="shared" si="93"/>
        <v>2.3571852289023809E-2</v>
      </c>
      <c r="AC415" s="36">
        <v>0.125</v>
      </c>
      <c r="AL415" t="str">
        <f t="shared" si="94"/>
        <v>TPA Approval Delay</v>
      </c>
      <c r="AM415" t="str">
        <f t="shared" si="95"/>
        <v>No</v>
      </c>
      <c r="AN415" t="str">
        <f t="shared" si="96"/>
        <v>Elective</v>
      </c>
      <c r="AO415" t="str">
        <f t="shared" si="97"/>
        <v>General Ward</v>
      </c>
    </row>
    <row r="416" spans="1:41" x14ac:dyDescent="0.3">
      <c r="A416" s="21" t="str">
        <f t="shared" si="90"/>
        <v>UHID-00415</v>
      </c>
      <c r="B416" s="18">
        <v>39</v>
      </c>
      <c r="C416" s="10" t="s">
        <v>18</v>
      </c>
      <c r="D416" s="13" t="s">
        <v>27</v>
      </c>
      <c r="E416" s="13" t="s">
        <v>1</v>
      </c>
      <c r="F416" s="15">
        <v>46173.801103807898</v>
      </c>
      <c r="G416" s="4">
        <v>46173</v>
      </c>
      <c r="H416" s="1">
        <v>46181.588415497703</v>
      </c>
      <c r="I416" s="22">
        <v>46181</v>
      </c>
      <c r="J416" s="24">
        <f t="shared" si="84"/>
        <v>46181.403174013743</v>
      </c>
      <c r="K416" s="24">
        <f t="shared" si="85"/>
        <v>0.58841549770295387</v>
      </c>
      <c r="L416" s="29">
        <f t="shared" si="91"/>
        <v>46180</v>
      </c>
      <c r="M416" s="27" t="str">
        <f t="shared" si="86"/>
        <v>Medication Change</v>
      </c>
      <c r="N416" s="31">
        <f t="shared" si="87"/>
        <v>8</v>
      </c>
      <c r="O416" s="27"/>
      <c r="Q416" s="8">
        <v>0.28792582917971588</v>
      </c>
      <c r="R416" s="8" t="str">
        <f t="shared" si="88"/>
        <v>Major Delay</v>
      </c>
      <c r="S416" s="33">
        <v>1.4457956150387168</v>
      </c>
      <c r="T416" t="s">
        <v>30</v>
      </c>
      <c r="U416" s="3">
        <v>3</v>
      </c>
      <c r="V416" s="3" t="str">
        <f t="shared" si="92"/>
        <v/>
      </c>
      <c r="W416" s="3" t="s">
        <v>50</v>
      </c>
      <c r="X416" s="32">
        <f t="shared" si="89"/>
        <v>0.18524148395954398</v>
      </c>
      <c r="Z416" s="38">
        <f t="shared" si="93"/>
        <v>6.0241483959543984E-2</v>
      </c>
      <c r="AC416" s="36">
        <v>0.125</v>
      </c>
      <c r="AL416" t="str">
        <f t="shared" si="94"/>
        <v>Medication Change</v>
      </c>
      <c r="AM416" t="str">
        <f t="shared" si="95"/>
        <v>No</v>
      </c>
      <c r="AN416" t="str">
        <f t="shared" si="96"/>
        <v>Emergency</v>
      </c>
      <c r="AO416" t="str">
        <f t="shared" si="97"/>
        <v>ICU</v>
      </c>
    </row>
    <row r="417" spans="1:41" x14ac:dyDescent="0.3">
      <c r="A417" s="21" t="str">
        <f t="shared" si="90"/>
        <v>UHID-00416</v>
      </c>
      <c r="B417" s="18">
        <v>15</v>
      </c>
      <c r="C417" s="10" t="s">
        <v>17</v>
      </c>
      <c r="D417" s="13" t="s">
        <v>27</v>
      </c>
      <c r="E417" s="13" t="s">
        <v>1</v>
      </c>
      <c r="F417" s="15">
        <v>46178.519526712997</v>
      </c>
      <c r="G417" s="4">
        <v>46178</v>
      </c>
      <c r="H417" s="1">
        <v>46181.2826995949</v>
      </c>
      <c r="I417" s="22">
        <v>46181</v>
      </c>
      <c r="J417" s="24">
        <f t="shared" si="84"/>
        <v>46181.199504840617</v>
      </c>
      <c r="K417" s="24">
        <f t="shared" si="85"/>
        <v>0.2826995948998956</v>
      </c>
      <c r="L417" s="29">
        <f t="shared" si="91"/>
        <v>46180</v>
      </c>
      <c r="M417" s="27" t="str">
        <f t="shared" si="86"/>
        <v>Normal</v>
      </c>
      <c r="N417" s="31">
        <f t="shared" si="87"/>
        <v>3</v>
      </c>
      <c r="O417" s="27"/>
      <c r="Q417" s="8">
        <v>6.5056521033012737E-2</v>
      </c>
      <c r="R417" s="8" t="str">
        <f t="shared" si="88"/>
        <v>On Time</v>
      </c>
      <c r="S417" s="33">
        <v>1.9966741028310546</v>
      </c>
      <c r="T417" t="s">
        <v>30</v>
      </c>
      <c r="U417" s="3">
        <v>0</v>
      </c>
      <c r="V417" s="3" t="str">
        <f t="shared" si="92"/>
        <v/>
      </c>
      <c r="W417" s="3" t="s">
        <v>51</v>
      </c>
      <c r="X417" s="32">
        <f t="shared" si="89"/>
        <v>8.3194754282885697E-2</v>
      </c>
      <c r="Z417" s="38">
        <f t="shared" si="93"/>
        <v>0</v>
      </c>
      <c r="AC417" s="36">
        <v>0.125</v>
      </c>
      <c r="AL417" t="str">
        <f t="shared" si="94"/>
        <v>Normal</v>
      </c>
      <c r="AM417" t="str">
        <f t="shared" si="95"/>
        <v>No</v>
      </c>
      <c r="AN417" t="str">
        <f t="shared" si="96"/>
        <v>Elective</v>
      </c>
      <c r="AO417" t="str">
        <f t="shared" si="97"/>
        <v>General Ward</v>
      </c>
    </row>
    <row r="418" spans="1:41" x14ac:dyDescent="0.3">
      <c r="A418" s="21" t="str">
        <f t="shared" si="90"/>
        <v>UHID-00417</v>
      </c>
      <c r="B418" s="18">
        <v>47</v>
      </c>
      <c r="C418" s="10" t="s">
        <v>17</v>
      </c>
      <c r="D418" s="13" t="s">
        <v>27</v>
      </c>
      <c r="E418" s="13" t="s">
        <v>1</v>
      </c>
      <c r="F418" s="15">
        <v>46177.7974223727</v>
      </c>
      <c r="G418" s="4">
        <v>46177</v>
      </c>
      <c r="H418" s="1">
        <v>46182.577837071804</v>
      </c>
      <c r="I418" s="22">
        <v>46182</v>
      </c>
      <c r="J418" s="24">
        <f t="shared" si="84"/>
        <v>46182.375212581377</v>
      </c>
      <c r="K418" s="24">
        <f t="shared" si="85"/>
        <v>0.57783707180351485</v>
      </c>
      <c r="L418" s="29">
        <f t="shared" si="91"/>
        <v>46181</v>
      </c>
      <c r="M418" s="27" t="str">
        <f t="shared" si="86"/>
        <v>Medication Change</v>
      </c>
      <c r="N418" s="31">
        <f t="shared" si="87"/>
        <v>5</v>
      </c>
      <c r="O418" s="27"/>
      <c r="Q418" s="8">
        <v>0.42045756035821269</v>
      </c>
      <c r="R418" s="8" t="str">
        <f t="shared" si="88"/>
        <v>Major Delay</v>
      </c>
      <c r="S418" s="33">
        <v>1.8629877703131545</v>
      </c>
      <c r="T418" t="s">
        <v>31</v>
      </c>
      <c r="U418" s="3">
        <v>3</v>
      </c>
      <c r="V418" s="3" t="str">
        <f t="shared" si="92"/>
        <v>Normal</v>
      </c>
      <c r="W418" s="3" t="s">
        <v>50</v>
      </c>
      <c r="X418" s="32">
        <f t="shared" si="89"/>
        <v>0.20262449042638764</v>
      </c>
      <c r="Z418" s="38">
        <f t="shared" si="93"/>
        <v>7.7624490426387638E-2</v>
      </c>
      <c r="AC418" s="36">
        <v>0.125</v>
      </c>
      <c r="AL418" t="str">
        <f t="shared" si="94"/>
        <v>Medication Change</v>
      </c>
      <c r="AM418" t="str">
        <f t="shared" si="95"/>
        <v>No</v>
      </c>
      <c r="AN418" t="str">
        <f t="shared" si="96"/>
        <v>Elective</v>
      </c>
      <c r="AO418" t="str">
        <f t="shared" si="97"/>
        <v>HDU</v>
      </c>
    </row>
    <row r="419" spans="1:41" x14ac:dyDescent="0.3">
      <c r="A419" s="21" t="str">
        <f t="shared" si="90"/>
        <v>UHID-00418</v>
      </c>
      <c r="B419" s="18">
        <v>41</v>
      </c>
      <c r="C419" s="10" t="s">
        <v>18</v>
      </c>
      <c r="D419" s="13" t="s">
        <v>28</v>
      </c>
      <c r="E419" s="13" t="s">
        <v>1</v>
      </c>
      <c r="F419" s="15">
        <v>46181.811217453702</v>
      </c>
      <c r="G419" s="4">
        <v>46181</v>
      </c>
      <c r="H419" s="1">
        <v>46182.006944444402</v>
      </c>
      <c r="I419" s="22">
        <v>46182</v>
      </c>
      <c r="J419" s="24">
        <f t="shared" si="84"/>
        <v>46181.752999827884</v>
      </c>
      <c r="K419" s="24">
        <f t="shared" si="85"/>
        <v>6.9444444015971385E-3</v>
      </c>
      <c r="L419" s="29">
        <f t="shared" si="91"/>
        <v>46181</v>
      </c>
      <c r="M419" s="27" t="str">
        <f t="shared" si="86"/>
        <v>Health Deterioration</v>
      </c>
      <c r="N419" s="31">
        <f t="shared" si="87"/>
        <v>1</v>
      </c>
      <c r="O419" s="27"/>
      <c r="Q419" s="8">
        <v>0.89019928373357216</v>
      </c>
      <c r="R419" s="8" t="str">
        <f t="shared" si="88"/>
        <v>Critical Delay</v>
      </c>
      <c r="S419" s="33">
        <v>2.0946707964043854</v>
      </c>
      <c r="T419" t="s">
        <v>31</v>
      </c>
      <c r="U419" s="3">
        <v>4</v>
      </c>
      <c r="V419" s="3" t="str">
        <f t="shared" si="92"/>
        <v>Normal</v>
      </c>
      <c r="W419" s="3" t="s">
        <v>50</v>
      </c>
      <c r="X419" s="32">
        <f t="shared" si="89"/>
        <v>0.2539446165174013</v>
      </c>
      <c r="Z419" s="38">
        <f t="shared" si="93"/>
        <v>0.1289446165174013</v>
      </c>
      <c r="AC419" s="36">
        <v>0.125</v>
      </c>
      <c r="AL419" t="str">
        <f t="shared" si="94"/>
        <v>Health Deterioration</v>
      </c>
      <c r="AM419" t="str">
        <f t="shared" si="95"/>
        <v>No</v>
      </c>
      <c r="AN419" t="str">
        <f t="shared" si="96"/>
        <v>Elective</v>
      </c>
      <c r="AO419" t="str">
        <f t="shared" si="97"/>
        <v>General Ward</v>
      </c>
    </row>
    <row r="420" spans="1:41" x14ac:dyDescent="0.3">
      <c r="A420" s="21" t="str">
        <f t="shared" si="90"/>
        <v>UHID-00419</v>
      </c>
      <c r="B420" s="18">
        <v>39</v>
      </c>
      <c r="C420" s="10" t="s">
        <v>18</v>
      </c>
      <c r="D420" s="13" t="s">
        <v>27</v>
      </c>
      <c r="E420" s="13" t="s">
        <v>1</v>
      </c>
      <c r="F420" s="15">
        <v>46181.932026504597</v>
      </c>
      <c r="G420" s="4">
        <v>46181</v>
      </c>
      <c r="H420" s="1">
        <v>46182.637583483804</v>
      </c>
      <c r="I420" s="22">
        <v>46182</v>
      </c>
      <c r="J420" s="24">
        <f t="shared" si="84"/>
        <v>46182.577336745067</v>
      </c>
      <c r="K420" s="24">
        <f t="shared" si="85"/>
        <v>0.63758348380360985</v>
      </c>
      <c r="L420" s="29">
        <f t="shared" si="91"/>
        <v>46181</v>
      </c>
      <c r="M420" s="27" t="str">
        <f t="shared" si="86"/>
        <v>Normal</v>
      </c>
      <c r="N420" s="31">
        <f t="shared" si="87"/>
        <v>1</v>
      </c>
      <c r="O420" s="27"/>
      <c r="Q420" s="8">
        <v>0.34297720651972174</v>
      </c>
      <c r="R420" s="8" t="str">
        <f t="shared" si="88"/>
        <v>On Time</v>
      </c>
      <c r="S420" s="33">
        <v>1.4459217297098075</v>
      </c>
      <c r="T420" t="s">
        <v>30</v>
      </c>
      <c r="U420" s="3">
        <v>0</v>
      </c>
      <c r="V420" s="3" t="str">
        <f t="shared" si="92"/>
        <v/>
      </c>
      <c r="W420" s="3" t="s">
        <v>51</v>
      </c>
      <c r="X420" s="32">
        <f t="shared" si="89"/>
        <v>6.0246738736168481E-2</v>
      </c>
      <c r="Z420" s="38">
        <f t="shared" si="93"/>
        <v>0</v>
      </c>
      <c r="AC420" s="36">
        <v>0.125</v>
      </c>
      <c r="AL420" t="str">
        <f t="shared" si="94"/>
        <v>Normal</v>
      </c>
      <c r="AM420" t="str">
        <f t="shared" si="95"/>
        <v>No</v>
      </c>
      <c r="AN420" t="str">
        <f t="shared" si="96"/>
        <v>Elective</v>
      </c>
      <c r="AO420" t="str">
        <f t="shared" si="97"/>
        <v>General Ward</v>
      </c>
    </row>
    <row r="421" spans="1:41" x14ac:dyDescent="0.3">
      <c r="A421" s="21" t="str">
        <f t="shared" si="90"/>
        <v>UHID-00420</v>
      </c>
      <c r="B421" s="18">
        <v>32</v>
      </c>
      <c r="C421" s="10" t="s">
        <v>17</v>
      </c>
      <c r="D421" s="13" t="s">
        <v>27</v>
      </c>
      <c r="E421" s="13" t="s">
        <v>1</v>
      </c>
      <c r="F421" s="15">
        <v>46180.669717893499</v>
      </c>
      <c r="G421" s="4">
        <v>46180</v>
      </c>
      <c r="H421" s="1">
        <v>46182.682001793997</v>
      </c>
      <c r="I421" s="22">
        <v>46182</v>
      </c>
      <c r="J421" s="24">
        <f t="shared" si="84"/>
        <v>46182.50395573421</v>
      </c>
      <c r="K421" s="24">
        <f t="shared" si="85"/>
        <v>0.68200179399718763</v>
      </c>
      <c r="L421" s="29">
        <f t="shared" si="91"/>
        <v>46181</v>
      </c>
      <c r="M421" s="27" t="str">
        <f t="shared" si="86"/>
        <v>Medication Change</v>
      </c>
      <c r="N421" s="31">
        <f t="shared" si="87"/>
        <v>2</v>
      </c>
      <c r="O421" s="27"/>
      <c r="Q421" s="8">
        <v>0.39380452808412392</v>
      </c>
      <c r="R421" s="8" t="str">
        <f t="shared" si="88"/>
        <v>Major Delay</v>
      </c>
      <c r="S421" s="33">
        <v>1.2731054348646611</v>
      </c>
      <c r="T421" t="s">
        <v>31</v>
      </c>
      <c r="U421" s="3">
        <v>3</v>
      </c>
      <c r="V421" s="3" t="str">
        <f t="shared" si="92"/>
        <v>Normal</v>
      </c>
      <c r="W421" s="3" t="s">
        <v>50</v>
      </c>
      <c r="X421" s="32">
        <f t="shared" si="89"/>
        <v>0.17804605978744803</v>
      </c>
      <c r="Z421" s="38">
        <f t="shared" si="93"/>
        <v>5.304605978744803E-2</v>
      </c>
      <c r="AC421" s="36">
        <v>0.125</v>
      </c>
      <c r="AL421" t="str">
        <f t="shared" si="94"/>
        <v>Medication Change</v>
      </c>
      <c r="AM421" t="str">
        <f t="shared" si="95"/>
        <v>No</v>
      </c>
      <c r="AN421" t="str">
        <f t="shared" si="96"/>
        <v>Elective</v>
      </c>
      <c r="AO421" t="str">
        <f t="shared" si="97"/>
        <v>General Ward</v>
      </c>
    </row>
    <row r="422" spans="1:41" x14ac:dyDescent="0.3">
      <c r="A422" s="21" t="str">
        <f t="shared" si="90"/>
        <v>UHID-00421</v>
      </c>
      <c r="B422" s="18">
        <v>74</v>
      </c>
      <c r="C422" s="10" t="s">
        <v>18</v>
      </c>
      <c r="D422" s="13" t="s">
        <v>27</v>
      </c>
      <c r="E422" s="13" t="s">
        <v>1</v>
      </c>
      <c r="F422" s="15">
        <v>46180.6695120718</v>
      </c>
      <c r="G422" s="4">
        <v>46180</v>
      </c>
      <c r="H422" s="1">
        <v>46182.628890057902</v>
      </c>
      <c r="I422" s="22">
        <v>46182</v>
      </c>
      <c r="J422" s="24">
        <f t="shared" si="84"/>
        <v>46182.431852249967</v>
      </c>
      <c r="K422" s="24">
        <f t="shared" si="85"/>
        <v>0.62889005790202646</v>
      </c>
      <c r="L422" s="29">
        <f t="shared" si="91"/>
        <v>46181</v>
      </c>
      <c r="M422" s="27" t="str">
        <f t="shared" si="86"/>
        <v>Medication Change</v>
      </c>
      <c r="N422" s="31">
        <f t="shared" si="87"/>
        <v>2</v>
      </c>
      <c r="O422" s="27"/>
      <c r="Q422" s="8">
        <v>0.49133425644595496</v>
      </c>
      <c r="R422" s="8" t="str">
        <f t="shared" si="88"/>
        <v>Major Delay</v>
      </c>
      <c r="S422" s="33">
        <v>1.7289073904024459</v>
      </c>
      <c r="T422" t="s">
        <v>31</v>
      </c>
      <c r="U422" s="3">
        <v>3</v>
      </c>
      <c r="V422" s="3" t="str">
        <f t="shared" si="92"/>
        <v>Normal</v>
      </c>
      <c r="W422" s="3" t="s">
        <v>50</v>
      </c>
      <c r="X422" s="32">
        <f t="shared" si="89"/>
        <v>0.19703780793497572</v>
      </c>
      <c r="Z422" s="38">
        <f t="shared" si="93"/>
        <v>7.2037807934975717E-2</v>
      </c>
      <c r="AC422" s="36">
        <v>0.125</v>
      </c>
      <c r="AL422" t="str">
        <f t="shared" si="94"/>
        <v>Medication Change</v>
      </c>
      <c r="AM422" t="str">
        <f t="shared" si="95"/>
        <v>No</v>
      </c>
      <c r="AN422" t="str">
        <f t="shared" si="96"/>
        <v>Elective</v>
      </c>
      <c r="AO422" t="str">
        <f t="shared" si="97"/>
        <v>General Ward</v>
      </c>
    </row>
    <row r="423" spans="1:41" x14ac:dyDescent="0.3">
      <c r="A423" s="21" t="str">
        <f t="shared" si="90"/>
        <v>UHID-00422</v>
      </c>
      <c r="B423" s="18">
        <v>86</v>
      </c>
      <c r="C423" s="10" t="s">
        <v>17</v>
      </c>
      <c r="D423" s="13" t="s">
        <v>27</v>
      </c>
      <c r="E423" s="13" t="s">
        <v>1</v>
      </c>
      <c r="F423" s="15">
        <v>46172.881860949099</v>
      </c>
      <c r="G423" s="4">
        <v>46172</v>
      </c>
      <c r="H423" s="1">
        <v>46182.674366597203</v>
      </c>
      <c r="I423" s="22">
        <v>46182</v>
      </c>
      <c r="J423" s="24">
        <f t="shared" si="84"/>
        <v>46182.45987435944</v>
      </c>
      <c r="K423" s="24">
        <f t="shared" si="85"/>
        <v>0.6743665972026065</v>
      </c>
      <c r="L423" s="29">
        <f t="shared" si="91"/>
        <v>46181</v>
      </c>
      <c r="M423" s="27" t="str">
        <f t="shared" si="86"/>
        <v>Health Deterioration</v>
      </c>
      <c r="N423" s="31">
        <f t="shared" si="87"/>
        <v>10</v>
      </c>
      <c r="O423" s="27"/>
      <c r="Q423" s="8">
        <v>8.132426910480528E-2</v>
      </c>
      <c r="R423" s="8" t="str">
        <f t="shared" si="88"/>
        <v>Critical Delay</v>
      </c>
      <c r="S423" s="33">
        <v>1.1478137063314395</v>
      </c>
      <c r="T423" t="s">
        <v>30</v>
      </c>
      <c r="U423" s="3">
        <v>4</v>
      </c>
      <c r="V423" s="3" t="str">
        <f t="shared" si="92"/>
        <v/>
      </c>
      <c r="W423" s="3" t="s">
        <v>50</v>
      </c>
      <c r="X423" s="32">
        <f t="shared" si="89"/>
        <v>0.21449223776289728</v>
      </c>
      <c r="Z423" s="38">
        <f t="shared" si="93"/>
        <v>8.9492237762897275E-2</v>
      </c>
      <c r="AC423" s="36">
        <v>0.125</v>
      </c>
      <c r="AL423" t="str">
        <f t="shared" si="94"/>
        <v>Health Deterioration</v>
      </c>
      <c r="AM423" t="str">
        <f t="shared" si="95"/>
        <v>Yes</v>
      </c>
      <c r="AN423" t="str">
        <f t="shared" si="96"/>
        <v>Emergency</v>
      </c>
      <c r="AO423" t="str">
        <f t="shared" si="97"/>
        <v>ICU</v>
      </c>
    </row>
    <row r="424" spans="1:41" x14ac:dyDescent="0.3">
      <c r="A424" s="21" t="str">
        <f t="shared" si="90"/>
        <v>UHID-00423</v>
      </c>
      <c r="B424" s="18">
        <v>37</v>
      </c>
      <c r="C424" s="10" t="s">
        <v>18</v>
      </c>
      <c r="D424" s="13" t="s">
        <v>26</v>
      </c>
      <c r="E424" s="13" t="s">
        <v>1</v>
      </c>
      <c r="F424" s="15">
        <v>46181.556570717599</v>
      </c>
      <c r="G424" s="4">
        <v>46181</v>
      </c>
      <c r="H424" s="1">
        <v>46183.575580937497</v>
      </c>
      <c r="I424" s="22">
        <v>46183</v>
      </c>
      <c r="J424" s="24">
        <f t="shared" si="84"/>
        <v>46183.311859975707</v>
      </c>
      <c r="K424" s="24">
        <f t="shared" si="85"/>
        <v>0.57558093749685213</v>
      </c>
      <c r="L424" s="29">
        <f t="shared" si="91"/>
        <v>46182</v>
      </c>
      <c r="M424" s="27" t="str">
        <f t="shared" si="86"/>
        <v>Health Deterioration/TPA Approval Delay</v>
      </c>
      <c r="N424" s="31">
        <f t="shared" si="87"/>
        <v>2</v>
      </c>
      <c r="O424" s="27"/>
      <c r="Q424" s="8">
        <v>0.62422688066081511</v>
      </c>
      <c r="R424" s="8" t="str">
        <f t="shared" si="88"/>
        <v>Critical Delay</v>
      </c>
      <c r="S424" s="33">
        <v>3.3293030829020025</v>
      </c>
      <c r="T424" t="s">
        <v>31</v>
      </c>
      <c r="U424" s="3">
        <v>3</v>
      </c>
      <c r="V424" s="3" t="str">
        <f t="shared" si="92"/>
        <v>Normal</v>
      </c>
      <c r="W424" s="3" t="s">
        <v>50</v>
      </c>
      <c r="X424" s="32">
        <f t="shared" si="89"/>
        <v>0.26372096178965876</v>
      </c>
      <c r="Z424" s="38">
        <f t="shared" si="93"/>
        <v>0.13872096178965876</v>
      </c>
      <c r="AC424" s="36">
        <v>0.125</v>
      </c>
      <c r="AL424" t="str">
        <f t="shared" si="94"/>
        <v>Health Deterioration/TPA Approval Delay</v>
      </c>
      <c r="AM424" t="str">
        <f t="shared" si="95"/>
        <v>No</v>
      </c>
      <c r="AN424" t="str">
        <f t="shared" si="96"/>
        <v>Emergency</v>
      </c>
      <c r="AO424" t="str">
        <f t="shared" si="97"/>
        <v>General Ward</v>
      </c>
    </row>
    <row r="425" spans="1:41" x14ac:dyDescent="0.3">
      <c r="A425" s="21" t="str">
        <f t="shared" si="90"/>
        <v>UHID-00424</v>
      </c>
      <c r="B425" s="18">
        <v>79</v>
      </c>
      <c r="C425" s="10" t="s">
        <v>17</v>
      </c>
      <c r="D425" s="13" t="s">
        <v>27</v>
      </c>
      <c r="E425" s="13" t="s">
        <v>1</v>
      </c>
      <c r="F425" s="15">
        <v>46181.790635138903</v>
      </c>
      <c r="G425" s="4">
        <v>46181</v>
      </c>
      <c r="H425" s="1">
        <v>46183.4815267593</v>
      </c>
      <c r="I425" s="22">
        <v>46183</v>
      </c>
      <c r="J425" s="24">
        <f t="shared" si="84"/>
        <v>46183.434074981349</v>
      </c>
      <c r="K425" s="24">
        <f t="shared" si="85"/>
        <v>0.48152675930032274</v>
      </c>
      <c r="L425" s="29">
        <f t="shared" si="91"/>
        <v>46182</v>
      </c>
      <c r="M425" s="27" t="str">
        <f t="shared" si="86"/>
        <v>Normal</v>
      </c>
      <c r="N425" s="31">
        <f t="shared" si="87"/>
        <v>2</v>
      </c>
      <c r="O425" s="27"/>
      <c r="Q425" s="8">
        <v>0.29039209536550192</v>
      </c>
      <c r="R425" s="8" t="str">
        <f t="shared" si="88"/>
        <v>On Time</v>
      </c>
      <c r="S425" s="33">
        <v>1.1388426709139239</v>
      </c>
      <c r="T425" t="s">
        <v>30</v>
      </c>
      <c r="U425" s="3">
        <v>0</v>
      </c>
      <c r="V425" s="3" t="str">
        <f t="shared" si="92"/>
        <v/>
      </c>
      <c r="W425" s="3" t="s">
        <v>51</v>
      </c>
      <c r="X425" s="32">
        <f t="shared" si="89"/>
        <v>4.7451777951209806E-2</v>
      </c>
      <c r="Z425" s="38">
        <f t="shared" si="93"/>
        <v>0</v>
      </c>
      <c r="AC425" s="36">
        <v>0.125</v>
      </c>
      <c r="AL425" t="str">
        <f t="shared" si="94"/>
        <v>Normal</v>
      </c>
      <c r="AM425" t="str">
        <f t="shared" si="95"/>
        <v>No</v>
      </c>
      <c r="AN425" t="str">
        <f t="shared" si="96"/>
        <v>Elective</v>
      </c>
      <c r="AO425" t="str">
        <f t="shared" si="97"/>
        <v>General Ward</v>
      </c>
    </row>
    <row r="426" spans="1:41" x14ac:dyDescent="0.3">
      <c r="A426" s="21" t="str">
        <f t="shared" si="90"/>
        <v>UHID-00425</v>
      </c>
      <c r="B426" s="18">
        <v>71</v>
      </c>
      <c r="C426" s="10" t="s">
        <v>17</v>
      </c>
      <c r="D426" s="13" t="s">
        <v>26</v>
      </c>
      <c r="E426" s="13" t="s">
        <v>1</v>
      </c>
      <c r="F426" s="15">
        <v>46183.3450181597</v>
      </c>
      <c r="G426" s="4">
        <v>46183</v>
      </c>
      <c r="H426" s="1">
        <v>46183.524346076403</v>
      </c>
      <c r="I426" s="22">
        <v>46183</v>
      </c>
      <c r="J426" s="24">
        <f t="shared" si="84"/>
        <v>46183.292983507963</v>
      </c>
      <c r="K426" s="24">
        <f t="shared" si="85"/>
        <v>0.52434607640316244</v>
      </c>
      <c r="L426" s="29">
        <f t="shared" si="91"/>
        <v>46182</v>
      </c>
      <c r="M426" s="27" t="str">
        <f t="shared" si="86"/>
        <v>Health Deterioration/TPA Approval Delay</v>
      </c>
      <c r="N426" s="31">
        <f t="shared" si="87"/>
        <v>0</v>
      </c>
      <c r="O426" s="27"/>
      <c r="Q426" s="8">
        <v>0.81786841386456643</v>
      </c>
      <c r="R426" s="8" t="str">
        <f t="shared" si="88"/>
        <v>Critical Delay</v>
      </c>
      <c r="S426" s="33">
        <v>3.5527016425726292</v>
      </c>
      <c r="T426" t="s">
        <v>31</v>
      </c>
      <c r="U426" s="3">
        <v>2</v>
      </c>
      <c r="V426" s="3" t="str">
        <f t="shared" si="92"/>
        <v>Normal</v>
      </c>
      <c r="W426" s="3" t="s">
        <v>50</v>
      </c>
      <c r="X426" s="32">
        <f t="shared" si="89"/>
        <v>0.2313625684400904</v>
      </c>
      <c r="Z426" s="38">
        <f t="shared" si="93"/>
        <v>0.1063625684400904</v>
      </c>
      <c r="AC426" s="36">
        <v>0.125</v>
      </c>
      <c r="AL426" t="str">
        <f t="shared" si="94"/>
        <v>Health Deterioration/TPA Approval Delay</v>
      </c>
      <c r="AM426" t="str">
        <f t="shared" si="95"/>
        <v>Yes</v>
      </c>
      <c r="AN426" t="str">
        <f t="shared" si="96"/>
        <v>Emergency</v>
      </c>
      <c r="AO426" t="str">
        <f t="shared" si="97"/>
        <v>General Ward</v>
      </c>
    </row>
    <row r="427" spans="1:41" x14ac:dyDescent="0.3">
      <c r="A427" s="21" t="str">
        <f t="shared" si="90"/>
        <v>UHID-00426</v>
      </c>
      <c r="B427" s="18">
        <v>86</v>
      </c>
      <c r="C427" s="10" t="s">
        <v>17</v>
      </c>
      <c r="D427" s="13" t="s">
        <v>28</v>
      </c>
      <c r="E427" s="13" t="s">
        <v>1</v>
      </c>
      <c r="F427" s="15">
        <v>46177.133304259303</v>
      </c>
      <c r="G427" s="4">
        <v>46177</v>
      </c>
      <c r="H427" s="1">
        <v>46183.565358541702</v>
      </c>
      <c r="I427" s="22">
        <v>46183</v>
      </c>
      <c r="J427" s="24">
        <f t="shared" si="84"/>
        <v>46183.382971908162</v>
      </c>
      <c r="K427" s="24">
        <f t="shared" si="85"/>
        <v>0.56535854170215316</v>
      </c>
      <c r="L427" s="29">
        <f t="shared" si="91"/>
        <v>46182</v>
      </c>
      <c r="M427" s="27" t="str">
        <f t="shared" si="86"/>
        <v>Medication Change</v>
      </c>
      <c r="N427" s="31">
        <f t="shared" si="87"/>
        <v>6</v>
      </c>
      <c r="O427" s="27"/>
      <c r="Q427" s="8">
        <v>0.96379309958926129</v>
      </c>
      <c r="R427" s="8" t="str">
        <f t="shared" si="88"/>
        <v>Major Delay</v>
      </c>
      <c r="S427" s="33">
        <v>2.3772792049434956</v>
      </c>
      <c r="T427" t="s">
        <v>31</v>
      </c>
      <c r="U427" s="3">
        <v>2</v>
      </c>
      <c r="V427" s="3" t="str">
        <f t="shared" si="92"/>
        <v>Normal</v>
      </c>
      <c r="W427" s="3" t="s">
        <v>50</v>
      </c>
      <c r="X427" s="32">
        <f t="shared" si="89"/>
        <v>0.1823866335398634</v>
      </c>
      <c r="Z427" s="38">
        <f t="shared" si="93"/>
        <v>5.7386633539863396E-2</v>
      </c>
      <c r="AC427" s="36">
        <v>0.125</v>
      </c>
      <c r="AL427" t="str">
        <f t="shared" si="94"/>
        <v>Medication Change</v>
      </c>
      <c r="AM427" t="str">
        <f t="shared" si="95"/>
        <v>No</v>
      </c>
      <c r="AN427" t="str">
        <f t="shared" si="96"/>
        <v>Elective</v>
      </c>
      <c r="AO427" t="str">
        <f t="shared" si="97"/>
        <v>HDU</v>
      </c>
    </row>
    <row r="428" spans="1:41" x14ac:dyDescent="0.3">
      <c r="A428" s="21" t="str">
        <f t="shared" si="90"/>
        <v>UHID-00427</v>
      </c>
      <c r="B428" s="18">
        <v>67</v>
      </c>
      <c r="C428" s="10" t="s">
        <v>18</v>
      </c>
      <c r="D428" s="13" t="s">
        <v>27</v>
      </c>
      <c r="E428" s="13" t="s">
        <v>1</v>
      </c>
      <c r="F428" s="15">
        <v>46179.782865879599</v>
      </c>
      <c r="G428" s="4">
        <v>46179</v>
      </c>
      <c r="H428" s="1">
        <v>46183.638810937497</v>
      </c>
      <c r="I428" s="22">
        <v>46183</v>
      </c>
      <c r="J428" s="24">
        <f t="shared" si="84"/>
        <v>46183.56193678698</v>
      </c>
      <c r="K428" s="24">
        <f t="shared" si="85"/>
        <v>0.63881093749660067</v>
      </c>
      <c r="L428" s="29">
        <f t="shared" si="91"/>
        <v>46182</v>
      </c>
      <c r="M428" s="27" t="str">
        <f t="shared" si="86"/>
        <v>Normal</v>
      </c>
      <c r="N428" s="31">
        <f t="shared" si="87"/>
        <v>4</v>
      </c>
      <c r="O428" s="27"/>
      <c r="Q428" s="8">
        <v>0.40690612675190885</v>
      </c>
      <c r="R428" s="8" t="str">
        <f t="shared" si="88"/>
        <v>On Time</v>
      </c>
      <c r="S428" s="33">
        <v>1.844979612441801</v>
      </c>
      <c r="T428" t="s">
        <v>31</v>
      </c>
      <c r="U428" s="3">
        <v>0</v>
      </c>
      <c r="V428" s="3" t="str">
        <f t="shared" si="92"/>
        <v>Normal</v>
      </c>
      <c r="W428" s="3" t="s">
        <v>51</v>
      </c>
      <c r="X428" s="32">
        <f t="shared" si="89"/>
        <v>7.6874150516232476E-2</v>
      </c>
      <c r="Z428" s="38">
        <f t="shared" si="93"/>
        <v>0</v>
      </c>
      <c r="AC428" s="36">
        <v>0.125</v>
      </c>
      <c r="AL428" t="str">
        <f t="shared" si="94"/>
        <v>Normal</v>
      </c>
      <c r="AM428" t="str">
        <f t="shared" si="95"/>
        <v>No</v>
      </c>
      <c r="AN428" t="str">
        <f t="shared" si="96"/>
        <v>Elective</v>
      </c>
      <c r="AO428" t="str">
        <f t="shared" si="97"/>
        <v>HDU</v>
      </c>
    </row>
    <row r="429" spans="1:41" x14ac:dyDescent="0.3">
      <c r="A429" s="21" t="str">
        <f t="shared" si="90"/>
        <v>UHID-00428</v>
      </c>
      <c r="B429" s="18">
        <v>77</v>
      </c>
      <c r="C429" s="10" t="s">
        <v>18</v>
      </c>
      <c r="D429" s="13" t="s">
        <v>27</v>
      </c>
      <c r="E429" s="13" t="s">
        <v>1</v>
      </c>
      <c r="F429" s="15">
        <v>46180.7183963426</v>
      </c>
      <c r="G429" s="4">
        <v>46180</v>
      </c>
      <c r="H429" s="1">
        <v>46183.6764476389</v>
      </c>
      <c r="I429" s="22">
        <v>46183</v>
      </c>
      <c r="J429" s="24">
        <f t="shared" si="84"/>
        <v>46183.616289066136</v>
      </c>
      <c r="K429" s="24">
        <f t="shared" si="85"/>
        <v>0.67644763889984461</v>
      </c>
      <c r="L429" s="29">
        <f t="shared" si="91"/>
        <v>46182</v>
      </c>
      <c r="M429" s="27" t="str">
        <f t="shared" si="86"/>
        <v>Normal</v>
      </c>
      <c r="N429" s="31">
        <f t="shared" si="87"/>
        <v>3</v>
      </c>
      <c r="O429" s="27"/>
      <c r="Q429" s="8">
        <v>0.29508998292979549</v>
      </c>
      <c r="R429" s="8" t="str">
        <f t="shared" si="88"/>
        <v>On Time</v>
      </c>
      <c r="S429" s="33">
        <v>1.4438057463522003</v>
      </c>
      <c r="T429" t="s">
        <v>30</v>
      </c>
      <c r="U429" s="3">
        <v>0</v>
      </c>
      <c r="V429" s="3" t="str">
        <f t="shared" si="92"/>
        <v/>
      </c>
      <c r="W429" s="3" t="s">
        <v>51</v>
      </c>
      <c r="X429" s="32">
        <f t="shared" si="89"/>
        <v>6.0158572763612028E-2</v>
      </c>
      <c r="Z429" s="38">
        <f t="shared" si="93"/>
        <v>0</v>
      </c>
      <c r="AC429" s="36">
        <v>0.125</v>
      </c>
      <c r="AL429" t="str">
        <f t="shared" si="94"/>
        <v>Normal</v>
      </c>
      <c r="AM429" t="str">
        <f t="shared" si="95"/>
        <v>No</v>
      </c>
      <c r="AN429" t="str">
        <f t="shared" si="96"/>
        <v>Elective</v>
      </c>
      <c r="AO429" t="str">
        <f t="shared" si="97"/>
        <v>General Ward</v>
      </c>
    </row>
    <row r="430" spans="1:41" x14ac:dyDescent="0.3">
      <c r="A430" s="21" t="str">
        <f t="shared" si="90"/>
        <v>UHID-00429</v>
      </c>
      <c r="B430" s="18">
        <v>76</v>
      </c>
      <c r="C430" s="10" t="s">
        <v>18</v>
      </c>
      <c r="D430" s="13" t="s">
        <v>26</v>
      </c>
      <c r="E430" s="13" t="s">
        <v>1</v>
      </c>
      <c r="F430" s="15">
        <v>46179.757952719898</v>
      </c>
      <c r="G430" s="4">
        <v>46179</v>
      </c>
      <c r="H430" s="1">
        <v>46183.656310729202</v>
      </c>
      <c r="I430" s="22">
        <v>46183</v>
      </c>
      <c r="J430" s="24">
        <f t="shared" si="84"/>
        <v>46183.530631352754</v>
      </c>
      <c r="K430" s="24">
        <f t="shared" si="85"/>
        <v>0.65631072920223232</v>
      </c>
      <c r="L430" s="29">
        <f t="shared" si="91"/>
        <v>46182</v>
      </c>
      <c r="M430" s="27" t="str">
        <f t="shared" si="86"/>
        <v>TPA Approval Delay</v>
      </c>
      <c r="N430" s="31">
        <f t="shared" si="87"/>
        <v>4</v>
      </c>
      <c r="O430" s="27"/>
      <c r="Q430" s="8">
        <v>0.82663822095897077</v>
      </c>
      <c r="R430" s="8" t="str">
        <f t="shared" si="88"/>
        <v>Major Delay</v>
      </c>
      <c r="S430" s="33">
        <v>3.0163050346802307</v>
      </c>
      <c r="T430" t="s">
        <v>31</v>
      </c>
      <c r="U430" s="3">
        <v>0</v>
      </c>
      <c r="V430" s="3" t="str">
        <f t="shared" si="92"/>
        <v>Normal</v>
      </c>
      <c r="W430" s="3" t="s">
        <v>51</v>
      </c>
      <c r="X430" s="32">
        <f t="shared" si="89"/>
        <v>0.12567937644780613</v>
      </c>
      <c r="Z430" s="38">
        <f t="shared" si="93"/>
        <v>6.7937644780613482E-4</v>
      </c>
      <c r="AC430" s="36">
        <v>0.125</v>
      </c>
      <c r="AL430" t="str">
        <f t="shared" si="94"/>
        <v>TPA Approval Delay</v>
      </c>
      <c r="AM430" t="str">
        <f t="shared" si="95"/>
        <v>No</v>
      </c>
      <c r="AN430" t="str">
        <f t="shared" si="96"/>
        <v>Elective</v>
      </c>
      <c r="AO430" t="str">
        <f t="shared" si="97"/>
        <v>HDU</v>
      </c>
    </row>
    <row r="431" spans="1:41" x14ac:dyDescent="0.3">
      <c r="A431" s="21" t="str">
        <f t="shared" si="90"/>
        <v>UHID-00430</v>
      </c>
      <c r="B431" s="18">
        <v>78</v>
      </c>
      <c r="C431" s="10" t="s">
        <v>18</v>
      </c>
      <c r="D431" s="13" t="s">
        <v>28</v>
      </c>
      <c r="E431" s="13" t="s">
        <v>1</v>
      </c>
      <c r="F431" s="15">
        <v>46183.131550173603</v>
      </c>
      <c r="G431" s="4">
        <v>46183</v>
      </c>
      <c r="H431" s="1">
        <v>46183.798637997701</v>
      </c>
      <c r="I431" s="22">
        <v>46183</v>
      </c>
      <c r="J431" s="24">
        <f t="shared" si="84"/>
        <v>46183.676215580439</v>
      </c>
      <c r="K431" s="24">
        <f t="shared" si="85"/>
        <v>0.79863799770100741</v>
      </c>
      <c r="L431" s="29">
        <f t="shared" si="91"/>
        <v>46182</v>
      </c>
      <c r="M431" s="27" t="str">
        <f t="shared" si="86"/>
        <v>Doctor Round Delay/Report Delay</v>
      </c>
      <c r="N431" s="31">
        <f t="shared" si="87"/>
        <v>0</v>
      </c>
      <c r="O431" s="27"/>
      <c r="Q431" s="8">
        <v>0.96863013724929747</v>
      </c>
      <c r="R431" s="8" t="str">
        <f t="shared" si="88"/>
        <v>Minor Delay</v>
      </c>
      <c r="S431" s="33">
        <v>2.9381380142133224</v>
      </c>
      <c r="T431" t="s">
        <v>31</v>
      </c>
      <c r="U431" s="3">
        <v>0</v>
      </c>
      <c r="V431" s="3" t="str">
        <f t="shared" si="92"/>
        <v>Normal</v>
      </c>
      <c r="W431" s="3" t="s">
        <v>51</v>
      </c>
      <c r="X431" s="32">
        <f t="shared" si="89"/>
        <v>0.12242241726198699</v>
      </c>
      <c r="Z431" s="38">
        <f t="shared" si="93"/>
        <v>0</v>
      </c>
      <c r="AC431" s="36">
        <v>0.125</v>
      </c>
      <c r="AL431" t="str">
        <f t="shared" si="94"/>
        <v>Doctor Round Delay/Report Delay</v>
      </c>
      <c r="AM431" t="str">
        <f t="shared" si="95"/>
        <v>No</v>
      </c>
      <c r="AN431" t="str">
        <f t="shared" si="96"/>
        <v>Elective</v>
      </c>
      <c r="AO431" t="str">
        <f t="shared" si="97"/>
        <v>General Ward</v>
      </c>
    </row>
    <row r="432" spans="1:41" x14ac:dyDescent="0.3">
      <c r="A432" s="21" t="str">
        <f t="shared" si="90"/>
        <v>UHID-00431</v>
      </c>
      <c r="B432" s="18">
        <v>76</v>
      </c>
      <c r="C432" s="10" t="s">
        <v>17</v>
      </c>
      <c r="D432" s="13" t="s">
        <v>27</v>
      </c>
      <c r="E432" s="13" t="s">
        <v>1</v>
      </c>
      <c r="F432" s="15">
        <v>46181.4602146412</v>
      </c>
      <c r="G432" s="4">
        <v>46181</v>
      </c>
      <c r="H432" s="1">
        <v>46184.546576458299</v>
      </c>
      <c r="I432" s="22">
        <v>46184</v>
      </c>
      <c r="J432" s="24">
        <f t="shared" si="84"/>
        <v>46184.401779323787</v>
      </c>
      <c r="K432" s="24">
        <f t="shared" si="85"/>
        <v>0.54657645829865942</v>
      </c>
      <c r="L432" s="29">
        <f t="shared" si="91"/>
        <v>46183</v>
      </c>
      <c r="M432" s="27" t="str">
        <f t="shared" si="86"/>
        <v>Medication Change</v>
      </c>
      <c r="N432" s="31">
        <f t="shared" si="87"/>
        <v>3</v>
      </c>
      <c r="O432" s="27"/>
      <c r="Q432" s="8">
        <v>0.44263193018701796</v>
      </c>
      <c r="R432" s="8" t="str">
        <f t="shared" si="88"/>
        <v>Major Delay</v>
      </c>
      <c r="S432" s="33">
        <v>1.4751312282823217</v>
      </c>
      <c r="T432" t="s">
        <v>31</v>
      </c>
      <c r="U432" s="3">
        <v>2</v>
      </c>
      <c r="V432" s="3" t="str">
        <f t="shared" si="92"/>
        <v>Normal</v>
      </c>
      <c r="W432" s="3" t="s">
        <v>50</v>
      </c>
      <c r="X432" s="32">
        <f t="shared" si="89"/>
        <v>0.14479713451146381</v>
      </c>
      <c r="Z432" s="38">
        <f t="shared" si="93"/>
        <v>1.979713451146381E-2</v>
      </c>
      <c r="AC432" s="36">
        <v>0.125</v>
      </c>
      <c r="AL432" t="str">
        <f t="shared" si="94"/>
        <v>Medication Change</v>
      </c>
      <c r="AM432" t="str">
        <f t="shared" si="95"/>
        <v>No</v>
      </c>
      <c r="AN432" t="str">
        <f t="shared" si="96"/>
        <v>Elective</v>
      </c>
      <c r="AO432" t="str">
        <f t="shared" si="97"/>
        <v>General Ward</v>
      </c>
    </row>
    <row r="433" spans="1:41" x14ac:dyDescent="0.3">
      <c r="A433" s="21" t="str">
        <f t="shared" si="90"/>
        <v>UHID-00432</v>
      </c>
      <c r="B433" s="18">
        <v>69</v>
      </c>
      <c r="C433" s="10" t="s">
        <v>18</v>
      </c>
      <c r="D433" s="13" t="s">
        <v>27</v>
      </c>
      <c r="E433" s="13" t="s">
        <v>1</v>
      </c>
      <c r="F433" s="15">
        <v>46178.581473761602</v>
      </c>
      <c r="G433" s="4">
        <v>46178</v>
      </c>
      <c r="H433" s="1">
        <v>46184.557816296299</v>
      </c>
      <c r="I433" s="22">
        <v>46184</v>
      </c>
      <c r="J433" s="24">
        <f t="shared" si="84"/>
        <v>46184.50304879652</v>
      </c>
      <c r="K433" s="24">
        <f t="shared" si="85"/>
        <v>0.5578162962992792</v>
      </c>
      <c r="L433" s="29">
        <f t="shared" si="91"/>
        <v>46183</v>
      </c>
      <c r="M433" s="27" t="str">
        <f t="shared" si="86"/>
        <v>Normal</v>
      </c>
      <c r="N433" s="31">
        <f t="shared" si="87"/>
        <v>6</v>
      </c>
      <c r="O433" s="27"/>
      <c r="Q433" s="8">
        <v>0.45437951039008084</v>
      </c>
      <c r="R433" s="8" t="str">
        <f t="shared" si="88"/>
        <v>On Time</v>
      </c>
      <c r="S433" s="33">
        <v>1.3144199946463282</v>
      </c>
      <c r="T433" t="s">
        <v>31</v>
      </c>
      <c r="U433" s="3">
        <v>0</v>
      </c>
      <c r="V433" s="3" t="str">
        <f t="shared" si="92"/>
        <v>Normal</v>
      </c>
      <c r="W433" s="3" t="s">
        <v>51</v>
      </c>
      <c r="X433" s="32">
        <f t="shared" si="89"/>
        <v>5.4767499779700302E-2</v>
      </c>
      <c r="Z433" s="38">
        <f t="shared" si="93"/>
        <v>0</v>
      </c>
      <c r="AC433" s="36">
        <v>0.125</v>
      </c>
      <c r="AL433" t="str">
        <f t="shared" si="94"/>
        <v>Normal</v>
      </c>
      <c r="AM433" t="str">
        <f t="shared" si="95"/>
        <v>No</v>
      </c>
      <c r="AN433" t="str">
        <f t="shared" si="96"/>
        <v>Elective</v>
      </c>
      <c r="AO433" t="str">
        <f t="shared" si="97"/>
        <v>HDU</v>
      </c>
    </row>
    <row r="434" spans="1:41" x14ac:dyDescent="0.3">
      <c r="A434" s="21" t="str">
        <f t="shared" si="90"/>
        <v>UHID-00433</v>
      </c>
      <c r="B434" s="18">
        <v>72</v>
      </c>
      <c r="C434" s="10" t="s">
        <v>17</v>
      </c>
      <c r="D434" s="13" t="s">
        <v>26</v>
      </c>
      <c r="E434" s="13" t="s">
        <v>1</v>
      </c>
      <c r="F434" s="15">
        <v>46182.915573969898</v>
      </c>
      <c r="G434" s="4">
        <v>46182</v>
      </c>
      <c r="H434" s="1">
        <v>46184.641066087999</v>
      </c>
      <c r="I434" s="22">
        <v>46184</v>
      </c>
      <c r="J434" s="24">
        <f t="shared" si="84"/>
        <v>46184.482158890576</v>
      </c>
      <c r="K434" s="24">
        <f t="shared" si="85"/>
        <v>0.6410660879992065</v>
      </c>
      <c r="L434" s="29">
        <f t="shared" si="91"/>
        <v>46183</v>
      </c>
      <c r="M434" s="27" t="str">
        <f t="shared" si="86"/>
        <v>TPA Approval Delay</v>
      </c>
      <c r="N434" s="31">
        <f t="shared" si="87"/>
        <v>2</v>
      </c>
      <c r="O434" s="27"/>
      <c r="Q434" s="8">
        <v>0.83230333691446146</v>
      </c>
      <c r="R434" s="8" t="str">
        <f t="shared" si="88"/>
        <v>Major Delay</v>
      </c>
      <c r="S434" s="33">
        <v>3.8137727381545927</v>
      </c>
      <c r="T434" t="s">
        <v>31</v>
      </c>
      <c r="U434" s="3">
        <v>0</v>
      </c>
      <c r="V434" s="3" t="str">
        <f t="shared" si="92"/>
        <v>Normal</v>
      </c>
      <c r="W434" s="3" t="s">
        <v>51</v>
      </c>
      <c r="X434" s="32">
        <f t="shared" si="89"/>
        <v>0.15890719742310466</v>
      </c>
      <c r="Z434" s="38">
        <f t="shared" si="93"/>
        <v>3.3907197423104662E-2</v>
      </c>
      <c r="AC434" s="36">
        <v>0.125</v>
      </c>
      <c r="AL434" t="str">
        <f t="shared" si="94"/>
        <v>TPA Approval Delay</v>
      </c>
      <c r="AM434" t="str">
        <f t="shared" si="95"/>
        <v>No</v>
      </c>
      <c r="AN434" t="str">
        <f t="shared" si="96"/>
        <v>Elective</v>
      </c>
      <c r="AO434" t="str">
        <f t="shared" si="97"/>
        <v>General Ward</v>
      </c>
    </row>
    <row r="435" spans="1:41" x14ac:dyDescent="0.3">
      <c r="A435" s="21" t="str">
        <f t="shared" si="90"/>
        <v>UHID-00434</v>
      </c>
      <c r="B435" s="18">
        <v>78</v>
      </c>
      <c r="C435" s="10" t="s">
        <v>17</v>
      </c>
      <c r="D435" s="13" t="s">
        <v>27</v>
      </c>
      <c r="E435" s="13" t="s">
        <v>1</v>
      </c>
      <c r="F435" s="15">
        <v>46176.820672766196</v>
      </c>
      <c r="G435" s="4">
        <v>46176</v>
      </c>
      <c r="H435" s="1">
        <v>46183.703522291697</v>
      </c>
      <c r="I435" s="22">
        <v>46183</v>
      </c>
      <c r="J435" s="24">
        <f t="shared" si="84"/>
        <v>46183.533348525954</v>
      </c>
      <c r="K435" s="24">
        <f t="shared" si="85"/>
        <v>0.70352229169657221</v>
      </c>
      <c r="L435" s="29">
        <f t="shared" si="91"/>
        <v>46182</v>
      </c>
      <c r="M435" s="27" t="str">
        <f t="shared" si="86"/>
        <v>Medication Change</v>
      </c>
      <c r="N435" s="31">
        <f t="shared" si="87"/>
        <v>7</v>
      </c>
      <c r="O435" s="27"/>
      <c r="Q435" s="8">
        <v>0.11652307297298869</v>
      </c>
      <c r="R435" s="8" t="str">
        <f t="shared" si="88"/>
        <v>Major Delay</v>
      </c>
      <c r="S435" s="33">
        <v>1.0841703778720566</v>
      </c>
      <c r="T435" t="s">
        <v>30</v>
      </c>
      <c r="U435" s="3">
        <v>3</v>
      </c>
      <c r="V435" s="3" t="str">
        <f t="shared" si="92"/>
        <v/>
      </c>
      <c r="W435" s="3" t="s">
        <v>50</v>
      </c>
      <c r="X435" s="32">
        <f t="shared" si="89"/>
        <v>0.17017376574221998</v>
      </c>
      <c r="Z435" s="38">
        <f t="shared" si="93"/>
        <v>4.5173765742219985E-2</v>
      </c>
      <c r="AC435" s="36">
        <v>0.125</v>
      </c>
      <c r="AL435" t="str">
        <f t="shared" si="94"/>
        <v>Medication Change</v>
      </c>
      <c r="AM435" t="str">
        <f t="shared" si="95"/>
        <v>No</v>
      </c>
      <c r="AN435" t="str">
        <f t="shared" si="96"/>
        <v>Emergency</v>
      </c>
      <c r="AO435" t="str">
        <f t="shared" si="97"/>
        <v>ICU</v>
      </c>
    </row>
    <row r="436" spans="1:41" x14ac:dyDescent="0.3">
      <c r="A436" s="21" t="str">
        <f t="shared" si="90"/>
        <v>UHID-00435</v>
      </c>
      <c r="B436" s="18">
        <v>57</v>
      </c>
      <c r="C436" s="10" t="s">
        <v>18</v>
      </c>
      <c r="D436" s="13" t="s">
        <v>27</v>
      </c>
      <c r="E436" s="13" t="s">
        <v>1</v>
      </c>
      <c r="F436" s="15">
        <v>46182.7027433681</v>
      </c>
      <c r="G436" s="4">
        <v>46182</v>
      </c>
      <c r="H436" s="1">
        <v>46184.777273460597</v>
      </c>
      <c r="I436" s="22">
        <v>46184</v>
      </c>
      <c r="J436" s="24">
        <f t="shared" si="84"/>
        <v>46184.627768443592</v>
      </c>
      <c r="K436" s="24">
        <f t="shared" si="85"/>
        <v>0.77727346059691627</v>
      </c>
      <c r="L436" s="29">
        <f t="shared" si="91"/>
        <v>46183</v>
      </c>
      <c r="M436" s="27" t="str">
        <f t="shared" si="86"/>
        <v>Medication Change</v>
      </c>
      <c r="N436" s="31">
        <f t="shared" si="87"/>
        <v>2</v>
      </c>
      <c r="O436" s="27"/>
      <c r="Q436" s="8">
        <v>0.36751738948597668</v>
      </c>
      <c r="R436" s="8" t="str">
        <f t="shared" si="88"/>
        <v>Major Delay</v>
      </c>
      <c r="S436" s="33">
        <v>1.5881204081798161</v>
      </c>
      <c r="T436" t="s">
        <v>31</v>
      </c>
      <c r="U436" s="3">
        <v>2</v>
      </c>
      <c r="V436" s="3" t="str">
        <f t="shared" si="92"/>
        <v>Normal</v>
      </c>
      <c r="W436" s="3" t="s">
        <v>50</v>
      </c>
      <c r="X436" s="32">
        <f t="shared" si="89"/>
        <v>0.14950501700513996</v>
      </c>
      <c r="Z436" s="38">
        <f t="shared" si="93"/>
        <v>2.4505017005139962E-2</v>
      </c>
      <c r="AC436" s="36">
        <v>0.125</v>
      </c>
      <c r="AL436" t="str">
        <f t="shared" si="94"/>
        <v>Medication Change</v>
      </c>
      <c r="AM436" t="str">
        <f t="shared" si="95"/>
        <v>No</v>
      </c>
      <c r="AN436" t="str">
        <f t="shared" si="96"/>
        <v>Elective</v>
      </c>
      <c r="AO436" t="str">
        <f t="shared" si="97"/>
        <v>General Ward</v>
      </c>
    </row>
    <row r="437" spans="1:41" x14ac:dyDescent="0.3">
      <c r="A437" s="21" t="str">
        <f t="shared" si="90"/>
        <v>UHID-00436</v>
      </c>
      <c r="B437" s="18">
        <v>46</v>
      </c>
      <c r="C437" s="10" t="s">
        <v>17</v>
      </c>
      <c r="D437" s="13" t="s">
        <v>26</v>
      </c>
      <c r="E437" s="13" t="s">
        <v>1</v>
      </c>
      <c r="F437" s="15">
        <v>46180.927746689798</v>
      </c>
      <c r="G437" s="4">
        <v>46180</v>
      </c>
      <c r="H437" s="1">
        <v>46184.516787812499</v>
      </c>
      <c r="I437" s="22">
        <v>46184</v>
      </c>
      <c r="J437" s="24">
        <f t="shared" si="84"/>
        <v>46184.365035319119</v>
      </c>
      <c r="K437" s="24">
        <f t="shared" si="85"/>
        <v>0.51678781249938766</v>
      </c>
      <c r="L437" s="29">
        <f t="shared" si="91"/>
        <v>46183</v>
      </c>
      <c r="M437" s="27" t="str">
        <f t="shared" si="86"/>
        <v>TPA Approval Delay</v>
      </c>
      <c r="N437" s="31">
        <f t="shared" si="87"/>
        <v>4</v>
      </c>
      <c r="O437" s="27"/>
      <c r="Q437" s="8">
        <v>0.60829627137031628</v>
      </c>
      <c r="R437" s="8" t="str">
        <f t="shared" si="88"/>
        <v>Major Delay</v>
      </c>
      <c r="S437" s="33">
        <v>3.6420598411162208</v>
      </c>
      <c r="T437" t="s">
        <v>31</v>
      </c>
      <c r="U437" s="3">
        <v>0</v>
      </c>
      <c r="V437" s="3" t="str">
        <f t="shared" si="92"/>
        <v>Normal</v>
      </c>
      <c r="W437" s="3" t="s">
        <v>51</v>
      </c>
      <c r="X437" s="32">
        <f t="shared" si="89"/>
        <v>0.15175249338062713</v>
      </c>
      <c r="Z437" s="38">
        <f t="shared" si="93"/>
        <v>2.6752493380627129E-2</v>
      </c>
      <c r="AC437" s="36">
        <v>0.125</v>
      </c>
      <c r="AL437" t="str">
        <f t="shared" si="94"/>
        <v>TPA Approval Delay</v>
      </c>
      <c r="AM437" t="str">
        <f t="shared" si="95"/>
        <v>No</v>
      </c>
      <c r="AN437" t="str">
        <f t="shared" si="96"/>
        <v>Elective</v>
      </c>
      <c r="AO437" t="str">
        <f t="shared" si="97"/>
        <v>HDU</v>
      </c>
    </row>
    <row r="438" spans="1:41" x14ac:dyDescent="0.3">
      <c r="A438" s="21" t="str">
        <f t="shared" si="90"/>
        <v>UHID-00437</v>
      </c>
      <c r="B438" s="18">
        <v>60</v>
      </c>
      <c r="C438" s="10" t="s">
        <v>18</v>
      </c>
      <c r="D438" s="13" t="s">
        <v>27</v>
      </c>
      <c r="E438" s="13" t="s">
        <v>1</v>
      </c>
      <c r="F438" s="15">
        <v>46179.632148611097</v>
      </c>
      <c r="G438" s="4">
        <v>46179</v>
      </c>
      <c r="H438" s="1">
        <v>46184.555666076398</v>
      </c>
      <c r="I438" s="22">
        <v>46184</v>
      </c>
      <c r="J438" s="24">
        <f t="shared" si="84"/>
        <v>46184.509362620272</v>
      </c>
      <c r="K438" s="24">
        <f t="shared" si="85"/>
        <v>0.55566607639775611</v>
      </c>
      <c r="L438" s="29">
        <f t="shared" si="91"/>
        <v>46183</v>
      </c>
      <c r="M438" s="27" t="str">
        <f t="shared" si="86"/>
        <v>Normal</v>
      </c>
      <c r="N438" s="31">
        <f t="shared" si="87"/>
        <v>5</v>
      </c>
      <c r="O438" s="27"/>
      <c r="Q438" s="8">
        <v>5.4991709732366001E-3</v>
      </c>
      <c r="R438" s="8" t="str">
        <f t="shared" si="88"/>
        <v>On Time</v>
      </c>
      <c r="S438" s="33">
        <v>1.1112829469816699</v>
      </c>
      <c r="T438" t="s">
        <v>30</v>
      </c>
      <c r="U438" s="3">
        <v>0</v>
      </c>
      <c r="V438" s="3" t="str">
        <f t="shared" si="92"/>
        <v/>
      </c>
      <c r="W438" s="3" t="s">
        <v>51</v>
      </c>
      <c r="X438" s="32">
        <f t="shared" si="89"/>
        <v>4.6303456125315279E-2</v>
      </c>
      <c r="Z438" s="38">
        <f t="shared" si="93"/>
        <v>0</v>
      </c>
      <c r="AC438" s="36">
        <v>0.125</v>
      </c>
      <c r="AL438" t="str">
        <f t="shared" si="94"/>
        <v>Normal</v>
      </c>
      <c r="AM438" t="str">
        <f t="shared" si="95"/>
        <v>No</v>
      </c>
      <c r="AN438" t="str">
        <f t="shared" si="96"/>
        <v>Elective</v>
      </c>
      <c r="AO438" t="str">
        <f t="shared" si="97"/>
        <v>HDU</v>
      </c>
    </row>
    <row r="439" spans="1:41" x14ac:dyDescent="0.3">
      <c r="A439" s="21" t="str">
        <f t="shared" si="90"/>
        <v>UHID-00438</v>
      </c>
      <c r="B439" s="18">
        <v>65</v>
      </c>
      <c r="C439" s="10" t="s">
        <v>17</v>
      </c>
      <c r="D439" s="13" t="s">
        <v>26</v>
      </c>
      <c r="E439" s="13" t="s">
        <v>1</v>
      </c>
      <c r="F439" s="15">
        <v>46181.9697836458</v>
      </c>
      <c r="G439" s="4">
        <v>46181</v>
      </c>
      <c r="H439" s="1">
        <v>46184.558123229202</v>
      </c>
      <c r="I439" s="22">
        <v>46184</v>
      </c>
      <c r="J439" s="24">
        <f t="shared" si="84"/>
        <v>46184.331373901012</v>
      </c>
      <c r="K439" s="24">
        <f t="shared" si="85"/>
        <v>0.55812322920246515</v>
      </c>
      <c r="L439" s="29">
        <f t="shared" si="91"/>
        <v>46183</v>
      </c>
      <c r="M439" s="27" t="str">
        <f t="shared" si="86"/>
        <v>Health Deterioration/TPA Approval Delay</v>
      </c>
      <c r="N439" s="31">
        <f t="shared" si="87"/>
        <v>3</v>
      </c>
      <c r="O439" s="27"/>
      <c r="Q439" s="8">
        <v>0.73339204239304778</v>
      </c>
      <c r="R439" s="8" t="str">
        <f t="shared" si="88"/>
        <v>Critical Delay</v>
      </c>
      <c r="S439" s="33">
        <v>3.441983876602809</v>
      </c>
      <c r="T439" t="s">
        <v>31</v>
      </c>
      <c r="U439" s="3">
        <v>2</v>
      </c>
      <c r="V439" s="3" t="str">
        <f t="shared" si="92"/>
        <v>Normal</v>
      </c>
      <c r="W439" s="3" t="s">
        <v>50</v>
      </c>
      <c r="X439" s="32">
        <f t="shared" si="89"/>
        <v>0.22674932819063542</v>
      </c>
      <c r="Z439" s="38">
        <f t="shared" si="93"/>
        <v>0.10174932819063542</v>
      </c>
      <c r="AC439" s="36">
        <v>0.125</v>
      </c>
      <c r="AL439" t="str">
        <f t="shared" si="94"/>
        <v>Health Deterioration/TPA Approval Delay</v>
      </c>
      <c r="AM439" t="str">
        <f t="shared" si="95"/>
        <v>No</v>
      </c>
      <c r="AN439" t="str">
        <f t="shared" si="96"/>
        <v>Emergency</v>
      </c>
      <c r="AO439" t="str">
        <f t="shared" si="97"/>
        <v>General Ward</v>
      </c>
    </row>
    <row r="440" spans="1:41" x14ac:dyDescent="0.3">
      <c r="A440" s="21" t="str">
        <f t="shared" si="90"/>
        <v>UHID-00439</v>
      </c>
      <c r="B440" s="18">
        <v>20</v>
      </c>
      <c r="C440" s="10" t="s">
        <v>18</v>
      </c>
      <c r="D440" s="13" t="s">
        <v>27</v>
      </c>
      <c r="E440" s="13" t="s">
        <v>1</v>
      </c>
      <c r="F440" s="15">
        <v>46183.024290057903</v>
      </c>
      <c r="G440" s="4">
        <v>46183</v>
      </c>
      <c r="H440" s="1">
        <v>46184.693856145801</v>
      </c>
      <c r="I440" s="22">
        <v>46184</v>
      </c>
      <c r="J440" s="24">
        <f t="shared" si="84"/>
        <v>46184.614868748278</v>
      </c>
      <c r="K440" s="24">
        <f t="shared" si="85"/>
        <v>0.69385614580096444</v>
      </c>
      <c r="L440" s="29">
        <f t="shared" si="91"/>
        <v>46183</v>
      </c>
      <c r="M440" s="27" t="str">
        <f t="shared" si="86"/>
        <v>Normal</v>
      </c>
      <c r="N440" s="31">
        <f t="shared" si="87"/>
        <v>1</v>
      </c>
      <c r="O440" s="27"/>
      <c r="Q440" s="8">
        <v>0.49902859167810754</v>
      </c>
      <c r="R440" s="8" t="str">
        <f t="shared" si="88"/>
        <v>On Time</v>
      </c>
      <c r="S440" s="33">
        <v>1.8956975404772254</v>
      </c>
      <c r="T440" t="s">
        <v>31</v>
      </c>
      <c r="U440" s="3">
        <v>0</v>
      </c>
      <c r="V440" s="3" t="str">
        <f t="shared" si="92"/>
        <v>Normal</v>
      </c>
      <c r="W440" s="3" t="s">
        <v>51</v>
      </c>
      <c r="X440" s="32">
        <f t="shared" si="89"/>
        <v>7.8987397522723768E-2</v>
      </c>
      <c r="Z440" s="38">
        <f t="shared" si="93"/>
        <v>0</v>
      </c>
      <c r="AC440" s="36">
        <v>0.125</v>
      </c>
      <c r="AL440" t="str">
        <f t="shared" si="94"/>
        <v>Normal</v>
      </c>
      <c r="AM440" t="str">
        <f t="shared" si="95"/>
        <v>No</v>
      </c>
      <c r="AN440" t="str">
        <f t="shared" si="96"/>
        <v>Elective</v>
      </c>
      <c r="AO440" t="str">
        <f t="shared" si="97"/>
        <v>General Ward</v>
      </c>
    </row>
    <row r="441" spans="1:41" x14ac:dyDescent="0.3">
      <c r="A441" s="21" t="str">
        <f t="shared" si="90"/>
        <v>UHID-00440</v>
      </c>
      <c r="B441" s="18">
        <v>62</v>
      </c>
      <c r="C441" s="10" t="s">
        <v>18</v>
      </c>
      <c r="D441" s="13" t="s">
        <v>27</v>
      </c>
      <c r="E441" s="13" t="s">
        <v>1</v>
      </c>
      <c r="F441" s="15">
        <v>46177.359235555603</v>
      </c>
      <c r="G441" s="4">
        <v>46177</v>
      </c>
      <c r="H441" s="1">
        <v>46184.748735115703</v>
      </c>
      <c r="I441" s="22">
        <v>46184</v>
      </c>
      <c r="J441" s="24">
        <f t="shared" si="84"/>
        <v>46184.704743476083</v>
      </c>
      <c r="K441" s="24">
        <f t="shared" si="85"/>
        <v>0.74873511570331175</v>
      </c>
      <c r="L441" s="29">
        <f t="shared" si="91"/>
        <v>46183</v>
      </c>
      <c r="M441" s="27" t="str">
        <f t="shared" si="86"/>
        <v>Normal</v>
      </c>
      <c r="N441" s="31">
        <f t="shared" si="87"/>
        <v>7</v>
      </c>
      <c r="O441" s="27"/>
      <c r="Q441" s="8">
        <v>0.15850557193423109</v>
      </c>
      <c r="R441" s="8" t="str">
        <f t="shared" si="88"/>
        <v>On Time</v>
      </c>
      <c r="S441" s="33">
        <v>1.0557993509032424</v>
      </c>
      <c r="T441" t="s">
        <v>30</v>
      </c>
      <c r="U441" s="3">
        <v>0</v>
      </c>
      <c r="V441" s="3" t="str">
        <f t="shared" si="92"/>
        <v/>
      </c>
      <c r="W441" s="3" t="s">
        <v>51</v>
      </c>
      <c r="X441" s="32">
        <f t="shared" si="89"/>
        <v>4.3991639620799106E-2</v>
      </c>
      <c r="Z441" s="38">
        <f t="shared" si="93"/>
        <v>0</v>
      </c>
      <c r="AC441" s="36">
        <v>0.125</v>
      </c>
      <c r="AL441" t="str">
        <f t="shared" si="94"/>
        <v>Normal</v>
      </c>
      <c r="AM441" t="str">
        <f t="shared" si="95"/>
        <v>No</v>
      </c>
      <c r="AN441" t="str">
        <f t="shared" si="96"/>
        <v>Emergency</v>
      </c>
      <c r="AO441" t="str">
        <f t="shared" si="97"/>
        <v>ICU</v>
      </c>
    </row>
    <row r="442" spans="1:41" x14ac:dyDescent="0.3">
      <c r="A442" s="21" t="str">
        <f t="shared" si="90"/>
        <v>UHID-00441</v>
      </c>
      <c r="B442" s="18">
        <v>22</v>
      </c>
      <c r="C442" s="10" t="s">
        <v>18</v>
      </c>
      <c r="D442" s="13" t="s">
        <v>26</v>
      </c>
      <c r="E442" s="13" t="s">
        <v>1</v>
      </c>
      <c r="F442" s="15">
        <v>46180.479312719901</v>
      </c>
      <c r="G442" s="4">
        <v>46180</v>
      </c>
      <c r="H442" s="1">
        <v>46185.669529409701</v>
      </c>
      <c r="I442" s="22">
        <v>46185</v>
      </c>
      <c r="J442" s="24">
        <f t="shared" si="84"/>
        <v>46185.505217639708</v>
      </c>
      <c r="K442" s="24">
        <f t="shared" si="85"/>
        <v>0.66952940970077179</v>
      </c>
      <c r="L442" s="29">
        <f t="shared" si="91"/>
        <v>46184</v>
      </c>
      <c r="M442" s="27" t="str">
        <f t="shared" si="86"/>
        <v>TPA Approval Delay</v>
      </c>
      <c r="N442" s="31">
        <f t="shared" si="87"/>
        <v>5</v>
      </c>
      <c r="O442" s="27"/>
      <c r="Q442" s="8">
        <v>0.68130742769964225</v>
      </c>
      <c r="R442" s="8" t="str">
        <f t="shared" si="88"/>
        <v>Major Delay</v>
      </c>
      <c r="S442" s="33">
        <v>3.9434824798327837</v>
      </c>
      <c r="T442" t="s">
        <v>31</v>
      </c>
      <c r="U442" s="3">
        <v>0</v>
      </c>
      <c r="V442" s="3" t="str">
        <f t="shared" si="92"/>
        <v>Normal</v>
      </c>
      <c r="W442" s="3" t="s">
        <v>51</v>
      </c>
      <c r="X442" s="32">
        <f t="shared" si="89"/>
        <v>0.16431176999321906</v>
      </c>
      <c r="Z442" s="38">
        <f t="shared" si="93"/>
        <v>3.9311769993219059E-2</v>
      </c>
      <c r="AC442" s="36">
        <v>0.125</v>
      </c>
      <c r="AL442" t="str">
        <f t="shared" si="94"/>
        <v>TPA Approval Delay</v>
      </c>
      <c r="AM442" t="str">
        <f t="shared" si="95"/>
        <v>No</v>
      </c>
      <c r="AN442" t="str">
        <f t="shared" si="96"/>
        <v>Elective</v>
      </c>
      <c r="AO442" t="str">
        <f t="shared" si="97"/>
        <v>HDU</v>
      </c>
    </row>
    <row r="443" spans="1:41" x14ac:dyDescent="0.3">
      <c r="A443" s="21" t="str">
        <f t="shared" si="90"/>
        <v>UHID-00442</v>
      </c>
      <c r="B443" s="18">
        <v>56</v>
      </c>
      <c r="C443" s="10" t="s">
        <v>18</v>
      </c>
      <c r="D443" s="13" t="s">
        <v>26</v>
      </c>
      <c r="E443" s="13" t="s">
        <v>1</v>
      </c>
      <c r="F443" s="15">
        <v>46182.734311713</v>
      </c>
      <c r="G443" s="4">
        <v>46182</v>
      </c>
      <c r="H443" s="1">
        <v>46185.562537407401</v>
      </c>
      <c r="I443" s="22">
        <v>46185</v>
      </c>
      <c r="J443" s="24">
        <f t="shared" si="84"/>
        <v>46185.435733518942</v>
      </c>
      <c r="K443" s="24">
        <f t="shared" si="85"/>
        <v>0.5625374074006686</v>
      </c>
      <c r="L443" s="29">
        <f t="shared" si="91"/>
        <v>46184</v>
      </c>
      <c r="M443" s="27" t="str">
        <f t="shared" si="86"/>
        <v>TPA Approval Delay</v>
      </c>
      <c r="N443" s="31">
        <f t="shared" si="87"/>
        <v>3</v>
      </c>
      <c r="O443" s="27"/>
      <c r="Q443" s="8">
        <v>0.72833652259543635</v>
      </c>
      <c r="R443" s="8" t="str">
        <f t="shared" si="88"/>
        <v>Major Delay</v>
      </c>
      <c r="S443" s="33">
        <v>3.0432933229559573</v>
      </c>
      <c r="T443" t="s">
        <v>31</v>
      </c>
      <c r="U443" s="3">
        <v>0</v>
      </c>
      <c r="V443" s="3" t="str">
        <f t="shared" si="92"/>
        <v>Normal</v>
      </c>
      <c r="W443" s="3" t="s">
        <v>51</v>
      </c>
      <c r="X443" s="32">
        <f t="shared" si="89"/>
        <v>0.12680388845910784</v>
      </c>
      <c r="Z443" s="38">
        <f t="shared" si="93"/>
        <v>1.8038884591078386E-3</v>
      </c>
      <c r="AC443" s="36">
        <v>0.125</v>
      </c>
      <c r="AL443" t="str">
        <f t="shared" si="94"/>
        <v>TPA Approval Delay</v>
      </c>
      <c r="AM443" t="str">
        <f t="shared" si="95"/>
        <v>No</v>
      </c>
      <c r="AN443" t="str">
        <f t="shared" si="96"/>
        <v>Elective</v>
      </c>
      <c r="AO443" t="str">
        <f t="shared" si="97"/>
        <v>General Ward</v>
      </c>
    </row>
    <row r="444" spans="1:41" x14ac:dyDescent="0.3">
      <c r="A444" s="21" t="str">
        <f t="shared" si="90"/>
        <v>UHID-00443</v>
      </c>
      <c r="B444" s="18">
        <v>67</v>
      </c>
      <c r="C444" s="10" t="s">
        <v>18</v>
      </c>
      <c r="D444" s="13" t="s">
        <v>27</v>
      </c>
      <c r="E444" s="13" t="s">
        <v>1</v>
      </c>
      <c r="F444" s="15">
        <v>46181.0556655787</v>
      </c>
      <c r="G444" s="4">
        <v>46181</v>
      </c>
      <c r="H444" s="1">
        <v>46185.508468275497</v>
      </c>
      <c r="I444" s="22">
        <v>46185</v>
      </c>
      <c r="J444" s="24">
        <f t="shared" si="84"/>
        <v>46185.448302007891</v>
      </c>
      <c r="K444" s="24">
        <f t="shared" si="85"/>
        <v>0.50846827549685258</v>
      </c>
      <c r="L444" s="29">
        <f t="shared" si="91"/>
        <v>46184</v>
      </c>
      <c r="M444" s="27" t="str">
        <f t="shared" si="86"/>
        <v>Normal</v>
      </c>
      <c r="N444" s="31">
        <f t="shared" si="87"/>
        <v>4</v>
      </c>
      <c r="O444" s="27"/>
      <c r="Q444" s="8">
        <v>0.13578506369909826</v>
      </c>
      <c r="R444" s="8" t="str">
        <f t="shared" si="88"/>
        <v>On Time</v>
      </c>
      <c r="S444" s="33">
        <v>1.4439904226156353</v>
      </c>
      <c r="T444" t="s">
        <v>30</v>
      </c>
      <c r="U444" s="3">
        <v>0</v>
      </c>
      <c r="V444" s="3" t="str">
        <f t="shared" si="92"/>
        <v/>
      </c>
      <c r="W444" s="3" t="s">
        <v>51</v>
      </c>
      <c r="X444" s="32">
        <f t="shared" si="89"/>
        <v>6.0166267605382018E-2</v>
      </c>
      <c r="Z444" s="38">
        <f t="shared" si="93"/>
        <v>0</v>
      </c>
      <c r="AC444" s="36">
        <v>0.125</v>
      </c>
      <c r="AL444" t="str">
        <f t="shared" si="94"/>
        <v>Normal</v>
      </c>
      <c r="AM444" t="str">
        <f t="shared" si="95"/>
        <v>No</v>
      </c>
      <c r="AN444" t="str">
        <f t="shared" si="96"/>
        <v>Elective</v>
      </c>
      <c r="AO444" t="str">
        <f t="shared" si="97"/>
        <v>HDU</v>
      </c>
    </row>
    <row r="445" spans="1:41" x14ac:dyDescent="0.3">
      <c r="A445" s="21" t="str">
        <f t="shared" si="90"/>
        <v>UHID-00444</v>
      </c>
      <c r="B445" s="18">
        <v>59</v>
      </c>
      <c r="C445" s="10" t="s">
        <v>18</v>
      </c>
      <c r="D445" s="13" t="s">
        <v>28</v>
      </c>
      <c r="E445" s="13" t="s">
        <v>1</v>
      </c>
      <c r="F445" s="15">
        <v>46179.535074178202</v>
      </c>
      <c r="G445" s="4">
        <v>46179</v>
      </c>
      <c r="H445" s="1">
        <v>46185.582800682903</v>
      </c>
      <c r="I445" s="22">
        <v>46185</v>
      </c>
      <c r="J445" s="24">
        <f t="shared" si="84"/>
        <v>46185.473218977648</v>
      </c>
      <c r="K445" s="24">
        <f t="shared" si="85"/>
        <v>0.58280068290332565</v>
      </c>
      <c r="L445" s="29">
        <f t="shared" si="91"/>
        <v>46184</v>
      </c>
      <c r="M445" s="27" t="str">
        <f t="shared" si="86"/>
        <v>Doctor Round Delay/Report Delay</v>
      </c>
      <c r="N445" s="31">
        <f t="shared" si="87"/>
        <v>6</v>
      </c>
      <c r="O445" s="27"/>
      <c r="Q445" s="8">
        <v>0.90651069611959867</v>
      </c>
      <c r="R445" s="8" t="str">
        <f t="shared" si="88"/>
        <v>Minor Delay</v>
      </c>
      <c r="S445" s="33">
        <v>2.6299609261273282</v>
      </c>
      <c r="T445" t="s">
        <v>31</v>
      </c>
      <c r="U445" s="3">
        <v>0</v>
      </c>
      <c r="V445" s="3" t="str">
        <f t="shared" si="92"/>
        <v>Normal</v>
      </c>
      <c r="W445" s="3" t="s">
        <v>51</v>
      </c>
      <c r="X445" s="32">
        <f t="shared" si="89"/>
        <v>0.10958170525555033</v>
      </c>
      <c r="Z445" s="38">
        <f t="shared" si="93"/>
        <v>0</v>
      </c>
      <c r="AC445" s="36">
        <v>0.125</v>
      </c>
      <c r="AL445" t="str">
        <f t="shared" si="94"/>
        <v>Doctor Round Delay/Report Delay</v>
      </c>
      <c r="AM445" t="str">
        <f t="shared" si="95"/>
        <v>No</v>
      </c>
      <c r="AN445" t="str">
        <f t="shared" si="96"/>
        <v>Emergency</v>
      </c>
      <c r="AO445" t="str">
        <f t="shared" si="97"/>
        <v>HDU</v>
      </c>
    </row>
    <row r="446" spans="1:41" x14ac:dyDescent="0.3">
      <c r="A446" s="21" t="str">
        <f t="shared" si="90"/>
        <v>UHID-00445</v>
      </c>
      <c r="B446" s="18">
        <v>38</v>
      </c>
      <c r="C446" s="10" t="s">
        <v>18</v>
      </c>
      <c r="D446" s="13" t="s">
        <v>28</v>
      </c>
      <c r="E446" s="13" t="s">
        <v>1</v>
      </c>
      <c r="F446" s="15">
        <v>46183.822669085603</v>
      </c>
      <c r="G446" s="4">
        <v>46183</v>
      </c>
      <c r="H446" s="1">
        <v>46185.6343668634</v>
      </c>
      <c r="I446" s="22">
        <v>46185</v>
      </c>
      <c r="J446" s="24">
        <f t="shared" si="84"/>
        <v>46185.393993305472</v>
      </c>
      <c r="K446" s="24">
        <f t="shared" si="85"/>
        <v>0.63436686339991866</v>
      </c>
      <c r="L446" s="29">
        <f t="shared" si="91"/>
        <v>46184</v>
      </c>
      <c r="M446" s="27" t="str">
        <f t="shared" si="86"/>
        <v>Health Deterioration</v>
      </c>
      <c r="N446" s="31">
        <f t="shared" si="87"/>
        <v>2</v>
      </c>
      <c r="O446" s="27"/>
      <c r="Q446" s="8">
        <v>0.87912587321800328</v>
      </c>
      <c r="R446" s="8" t="str">
        <f t="shared" si="88"/>
        <v>Critical Delay</v>
      </c>
      <c r="S446" s="33">
        <v>2.7689653902096141</v>
      </c>
      <c r="T446" t="s">
        <v>31</v>
      </c>
      <c r="U446" s="3">
        <v>3</v>
      </c>
      <c r="V446" s="3" t="str">
        <f t="shared" si="92"/>
        <v>Normal</v>
      </c>
      <c r="W446" s="3" t="s">
        <v>50</v>
      </c>
      <c r="X446" s="32">
        <f t="shared" si="89"/>
        <v>0.2403735579282511</v>
      </c>
      <c r="Z446" s="38">
        <f t="shared" si="93"/>
        <v>0.1153735579282511</v>
      </c>
      <c r="AC446" s="36">
        <v>0.125</v>
      </c>
      <c r="AL446" t="str">
        <f t="shared" si="94"/>
        <v>Health Deterioration</v>
      </c>
      <c r="AM446" t="str">
        <f t="shared" si="95"/>
        <v>No</v>
      </c>
      <c r="AN446" t="str">
        <f t="shared" si="96"/>
        <v>Emergency</v>
      </c>
      <c r="AO446" t="str">
        <f t="shared" si="97"/>
        <v>General Ward</v>
      </c>
    </row>
    <row r="447" spans="1:41" x14ac:dyDescent="0.3">
      <c r="A447" s="21" t="str">
        <f t="shared" si="90"/>
        <v>UHID-00446</v>
      </c>
      <c r="B447" s="18">
        <v>69</v>
      </c>
      <c r="C447" s="10" t="s">
        <v>18</v>
      </c>
      <c r="D447" s="13" t="s">
        <v>27</v>
      </c>
      <c r="E447" s="13" t="s">
        <v>1</v>
      </c>
      <c r="F447" s="15">
        <v>46172.901402280098</v>
      </c>
      <c r="G447" s="4">
        <v>46172</v>
      </c>
      <c r="H447" s="1">
        <v>46186.603837199102</v>
      </c>
      <c r="I447" s="22">
        <v>46186</v>
      </c>
      <c r="J447" s="24">
        <f t="shared" si="84"/>
        <v>46186.522996500593</v>
      </c>
      <c r="K447" s="24">
        <f t="shared" si="85"/>
        <v>0.6038371991016902</v>
      </c>
      <c r="L447" s="29">
        <f t="shared" si="91"/>
        <v>46185</v>
      </c>
      <c r="M447" s="27" t="str">
        <f t="shared" si="86"/>
        <v>Normal</v>
      </c>
      <c r="N447" s="31">
        <f t="shared" si="87"/>
        <v>14</v>
      </c>
      <c r="O447" s="27"/>
      <c r="Q447" s="8">
        <v>0.2151501367766151</v>
      </c>
      <c r="R447" s="8" t="str">
        <f t="shared" si="88"/>
        <v>On Time</v>
      </c>
      <c r="S447" s="33">
        <v>1.9401767641893195</v>
      </c>
      <c r="T447" t="s">
        <v>30</v>
      </c>
      <c r="U447" s="3">
        <v>0</v>
      </c>
      <c r="V447" s="3" t="str">
        <f t="shared" si="92"/>
        <v/>
      </c>
      <c r="W447" s="3" t="s">
        <v>51</v>
      </c>
      <c r="X447" s="32">
        <f t="shared" si="89"/>
        <v>8.0840698508836795E-2</v>
      </c>
      <c r="Z447" s="38">
        <f t="shared" si="93"/>
        <v>0</v>
      </c>
      <c r="AC447" s="36">
        <v>0.125</v>
      </c>
      <c r="AL447" t="str">
        <f t="shared" si="94"/>
        <v>Normal</v>
      </c>
      <c r="AM447" t="str">
        <f t="shared" si="95"/>
        <v>Yes</v>
      </c>
      <c r="AN447" t="str">
        <f t="shared" si="96"/>
        <v>Emergency</v>
      </c>
      <c r="AO447" t="str">
        <f t="shared" si="97"/>
        <v>ICU</v>
      </c>
    </row>
    <row r="448" spans="1:41" x14ac:dyDescent="0.3">
      <c r="A448" s="21" t="str">
        <f t="shared" si="90"/>
        <v>UHID-00447</v>
      </c>
      <c r="B448" s="18">
        <v>44</v>
      </c>
      <c r="C448" s="10" t="s">
        <v>18</v>
      </c>
      <c r="D448" s="13" t="s">
        <v>27</v>
      </c>
      <c r="E448" s="13" t="s">
        <v>1</v>
      </c>
      <c r="F448" s="15">
        <v>46184.897703958297</v>
      </c>
      <c r="G448" s="4">
        <v>46184</v>
      </c>
      <c r="H448" s="1">
        <v>46186.724359918997</v>
      </c>
      <c r="I448" s="22">
        <v>46186</v>
      </c>
      <c r="J448" s="24">
        <f t="shared" si="84"/>
        <v>46186.658092360354</v>
      </c>
      <c r="K448" s="24">
        <f t="shared" si="85"/>
        <v>0.72435991899692453</v>
      </c>
      <c r="L448" s="29">
        <f t="shared" si="91"/>
        <v>46185</v>
      </c>
      <c r="M448" s="27" t="str">
        <f t="shared" si="86"/>
        <v>Normal</v>
      </c>
      <c r="N448" s="31">
        <f t="shared" si="87"/>
        <v>2</v>
      </c>
      <c r="O448" s="27"/>
      <c r="Q448" s="8">
        <v>0.21743982994609645</v>
      </c>
      <c r="R448" s="8" t="str">
        <f t="shared" si="88"/>
        <v>On Time</v>
      </c>
      <c r="S448" s="33">
        <v>1.5904214073487311</v>
      </c>
      <c r="T448" t="s">
        <v>30</v>
      </c>
      <c r="U448" s="3">
        <v>0</v>
      </c>
      <c r="V448" s="3" t="str">
        <f t="shared" si="92"/>
        <v/>
      </c>
      <c r="W448" s="3" t="s">
        <v>51</v>
      </c>
      <c r="X448" s="32">
        <f t="shared" si="89"/>
        <v>6.6267558642721269E-2</v>
      </c>
      <c r="Z448" s="38">
        <f t="shared" si="93"/>
        <v>0</v>
      </c>
      <c r="AC448" s="36">
        <v>0.125</v>
      </c>
      <c r="AL448" t="str">
        <f t="shared" si="94"/>
        <v>Normal</v>
      </c>
      <c r="AM448" t="str">
        <f t="shared" si="95"/>
        <v>No</v>
      </c>
      <c r="AN448" t="str">
        <f t="shared" si="96"/>
        <v>Elective</v>
      </c>
      <c r="AO448" t="str">
        <f t="shared" si="97"/>
        <v>General Ward</v>
      </c>
    </row>
    <row r="449" spans="1:41" x14ac:dyDescent="0.3">
      <c r="A449" s="21" t="str">
        <f t="shared" si="90"/>
        <v>UHID-00448</v>
      </c>
      <c r="B449" s="18">
        <v>41</v>
      </c>
      <c r="C449" s="10" t="s">
        <v>18</v>
      </c>
      <c r="D449" s="13" t="s">
        <v>27</v>
      </c>
      <c r="E449" s="13" t="s">
        <v>1</v>
      </c>
      <c r="F449" s="15">
        <v>46183.157000659703</v>
      </c>
      <c r="G449" s="4">
        <v>46183</v>
      </c>
      <c r="H449" s="1">
        <v>46186.6368337616</v>
      </c>
      <c r="I449" s="22">
        <v>46186</v>
      </c>
      <c r="J449" s="24">
        <f t="shared" si="84"/>
        <v>46186.503189805022</v>
      </c>
      <c r="K449" s="24">
        <f t="shared" si="85"/>
        <v>0.63683376160042826</v>
      </c>
      <c r="L449" s="29">
        <f t="shared" si="91"/>
        <v>46185</v>
      </c>
      <c r="M449" s="27" t="str">
        <f t="shared" si="86"/>
        <v>Medication Change</v>
      </c>
      <c r="N449" s="31">
        <f t="shared" si="87"/>
        <v>3</v>
      </c>
      <c r="O449" s="27"/>
      <c r="Q449" s="8">
        <v>0.45090750634257626</v>
      </c>
      <c r="R449" s="8" t="str">
        <f t="shared" si="88"/>
        <v>Major Delay</v>
      </c>
      <c r="S449" s="33">
        <v>1.2074549578592313</v>
      </c>
      <c r="T449" t="s">
        <v>31</v>
      </c>
      <c r="U449" s="3">
        <v>2</v>
      </c>
      <c r="V449" s="3" t="str">
        <f t="shared" si="92"/>
        <v>Normal</v>
      </c>
      <c r="W449" s="3" t="s">
        <v>50</v>
      </c>
      <c r="X449" s="32">
        <f t="shared" si="89"/>
        <v>0.13364395657845307</v>
      </c>
      <c r="Z449" s="38">
        <f t="shared" si="93"/>
        <v>8.6439565784530714E-3</v>
      </c>
      <c r="AC449" s="36">
        <v>0.125</v>
      </c>
      <c r="AL449" t="str">
        <f t="shared" si="94"/>
        <v>Medication Change</v>
      </c>
      <c r="AM449" t="str">
        <f t="shared" si="95"/>
        <v>No</v>
      </c>
      <c r="AN449" t="str">
        <f t="shared" si="96"/>
        <v>Elective</v>
      </c>
      <c r="AO449" t="str">
        <f t="shared" si="97"/>
        <v>General Ward</v>
      </c>
    </row>
    <row r="450" spans="1:41" x14ac:dyDescent="0.3">
      <c r="A450" s="21" t="str">
        <f t="shared" si="90"/>
        <v>UHID-00449</v>
      </c>
      <c r="B450" s="18">
        <v>86</v>
      </c>
      <c r="C450" s="10" t="s">
        <v>18</v>
      </c>
      <c r="D450" s="13" t="s">
        <v>26</v>
      </c>
      <c r="E450" s="13" t="s">
        <v>1</v>
      </c>
      <c r="F450" s="15">
        <v>46176.826897951403</v>
      </c>
      <c r="G450" s="4">
        <v>46176</v>
      </c>
      <c r="H450" s="1">
        <v>46186.511111111096</v>
      </c>
      <c r="I450" s="22">
        <v>46186</v>
      </c>
      <c r="J450" s="24">
        <f t="shared" ref="J450:J513" si="98">I450+K450-((S450+U450)/24)</f>
        <v>46186.20480572377</v>
      </c>
      <c r="K450" s="24">
        <f t="shared" ref="K450:K513" si="99">MOD(H450,1)</f>
        <v>0.51111111109639751</v>
      </c>
      <c r="L450" s="29">
        <f t="shared" si="91"/>
        <v>46185</v>
      </c>
      <c r="M450" s="27" t="str">
        <f t="shared" ref="M450:M513" si="100">IF(X450="","",IF(X450&lt;=TIME(2,0,0),"Normal",IF(X450&lt;=TIME(3,0,0),IF(D450="CASH","Bill Settlement Delay","Doctor Round Delay/Report Delay"),IF(X450&lt;=TIME(5,0,0),IF(D450="TPA","TPA Approval Delay","Medication Change"),IF(D450="TPA","Health Deterioration/TPA Approval Delay","Health Deterioration")))))</f>
        <v>Health Deterioration/TPA Approval Delay</v>
      </c>
      <c r="N450" s="31">
        <f t="shared" ref="N450:N513" si="101">I450-G450</f>
        <v>10</v>
      </c>
      <c r="O450" s="27"/>
      <c r="Q450" s="8">
        <v>0.63684167403388126</v>
      </c>
      <c r="R450" s="8" t="str">
        <f t="shared" ref="R450:R513" si="102">IF(X450="","",IF(X450&lt;=TIME(2,0,0),"On Time",IF(X450&lt;=TIME(3,0,0),"Minor Delay",IF(X450&lt;=TIME(5,0,0),"Major Delay","Critical Delay"))))</f>
        <v>Critical Delay</v>
      </c>
      <c r="S450" s="33">
        <v>3.3513292958965764</v>
      </c>
      <c r="T450" t="s">
        <v>31</v>
      </c>
      <c r="U450" s="3">
        <v>4</v>
      </c>
      <c r="V450" s="3" t="str">
        <f t="shared" si="92"/>
        <v>Normal</v>
      </c>
      <c r="W450" s="3" t="s">
        <v>50</v>
      </c>
      <c r="X450" s="32">
        <f t="shared" ref="X450:X513" si="103">MOD(K450-J450,1)</f>
        <v>0.30630538732657442</v>
      </c>
      <c r="Z450" s="38">
        <f t="shared" si="93"/>
        <v>0.18130538732657442</v>
      </c>
      <c r="AC450" s="36">
        <v>0.125</v>
      </c>
      <c r="AL450" t="str">
        <f t="shared" si="94"/>
        <v>Health Deterioration/TPA Approval Delay</v>
      </c>
      <c r="AM450" t="str">
        <f t="shared" si="95"/>
        <v>Yes</v>
      </c>
      <c r="AN450" t="str">
        <f t="shared" si="96"/>
        <v>Emergency</v>
      </c>
      <c r="AO450" t="str">
        <f t="shared" si="97"/>
        <v>ICU</v>
      </c>
    </row>
    <row r="451" spans="1:41" x14ac:dyDescent="0.3">
      <c r="A451" s="21" t="str">
        <f t="shared" ref="A451:A514" si="104">"UHID-"&amp;TEXT(ROW(A451)-1,"00000")</f>
        <v>UHID-00450</v>
      </c>
      <c r="B451" s="18">
        <v>64</v>
      </c>
      <c r="C451" s="10" t="s">
        <v>17</v>
      </c>
      <c r="D451" s="13" t="s">
        <v>26</v>
      </c>
      <c r="E451" s="13" t="s">
        <v>1</v>
      </c>
      <c r="F451" s="15">
        <v>46183.440828749997</v>
      </c>
      <c r="G451" s="4">
        <v>46183</v>
      </c>
      <c r="H451" s="1">
        <v>46187.622943101902</v>
      </c>
      <c r="I451" s="22">
        <v>46187</v>
      </c>
      <c r="J451" s="24">
        <f t="shared" si="98"/>
        <v>46187.391683162052</v>
      </c>
      <c r="K451" s="24">
        <f t="shared" si="99"/>
        <v>0.62294310190191027</v>
      </c>
      <c r="L451" s="29">
        <f t="shared" ref="L451:L514" si="105">IF(J451&gt;MOD(H451,1),INT(H451)-1,INT(H451))</f>
        <v>46186</v>
      </c>
      <c r="M451" s="27" t="str">
        <f t="shared" si="100"/>
        <v>Health Deterioration/TPA Approval Delay</v>
      </c>
      <c r="N451" s="31">
        <f t="shared" si="101"/>
        <v>4</v>
      </c>
      <c r="O451" s="27"/>
      <c r="Q451" s="8">
        <v>0.69920817541255254</v>
      </c>
      <c r="R451" s="8" t="str">
        <f t="shared" si="102"/>
        <v>Critical Delay</v>
      </c>
      <c r="S451" s="33">
        <v>3.5502385563222139</v>
      </c>
      <c r="T451" t="s">
        <v>31</v>
      </c>
      <c r="U451" s="3">
        <v>2</v>
      </c>
      <c r="V451" s="3" t="str">
        <f t="shared" ref="V451:V514" si="106">IF(T451="NO","Normal","")</f>
        <v>Normal</v>
      </c>
      <c r="W451" s="3" t="s">
        <v>50</v>
      </c>
      <c r="X451" s="32">
        <f t="shared" si="103"/>
        <v>0.23125993985013338</v>
      </c>
      <c r="Z451" s="38">
        <f t="shared" ref="Z451:Z514" si="107">IF(X451 &gt; TIME(3,0,0), X451 - TIME(3,0,0), 0)</f>
        <v>0.10625993985013338</v>
      </c>
      <c r="AC451" s="36">
        <v>0.125</v>
      </c>
      <c r="AL451" t="str">
        <f t="shared" ref="AL451:AL514" si="108">IF(X451="","",IF(X451&lt;=TIME(2,0,0),"Normal",IF(X451&lt;=TIME(3,0,0),IF(D451="CASH","Bill Settlement Delay","Doctor Round Delay/Report Delay"),IF(Z451&lt;=TIME(2,0,0),IF(D451="TPA","TPA Approval Delay","Medication Change"),IF(D451="TPA","Health Deterioration/TPA Approval Delay","Health Deterioration")))))</f>
        <v>Health Deterioration/TPA Approval Delay</v>
      </c>
      <c r="AM451" t="str">
        <f t="shared" ref="AM451:AM514" si="109">IF(OR(AND(B451&gt;65, R451="Critical Delay"), N451&gt;10), "Yes", "No")</f>
        <v>No</v>
      </c>
      <c r="AN451" t="str">
        <f t="shared" ref="AN451:AN514" si="110">IF(E451="Cardiology &amp; Cardiothoracic", IF(MOD(ROW(),10)&lt;3, "Emergency", "Elective"), IF(E451="Neurology &amp; Neurosurgery", IF(MOD(ROW(),10)&lt;4, "Emergency", "Elective"), IF(D451="COR", IF(MOD(ROW(),20)&lt;7, "Emergency", "Elective"), IF(OR(R451="Critical Delay", N451&gt;=7), "Emergency", "Elective"))))</f>
        <v>Emergency</v>
      </c>
      <c r="AO451" t="str">
        <f t="shared" ref="AO451:AO514" si="111">IF(OR(N451&gt;6, AND(E451="Cardiology &amp; Cardiothoracic", MOD(ROW(),10)&lt;4), AND(E451="Neurology &amp; Neurosurgery", MOD(ROW(),10)&lt;6)), "ICU", IF(OR(N451&gt;3, AND(E451="Cardiology &amp; Cardiothoracic", MOD(ROW(),10)&lt;6), E451="Neurology &amp; Neurosurgery"), "HDU", "General Ward"))</f>
        <v>HDU</v>
      </c>
    </row>
    <row r="452" spans="1:41" x14ac:dyDescent="0.3">
      <c r="A452" s="21" t="str">
        <f t="shared" si="104"/>
        <v>UHID-00451</v>
      </c>
      <c r="B452" s="18">
        <v>70</v>
      </c>
      <c r="C452" s="10" t="s">
        <v>17</v>
      </c>
      <c r="D452" s="13" t="s">
        <v>27</v>
      </c>
      <c r="E452" s="13" t="s">
        <v>1</v>
      </c>
      <c r="F452" s="15">
        <v>46181.640100393503</v>
      </c>
      <c r="G452" s="4">
        <v>46181</v>
      </c>
      <c r="H452" s="1">
        <v>46187.5455042014</v>
      </c>
      <c r="I452" s="22">
        <v>46187</v>
      </c>
      <c r="J452" s="24">
        <f t="shared" si="98"/>
        <v>46187.492286450964</v>
      </c>
      <c r="K452" s="24">
        <f t="shared" si="99"/>
        <v>0.54550420140003553</v>
      </c>
      <c r="L452" s="29">
        <f t="shared" si="105"/>
        <v>46186</v>
      </c>
      <c r="M452" s="27" t="str">
        <f t="shared" si="100"/>
        <v>Normal</v>
      </c>
      <c r="N452" s="31">
        <f t="shared" si="101"/>
        <v>6</v>
      </c>
      <c r="O452" s="27"/>
      <c r="Q452" s="8">
        <v>3.2350203133754474E-2</v>
      </c>
      <c r="R452" s="8" t="str">
        <f t="shared" si="102"/>
        <v>On Time</v>
      </c>
      <c r="S452" s="33">
        <v>1.2772260104476212</v>
      </c>
      <c r="T452" t="s">
        <v>30</v>
      </c>
      <c r="U452" s="3">
        <v>0</v>
      </c>
      <c r="V452" s="3" t="str">
        <f t="shared" si="106"/>
        <v/>
      </c>
      <c r="W452" s="3" t="s">
        <v>51</v>
      </c>
      <c r="X452" s="32">
        <f t="shared" si="103"/>
        <v>5.3217750435578637E-2</v>
      </c>
      <c r="Z452" s="38">
        <f t="shared" si="107"/>
        <v>0</v>
      </c>
      <c r="AC452" s="36">
        <v>0.125</v>
      </c>
      <c r="AL452" t="str">
        <f t="shared" si="108"/>
        <v>Normal</v>
      </c>
      <c r="AM452" t="str">
        <f t="shared" si="109"/>
        <v>No</v>
      </c>
      <c r="AN452" t="str">
        <f t="shared" si="110"/>
        <v>Elective</v>
      </c>
      <c r="AO452" t="str">
        <f t="shared" si="111"/>
        <v>HDU</v>
      </c>
    </row>
    <row r="453" spans="1:41" x14ac:dyDescent="0.3">
      <c r="A453" s="21" t="str">
        <f t="shared" si="104"/>
        <v>UHID-00452</v>
      </c>
      <c r="B453" s="18">
        <v>82</v>
      </c>
      <c r="C453" s="10" t="s">
        <v>18</v>
      </c>
      <c r="D453" s="13" t="s">
        <v>26</v>
      </c>
      <c r="E453" s="13" t="s">
        <v>1</v>
      </c>
      <c r="F453" s="15">
        <v>46184.682327604198</v>
      </c>
      <c r="G453" s="4">
        <v>46184</v>
      </c>
      <c r="H453" s="1">
        <v>46187.568859838</v>
      </c>
      <c r="I453" s="22">
        <v>46187</v>
      </c>
      <c r="J453" s="24">
        <f t="shared" si="98"/>
        <v>46187.43314224112</v>
      </c>
      <c r="K453" s="24">
        <f t="shared" si="99"/>
        <v>0.56885983800020767</v>
      </c>
      <c r="L453" s="29">
        <f t="shared" si="105"/>
        <v>46186</v>
      </c>
      <c r="M453" s="27" t="str">
        <f t="shared" si="100"/>
        <v>TPA Approval Delay</v>
      </c>
      <c r="N453" s="31">
        <f t="shared" si="101"/>
        <v>3</v>
      </c>
      <c r="O453" s="27"/>
      <c r="Q453" s="8">
        <v>0.68300643512912695</v>
      </c>
      <c r="R453" s="8" t="str">
        <f t="shared" si="102"/>
        <v>Major Delay</v>
      </c>
      <c r="S453" s="33">
        <v>3.2572223251498444</v>
      </c>
      <c r="T453" t="s">
        <v>31</v>
      </c>
      <c r="U453" s="3">
        <v>0</v>
      </c>
      <c r="V453" s="3" t="str">
        <f t="shared" si="106"/>
        <v>Normal</v>
      </c>
      <c r="W453" s="3" t="s">
        <v>51</v>
      </c>
      <c r="X453" s="32">
        <f t="shared" si="103"/>
        <v>0.13571759688056773</v>
      </c>
      <c r="Z453" s="38">
        <f t="shared" si="107"/>
        <v>1.0717596880567726E-2</v>
      </c>
      <c r="AC453" s="36">
        <v>0.125</v>
      </c>
      <c r="AL453" t="str">
        <f t="shared" si="108"/>
        <v>TPA Approval Delay</v>
      </c>
      <c r="AM453" t="str">
        <f t="shared" si="109"/>
        <v>No</v>
      </c>
      <c r="AN453" t="str">
        <f t="shared" si="110"/>
        <v>Elective</v>
      </c>
      <c r="AO453" t="str">
        <f t="shared" si="111"/>
        <v>General Ward</v>
      </c>
    </row>
    <row r="454" spans="1:41" x14ac:dyDescent="0.3">
      <c r="A454" s="21" t="str">
        <f t="shared" si="104"/>
        <v>UHID-00453</v>
      </c>
      <c r="B454" s="18">
        <v>75</v>
      </c>
      <c r="C454" s="10" t="s">
        <v>18</v>
      </c>
      <c r="D454" s="13" t="s">
        <v>26</v>
      </c>
      <c r="E454" s="13" t="s">
        <v>1</v>
      </c>
      <c r="F454" s="15">
        <v>46175.835841423599</v>
      </c>
      <c r="G454" s="4">
        <v>46175</v>
      </c>
      <c r="H454" s="1">
        <v>46187.609085173601</v>
      </c>
      <c r="I454" s="22">
        <v>46187</v>
      </c>
      <c r="J454" s="24">
        <f t="shared" si="98"/>
        <v>46187.472137814861</v>
      </c>
      <c r="K454" s="24">
        <f t="shared" si="99"/>
        <v>0.60908517360076075</v>
      </c>
      <c r="L454" s="29">
        <f t="shared" si="105"/>
        <v>46186</v>
      </c>
      <c r="M454" s="27" t="str">
        <f t="shared" si="100"/>
        <v>TPA Approval Delay</v>
      </c>
      <c r="N454" s="31">
        <f t="shared" si="101"/>
        <v>12</v>
      </c>
      <c r="O454" s="27"/>
      <c r="Q454" s="8">
        <v>0.51894011331358214</v>
      </c>
      <c r="R454" s="8" t="str">
        <f t="shared" si="102"/>
        <v>Major Delay</v>
      </c>
      <c r="S454" s="33">
        <v>3.2867366098104225</v>
      </c>
      <c r="T454" t="s">
        <v>31</v>
      </c>
      <c r="U454" s="3">
        <v>0</v>
      </c>
      <c r="V454" s="3" t="str">
        <f t="shared" si="106"/>
        <v>Normal</v>
      </c>
      <c r="W454" s="3" t="s">
        <v>51</v>
      </c>
      <c r="X454" s="32">
        <f t="shared" si="103"/>
        <v>0.13694735874014441</v>
      </c>
      <c r="Z454" s="38">
        <f t="shared" si="107"/>
        <v>1.1947358740144409E-2</v>
      </c>
      <c r="AC454" s="36">
        <v>0.125</v>
      </c>
      <c r="AL454" t="str">
        <f t="shared" si="108"/>
        <v>TPA Approval Delay</v>
      </c>
      <c r="AM454" t="str">
        <f t="shared" si="109"/>
        <v>Yes</v>
      </c>
      <c r="AN454" t="str">
        <f t="shared" si="110"/>
        <v>Emergency</v>
      </c>
      <c r="AO454" t="str">
        <f t="shared" si="111"/>
        <v>ICU</v>
      </c>
    </row>
    <row r="455" spans="1:41" x14ac:dyDescent="0.3">
      <c r="A455" s="21" t="str">
        <f t="shared" si="104"/>
        <v>UHID-00454</v>
      </c>
      <c r="B455" s="18">
        <v>70</v>
      </c>
      <c r="C455" s="10" t="s">
        <v>18</v>
      </c>
      <c r="D455" s="13" t="s">
        <v>27</v>
      </c>
      <c r="E455" s="13" t="s">
        <v>1</v>
      </c>
      <c r="F455" s="15">
        <v>46177.909013206001</v>
      </c>
      <c r="G455" s="4">
        <v>46177</v>
      </c>
      <c r="H455" s="1">
        <v>46187.6014714005</v>
      </c>
      <c r="I455" s="22">
        <v>46187</v>
      </c>
      <c r="J455" s="24">
        <f t="shared" si="98"/>
        <v>46187.542180732133</v>
      </c>
      <c r="K455" s="24">
        <f t="shared" si="99"/>
        <v>0.6014714004995767</v>
      </c>
      <c r="L455" s="29">
        <f t="shared" si="105"/>
        <v>46186</v>
      </c>
      <c r="M455" s="27" t="str">
        <f t="shared" si="100"/>
        <v>Normal</v>
      </c>
      <c r="N455" s="31">
        <f t="shared" si="101"/>
        <v>10</v>
      </c>
      <c r="O455" s="27"/>
      <c r="Q455" s="8">
        <v>0.3093131591602587</v>
      </c>
      <c r="R455" s="8" t="str">
        <f t="shared" si="102"/>
        <v>On Time</v>
      </c>
      <c r="S455" s="33">
        <v>1.4229760407280247</v>
      </c>
      <c r="T455" t="s">
        <v>30</v>
      </c>
      <c r="U455" s="3">
        <v>0</v>
      </c>
      <c r="V455" s="3" t="str">
        <f t="shared" si="106"/>
        <v/>
      </c>
      <c r="W455" s="3" t="s">
        <v>51</v>
      </c>
      <c r="X455" s="32">
        <f t="shared" si="103"/>
        <v>5.9290668366884347E-2</v>
      </c>
      <c r="Z455" s="38">
        <f t="shared" si="107"/>
        <v>0</v>
      </c>
      <c r="AC455" s="36">
        <v>0.125</v>
      </c>
      <c r="AL455" t="str">
        <f t="shared" si="108"/>
        <v>Normal</v>
      </c>
      <c r="AM455" t="str">
        <f t="shared" si="109"/>
        <v>No</v>
      </c>
      <c r="AN455" t="str">
        <f t="shared" si="110"/>
        <v>Emergency</v>
      </c>
      <c r="AO455" t="str">
        <f t="shared" si="111"/>
        <v>ICU</v>
      </c>
    </row>
    <row r="456" spans="1:41" x14ac:dyDescent="0.3">
      <c r="A456" s="21" t="str">
        <f t="shared" si="104"/>
        <v>UHID-00455</v>
      </c>
      <c r="B456" s="18">
        <v>78</v>
      </c>
      <c r="C456" s="10" t="s">
        <v>18</v>
      </c>
      <c r="D456" s="13" t="s">
        <v>26</v>
      </c>
      <c r="E456" s="13" t="s">
        <v>1</v>
      </c>
      <c r="F456" s="15">
        <v>46184.658093680599</v>
      </c>
      <c r="G456" s="4">
        <v>46184</v>
      </c>
      <c r="H456" s="1">
        <v>46187.6259591204</v>
      </c>
      <c r="I456" s="22">
        <v>46187</v>
      </c>
      <c r="J456" s="24">
        <f t="shared" si="98"/>
        <v>46187.298885708129</v>
      </c>
      <c r="K456" s="24">
        <f t="shared" si="99"/>
        <v>0.6259591203997843</v>
      </c>
      <c r="L456" s="29">
        <f t="shared" si="105"/>
        <v>46186</v>
      </c>
      <c r="M456" s="27" t="str">
        <f t="shared" si="100"/>
        <v>Health Deterioration/TPA Approval Delay</v>
      </c>
      <c r="N456" s="31">
        <f t="shared" si="101"/>
        <v>3</v>
      </c>
      <c r="O456" s="27"/>
      <c r="Q456" s="8">
        <v>0.82494366749923265</v>
      </c>
      <c r="R456" s="8" t="str">
        <f t="shared" si="102"/>
        <v>Critical Delay</v>
      </c>
      <c r="S456" s="33">
        <v>3.8497618945712331</v>
      </c>
      <c r="T456" t="s">
        <v>31</v>
      </c>
      <c r="U456" s="3">
        <v>4</v>
      </c>
      <c r="V456" s="3" t="str">
        <f t="shared" si="106"/>
        <v>Normal</v>
      </c>
      <c r="W456" s="3" t="s">
        <v>50</v>
      </c>
      <c r="X456" s="32">
        <f t="shared" si="103"/>
        <v>0.32707341227069264</v>
      </c>
      <c r="Z456" s="38">
        <f t="shared" si="107"/>
        <v>0.20207341227069264</v>
      </c>
      <c r="AC456" s="36">
        <v>0.125</v>
      </c>
      <c r="AL456" t="str">
        <f t="shared" si="108"/>
        <v>Health Deterioration/TPA Approval Delay</v>
      </c>
      <c r="AM456" t="str">
        <f t="shared" si="109"/>
        <v>Yes</v>
      </c>
      <c r="AN456" t="str">
        <f t="shared" si="110"/>
        <v>Emergency</v>
      </c>
      <c r="AO456" t="str">
        <f t="shared" si="111"/>
        <v>General Ward</v>
      </c>
    </row>
    <row r="457" spans="1:41" x14ac:dyDescent="0.3">
      <c r="A457" s="21" t="str">
        <f t="shared" si="104"/>
        <v>UHID-00456</v>
      </c>
      <c r="B457" s="18">
        <v>62</v>
      </c>
      <c r="C457" s="10" t="s">
        <v>18</v>
      </c>
      <c r="D457" s="13" t="s">
        <v>26</v>
      </c>
      <c r="E457" s="13" t="s">
        <v>1</v>
      </c>
      <c r="F457" s="15">
        <v>46182.772705902797</v>
      </c>
      <c r="G457" s="4">
        <v>46182</v>
      </c>
      <c r="H457" s="1">
        <v>46187.680286851799</v>
      </c>
      <c r="I457" s="22">
        <v>46187</v>
      </c>
      <c r="J457" s="24">
        <f t="shared" si="98"/>
        <v>46187.418560802129</v>
      </c>
      <c r="K457" s="24">
        <f t="shared" si="99"/>
        <v>0.68028685179888271</v>
      </c>
      <c r="L457" s="29">
        <f t="shared" si="105"/>
        <v>46186</v>
      </c>
      <c r="M457" s="27" t="str">
        <f t="shared" si="100"/>
        <v>Health Deterioration/TPA Approval Delay</v>
      </c>
      <c r="N457" s="31">
        <f t="shared" si="101"/>
        <v>5</v>
      </c>
      <c r="O457" s="27"/>
      <c r="Q457" s="8">
        <v>0.60138132219915663</v>
      </c>
      <c r="R457" s="8" t="str">
        <f t="shared" si="102"/>
        <v>Critical Delay</v>
      </c>
      <c r="S457" s="33">
        <v>3.2814251920906221</v>
      </c>
      <c r="T457" t="s">
        <v>31</v>
      </c>
      <c r="U457" s="3">
        <v>3</v>
      </c>
      <c r="V457" s="3" t="str">
        <f t="shared" si="106"/>
        <v>Normal</v>
      </c>
      <c r="W457" s="3" t="s">
        <v>50</v>
      </c>
      <c r="X457" s="32">
        <f t="shared" si="103"/>
        <v>0.26172604966996005</v>
      </c>
      <c r="Z457" s="38">
        <f t="shared" si="107"/>
        <v>0.13672604966996005</v>
      </c>
      <c r="AC457" s="36">
        <v>0.125</v>
      </c>
      <c r="AL457" t="str">
        <f t="shared" si="108"/>
        <v>Health Deterioration/TPA Approval Delay</v>
      </c>
      <c r="AM457" t="str">
        <f t="shared" si="109"/>
        <v>No</v>
      </c>
      <c r="AN457" t="str">
        <f t="shared" si="110"/>
        <v>Emergency</v>
      </c>
      <c r="AO457" t="str">
        <f t="shared" si="111"/>
        <v>HDU</v>
      </c>
    </row>
    <row r="458" spans="1:41" x14ac:dyDescent="0.3">
      <c r="A458" s="21" t="str">
        <f t="shared" si="104"/>
        <v>UHID-00457</v>
      </c>
      <c r="B458" s="18">
        <v>39</v>
      </c>
      <c r="C458" s="10" t="s">
        <v>17</v>
      </c>
      <c r="D458" s="13" t="s">
        <v>26</v>
      </c>
      <c r="E458" s="13" t="s">
        <v>1</v>
      </c>
      <c r="F458" s="15">
        <v>46185.530333807903</v>
      </c>
      <c r="G458" s="4">
        <v>46185</v>
      </c>
      <c r="H458" s="1">
        <v>46187.667802673597</v>
      </c>
      <c r="I458" s="22">
        <v>46187</v>
      </c>
      <c r="J458" s="24">
        <f t="shared" si="98"/>
        <v>46187.541687757344</v>
      </c>
      <c r="K458" s="24">
        <f t="shared" si="99"/>
        <v>0.66780267359717982</v>
      </c>
      <c r="L458" s="29">
        <f t="shared" si="105"/>
        <v>46186</v>
      </c>
      <c r="M458" s="27" t="str">
        <f t="shared" si="100"/>
        <v>TPA Approval Delay</v>
      </c>
      <c r="N458" s="31">
        <f t="shared" si="101"/>
        <v>2</v>
      </c>
      <c r="O458" s="27"/>
      <c r="Q458" s="8">
        <v>0.7213749637105713</v>
      </c>
      <c r="R458" s="8" t="str">
        <f t="shared" si="102"/>
        <v>Major Delay</v>
      </c>
      <c r="S458" s="33">
        <v>3.0267579901409958</v>
      </c>
      <c r="T458" t="s">
        <v>31</v>
      </c>
      <c r="U458" s="3">
        <v>0</v>
      </c>
      <c r="V458" s="3" t="str">
        <f t="shared" si="106"/>
        <v>Normal</v>
      </c>
      <c r="W458" s="3" t="s">
        <v>51</v>
      </c>
      <c r="X458" s="32">
        <f t="shared" si="103"/>
        <v>0.12611491625284543</v>
      </c>
      <c r="Z458" s="38">
        <f t="shared" si="107"/>
        <v>1.1149162528454326E-3</v>
      </c>
      <c r="AC458" s="36">
        <v>0.125</v>
      </c>
      <c r="AL458" t="str">
        <f t="shared" si="108"/>
        <v>TPA Approval Delay</v>
      </c>
      <c r="AM458" t="str">
        <f t="shared" si="109"/>
        <v>No</v>
      </c>
      <c r="AN458" t="str">
        <f t="shared" si="110"/>
        <v>Elective</v>
      </c>
      <c r="AO458" t="str">
        <f t="shared" si="111"/>
        <v>General Ward</v>
      </c>
    </row>
    <row r="459" spans="1:41" x14ac:dyDescent="0.3">
      <c r="A459" s="21" t="str">
        <f t="shared" si="104"/>
        <v>UHID-00458</v>
      </c>
      <c r="B459" s="18">
        <v>39</v>
      </c>
      <c r="C459" s="10" t="s">
        <v>18</v>
      </c>
      <c r="D459" s="13" t="s">
        <v>26</v>
      </c>
      <c r="E459" s="13" t="s">
        <v>1</v>
      </c>
      <c r="F459" s="15">
        <v>46186.730908263897</v>
      </c>
      <c r="G459" s="4">
        <v>46186</v>
      </c>
      <c r="H459" s="1">
        <v>46188.514112256897</v>
      </c>
      <c r="I459" s="22">
        <v>46188</v>
      </c>
      <c r="J459" s="24">
        <f t="shared" si="98"/>
        <v>46188.145999119151</v>
      </c>
      <c r="K459" s="24">
        <f t="shared" si="99"/>
        <v>0.51411225689662388</v>
      </c>
      <c r="L459" s="29">
        <f t="shared" si="105"/>
        <v>46187</v>
      </c>
      <c r="M459" s="27" t="str">
        <f t="shared" si="100"/>
        <v>Health Deterioration/TPA Approval Delay</v>
      </c>
      <c r="N459" s="31">
        <f t="shared" si="101"/>
        <v>2</v>
      </c>
      <c r="O459" s="27"/>
      <c r="Q459" s="8">
        <v>0.77793954419994471</v>
      </c>
      <c r="R459" s="8" t="str">
        <f t="shared" si="102"/>
        <v>Critical Delay</v>
      </c>
      <c r="S459" s="33">
        <v>3.8347153059019679</v>
      </c>
      <c r="T459" t="s">
        <v>31</v>
      </c>
      <c r="U459" s="3">
        <v>5</v>
      </c>
      <c r="V459" s="3" t="str">
        <f t="shared" si="106"/>
        <v>Normal</v>
      </c>
      <c r="W459" s="3" t="s">
        <v>52</v>
      </c>
      <c r="X459" s="32">
        <f t="shared" si="103"/>
        <v>0.36811313774524024</v>
      </c>
      <c r="Z459" s="38">
        <f t="shared" si="107"/>
        <v>0.24311313774524024</v>
      </c>
      <c r="AC459" s="36">
        <v>0.125</v>
      </c>
      <c r="AL459" t="str">
        <f t="shared" si="108"/>
        <v>Health Deterioration/TPA Approval Delay</v>
      </c>
      <c r="AM459" t="str">
        <f t="shared" si="109"/>
        <v>No</v>
      </c>
      <c r="AN459" t="str">
        <f t="shared" si="110"/>
        <v>Emergency</v>
      </c>
      <c r="AO459" t="str">
        <f t="shared" si="111"/>
        <v>General Ward</v>
      </c>
    </row>
    <row r="460" spans="1:41" x14ac:dyDescent="0.3">
      <c r="A460" s="21" t="str">
        <f t="shared" si="104"/>
        <v>UHID-00459</v>
      </c>
      <c r="B460" s="18">
        <v>59</v>
      </c>
      <c r="C460" s="10" t="s">
        <v>17</v>
      </c>
      <c r="D460" s="13" t="s">
        <v>27</v>
      </c>
      <c r="E460" s="13" t="s">
        <v>1</v>
      </c>
      <c r="F460" s="15">
        <v>46184.519223796298</v>
      </c>
      <c r="G460" s="4">
        <v>46184</v>
      </c>
      <c r="H460" s="1">
        <v>46188.773123437502</v>
      </c>
      <c r="I460" s="22">
        <v>46188</v>
      </c>
      <c r="J460" s="24">
        <f t="shared" si="98"/>
        <v>46188.549583089829</v>
      </c>
      <c r="K460" s="24">
        <f t="shared" si="99"/>
        <v>0.77312343750236323</v>
      </c>
      <c r="L460" s="29">
        <f t="shared" si="105"/>
        <v>46187</v>
      </c>
      <c r="M460" s="27" t="str">
        <f t="shared" si="100"/>
        <v>Health Deterioration</v>
      </c>
      <c r="N460" s="31">
        <f t="shared" si="101"/>
        <v>4</v>
      </c>
      <c r="O460" s="27"/>
      <c r="Q460" s="8">
        <v>0.43088755584622107</v>
      </c>
      <c r="R460" s="8" t="str">
        <f t="shared" si="102"/>
        <v>Critical Delay</v>
      </c>
      <c r="S460" s="33">
        <v>1.3649683442097611</v>
      </c>
      <c r="T460" t="s">
        <v>31</v>
      </c>
      <c r="U460" s="3">
        <v>4</v>
      </c>
      <c r="V460" s="3" t="str">
        <f t="shared" si="106"/>
        <v>Normal</v>
      </c>
      <c r="W460" s="3" t="s">
        <v>50</v>
      </c>
      <c r="X460" s="32">
        <f t="shared" si="103"/>
        <v>0.22354034767340636</v>
      </c>
      <c r="Z460" s="38">
        <f t="shared" si="107"/>
        <v>9.8540347673406359E-2</v>
      </c>
      <c r="AC460" s="36">
        <v>0.125</v>
      </c>
      <c r="AL460" t="str">
        <f t="shared" si="108"/>
        <v>Health Deterioration</v>
      </c>
      <c r="AM460" t="str">
        <f t="shared" si="109"/>
        <v>No</v>
      </c>
      <c r="AN460" t="str">
        <f t="shared" si="110"/>
        <v>Emergency</v>
      </c>
      <c r="AO460" t="str">
        <f t="shared" si="111"/>
        <v>HDU</v>
      </c>
    </row>
    <row r="461" spans="1:41" x14ac:dyDescent="0.3">
      <c r="A461" s="21" t="str">
        <f t="shared" si="104"/>
        <v>UHID-00460</v>
      </c>
      <c r="B461" s="18">
        <v>63</v>
      </c>
      <c r="C461" s="10" t="s">
        <v>17</v>
      </c>
      <c r="D461" s="13" t="s">
        <v>27</v>
      </c>
      <c r="E461" s="13" t="s">
        <v>1</v>
      </c>
      <c r="F461" s="15">
        <v>46181.767692661997</v>
      </c>
      <c r="G461" s="4">
        <v>46181</v>
      </c>
      <c r="H461" s="1">
        <v>46188.437584027801</v>
      </c>
      <c r="I461" s="22">
        <v>46188</v>
      </c>
      <c r="J461" s="24">
        <f t="shared" si="98"/>
        <v>46188.160079112713</v>
      </c>
      <c r="K461" s="24">
        <f t="shared" si="99"/>
        <v>0.43758402780076722</v>
      </c>
      <c r="L461" s="29">
        <f t="shared" si="105"/>
        <v>46187</v>
      </c>
      <c r="M461" s="27" t="str">
        <f t="shared" si="100"/>
        <v>Health Deterioration</v>
      </c>
      <c r="N461" s="31">
        <f t="shared" si="101"/>
        <v>7</v>
      </c>
      <c r="O461" s="27"/>
      <c r="Q461" s="8">
        <v>0.21186219824032027</v>
      </c>
      <c r="R461" s="8" t="str">
        <f t="shared" si="102"/>
        <v>Critical Delay</v>
      </c>
      <c r="S461" s="33">
        <v>1.6601179621876487</v>
      </c>
      <c r="T461" t="s">
        <v>30</v>
      </c>
      <c r="U461" s="3">
        <v>5</v>
      </c>
      <c r="V461" s="3" t="str">
        <f t="shared" si="106"/>
        <v/>
      </c>
      <c r="W461" s="3" t="s">
        <v>52</v>
      </c>
      <c r="X461" s="32">
        <f t="shared" si="103"/>
        <v>0.27750491508777486</v>
      </c>
      <c r="Z461" s="38">
        <f t="shared" si="107"/>
        <v>0.15250491508777486</v>
      </c>
      <c r="AC461" s="36">
        <v>0.125</v>
      </c>
      <c r="AL461" t="str">
        <f t="shared" si="108"/>
        <v>Health Deterioration</v>
      </c>
      <c r="AM461" t="str">
        <f t="shared" si="109"/>
        <v>No</v>
      </c>
      <c r="AN461" t="str">
        <f t="shared" si="110"/>
        <v>Emergency</v>
      </c>
      <c r="AO461" t="str">
        <f t="shared" si="111"/>
        <v>ICU</v>
      </c>
    </row>
    <row r="462" spans="1:41" x14ac:dyDescent="0.3">
      <c r="A462" s="21" t="str">
        <f t="shared" si="104"/>
        <v>UHID-00461</v>
      </c>
      <c r="B462" s="18">
        <v>66</v>
      </c>
      <c r="C462" s="10" t="s">
        <v>17</v>
      </c>
      <c r="D462" s="13" t="s">
        <v>26</v>
      </c>
      <c r="E462" s="13" t="s">
        <v>1</v>
      </c>
      <c r="F462" s="15">
        <v>46185.854877557897</v>
      </c>
      <c r="G462" s="4">
        <v>46185</v>
      </c>
      <c r="H462" s="1">
        <v>46188.5403703009</v>
      </c>
      <c r="I462" s="22">
        <v>46188</v>
      </c>
      <c r="J462" s="24">
        <f t="shared" si="98"/>
        <v>46188.273667009758</v>
      </c>
      <c r="K462" s="24">
        <f t="shared" si="99"/>
        <v>0.5403703008996672</v>
      </c>
      <c r="L462" s="29">
        <f t="shared" si="105"/>
        <v>46187</v>
      </c>
      <c r="M462" s="27" t="str">
        <f t="shared" si="100"/>
        <v>Health Deterioration/TPA Approval Delay</v>
      </c>
      <c r="N462" s="31">
        <f t="shared" si="101"/>
        <v>3</v>
      </c>
      <c r="O462" s="27"/>
      <c r="Q462" s="8">
        <v>0.56085298953575835</v>
      </c>
      <c r="R462" s="8" t="str">
        <f t="shared" si="102"/>
        <v>Critical Delay</v>
      </c>
      <c r="S462" s="33">
        <v>3.4008789873946066</v>
      </c>
      <c r="T462" t="s">
        <v>31</v>
      </c>
      <c r="U462" s="3">
        <v>3</v>
      </c>
      <c r="V462" s="3" t="str">
        <f t="shared" si="106"/>
        <v>Normal</v>
      </c>
      <c r="W462" s="3" t="s">
        <v>50</v>
      </c>
      <c r="X462" s="32">
        <f t="shared" si="103"/>
        <v>0.26670329114131164</v>
      </c>
      <c r="Z462" s="38">
        <f t="shared" si="107"/>
        <v>0.14170329114131164</v>
      </c>
      <c r="AC462" s="36">
        <v>0.125</v>
      </c>
      <c r="AL462" t="str">
        <f t="shared" si="108"/>
        <v>Health Deterioration/TPA Approval Delay</v>
      </c>
      <c r="AM462" t="str">
        <f t="shared" si="109"/>
        <v>Yes</v>
      </c>
      <c r="AN462" t="str">
        <f t="shared" si="110"/>
        <v>Emergency</v>
      </c>
      <c r="AO462" t="str">
        <f t="shared" si="111"/>
        <v>General Ward</v>
      </c>
    </row>
    <row r="463" spans="1:41" x14ac:dyDescent="0.3">
      <c r="A463" s="21" t="str">
        <f t="shared" si="104"/>
        <v>UHID-00462</v>
      </c>
      <c r="B463" s="18">
        <v>62</v>
      </c>
      <c r="C463" s="10" t="s">
        <v>17</v>
      </c>
      <c r="D463" s="13" t="s">
        <v>26</v>
      </c>
      <c r="E463" s="13" t="s">
        <v>1</v>
      </c>
      <c r="F463" s="15">
        <v>46187.108765925899</v>
      </c>
      <c r="G463" s="4">
        <v>46187</v>
      </c>
      <c r="H463" s="1">
        <v>46188.6743689699</v>
      </c>
      <c r="I463" s="22">
        <v>46188</v>
      </c>
      <c r="J463" s="24">
        <f t="shared" si="98"/>
        <v>46188.51465061865</v>
      </c>
      <c r="K463" s="24">
        <f t="shared" si="99"/>
        <v>0.67436896989966044</v>
      </c>
      <c r="L463" s="29">
        <f t="shared" si="105"/>
        <v>46187</v>
      </c>
      <c r="M463" s="27" t="str">
        <f t="shared" si="100"/>
        <v>TPA Approval Delay</v>
      </c>
      <c r="N463" s="31">
        <f t="shared" si="101"/>
        <v>1</v>
      </c>
      <c r="O463" s="27"/>
      <c r="Q463" s="8">
        <v>0.84907317997625675</v>
      </c>
      <c r="R463" s="8" t="str">
        <f t="shared" si="102"/>
        <v>Major Delay</v>
      </c>
      <c r="S463" s="33">
        <v>3.8332404300137526</v>
      </c>
      <c r="T463" t="s">
        <v>31</v>
      </c>
      <c r="U463" s="3">
        <v>0</v>
      </c>
      <c r="V463" s="3" t="str">
        <f t="shared" si="106"/>
        <v>Normal</v>
      </c>
      <c r="W463" s="3" t="s">
        <v>51</v>
      </c>
      <c r="X463" s="32">
        <f t="shared" si="103"/>
        <v>0.15971835124946665</v>
      </c>
      <c r="Z463" s="38">
        <f t="shared" si="107"/>
        <v>3.471835124946665E-2</v>
      </c>
      <c r="AC463" s="36">
        <v>0.125</v>
      </c>
      <c r="AL463" t="str">
        <f t="shared" si="108"/>
        <v>TPA Approval Delay</v>
      </c>
      <c r="AM463" t="str">
        <f t="shared" si="109"/>
        <v>No</v>
      </c>
      <c r="AN463" t="str">
        <f t="shared" si="110"/>
        <v>Elective</v>
      </c>
      <c r="AO463" t="str">
        <f t="shared" si="111"/>
        <v>General Ward</v>
      </c>
    </row>
    <row r="464" spans="1:41" x14ac:dyDescent="0.3">
      <c r="A464" s="21" t="str">
        <f t="shared" si="104"/>
        <v>UHID-00463</v>
      </c>
      <c r="B464" s="18">
        <v>82</v>
      </c>
      <c r="C464" s="10" t="s">
        <v>18</v>
      </c>
      <c r="D464" s="13" t="s">
        <v>27</v>
      </c>
      <c r="E464" s="13" t="s">
        <v>1</v>
      </c>
      <c r="F464" s="15">
        <v>46179.981307280097</v>
      </c>
      <c r="G464" s="4">
        <v>46179</v>
      </c>
      <c r="H464" s="1">
        <v>46188.648034340302</v>
      </c>
      <c r="I464" s="22">
        <v>46188</v>
      </c>
      <c r="J464" s="24">
        <f t="shared" si="98"/>
        <v>46188.593134412818</v>
      </c>
      <c r="K464" s="24">
        <f t="shared" si="99"/>
        <v>0.64803434030181961</v>
      </c>
      <c r="L464" s="29">
        <f t="shared" si="105"/>
        <v>46187</v>
      </c>
      <c r="M464" s="27" t="str">
        <f t="shared" si="100"/>
        <v>Normal</v>
      </c>
      <c r="N464" s="31">
        <f t="shared" si="101"/>
        <v>9</v>
      </c>
      <c r="O464" s="27"/>
      <c r="Q464" s="8">
        <v>0.40898990618435249</v>
      </c>
      <c r="R464" s="8" t="str">
        <f t="shared" si="102"/>
        <v>On Time</v>
      </c>
      <c r="S464" s="33">
        <v>1.3175982596763458</v>
      </c>
      <c r="T464" t="s">
        <v>31</v>
      </c>
      <c r="U464" s="3">
        <v>0</v>
      </c>
      <c r="V464" s="3" t="str">
        <f t="shared" si="106"/>
        <v>Normal</v>
      </c>
      <c r="W464" s="3" t="s">
        <v>51</v>
      </c>
      <c r="X464" s="32">
        <f t="shared" si="103"/>
        <v>5.489992748334771E-2</v>
      </c>
      <c r="Z464" s="38">
        <f t="shared" si="107"/>
        <v>0</v>
      </c>
      <c r="AC464" s="36">
        <v>0.125</v>
      </c>
      <c r="AL464" t="str">
        <f t="shared" si="108"/>
        <v>Normal</v>
      </c>
      <c r="AM464" t="str">
        <f t="shared" si="109"/>
        <v>No</v>
      </c>
      <c r="AN464" t="str">
        <f t="shared" si="110"/>
        <v>Emergency</v>
      </c>
      <c r="AO464" t="str">
        <f t="shared" si="111"/>
        <v>ICU</v>
      </c>
    </row>
    <row r="465" spans="1:41" x14ac:dyDescent="0.3">
      <c r="A465" s="21" t="str">
        <f t="shared" si="104"/>
        <v>UHID-00464</v>
      </c>
      <c r="B465" s="18">
        <v>76</v>
      </c>
      <c r="C465" s="10" t="s">
        <v>18</v>
      </c>
      <c r="D465" s="13" t="s">
        <v>27</v>
      </c>
      <c r="E465" s="13" t="s">
        <v>1</v>
      </c>
      <c r="F465" s="15">
        <v>46189.3592196065</v>
      </c>
      <c r="G465" s="4">
        <v>46189</v>
      </c>
      <c r="H465" s="1">
        <v>46189.403960312498</v>
      </c>
      <c r="I465" s="22">
        <v>46189</v>
      </c>
      <c r="J465" s="24">
        <f t="shared" si="98"/>
        <v>46189.250142827826</v>
      </c>
      <c r="K465" s="24">
        <f t="shared" si="99"/>
        <v>0.40396031249838416</v>
      </c>
      <c r="L465" s="29">
        <f t="shared" si="105"/>
        <v>46188</v>
      </c>
      <c r="M465" s="27" t="str">
        <f t="shared" si="100"/>
        <v>Medication Change</v>
      </c>
      <c r="N465" s="31">
        <f t="shared" si="101"/>
        <v>0</v>
      </c>
      <c r="O465" s="27"/>
      <c r="Q465" s="8">
        <v>0.43019849796432852</v>
      </c>
      <c r="R465" s="8" t="str">
        <f t="shared" si="102"/>
        <v>Major Delay</v>
      </c>
      <c r="S465" s="33">
        <v>1.6916196320879602</v>
      </c>
      <c r="T465" t="s">
        <v>31</v>
      </c>
      <c r="U465" s="3">
        <v>2</v>
      </c>
      <c r="V465" s="3" t="str">
        <f t="shared" si="106"/>
        <v>Normal</v>
      </c>
      <c r="W465" s="3" t="s">
        <v>50</v>
      </c>
      <c r="X465" s="32">
        <f t="shared" si="103"/>
        <v>0.15381748467189027</v>
      </c>
      <c r="Z465" s="38">
        <f t="shared" si="107"/>
        <v>2.881748467189027E-2</v>
      </c>
      <c r="AC465" s="36">
        <v>0.125</v>
      </c>
      <c r="AL465" t="str">
        <f t="shared" si="108"/>
        <v>Medication Change</v>
      </c>
      <c r="AM465" t="str">
        <f t="shared" si="109"/>
        <v>No</v>
      </c>
      <c r="AN465" t="str">
        <f t="shared" si="110"/>
        <v>Elective</v>
      </c>
      <c r="AO465" t="str">
        <f t="shared" si="111"/>
        <v>General Ward</v>
      </c>
    </row>
    <row r="466" spans="1:41" x14ac:dyDescent="0.3">
      <c r="A466" s="21" t="str">
        <f t="shared" si="104"/>
        <v>UHID-00465</v>
      </c>
      <c r="B466" s="18">
        <v>81</v>
      </c>
      <c r="C466" s="10" t="s">
        <v>18</v>
      </c>
      <c r="D466" s="13" t="s">
        <v>26</v>
      </c>
      <c r="E466" s="13" t="s">
        <v>1</v>
      </c>
      <c r="F466" s="15">
        <v>46183.014029583297</v>
      </c>
      <c r="G466" s="4">
        <v>46183</v>
      </c>
      <c r="H466" s="1">
        <v>46189.722222222197</v>
      </c>
      <c r="I466" s="22">
        <v>46189</v>
      </c>
      <c r="J466" s="24">
        <f t="shared" si="98"/>
        <v>46189.565094087375</v>
      </c>
      <c r="K466" s="24">
        <f t="shared" si="99"/>
        <v>0.72222222219716059</v>
      </c>
      <c r="L466" s="29">
        <f t="shared" si="105"/>
        <v>46188</v>
      </c>
      <c r="M466" s="27" t="str">
        <f t="shared" si="100"/>
        <v>TPA Approval Delay</v>
      </c>
      <c r="N466" s="31">
        <f t="shared" si="101"/>
        <v>6</v>
      </c>
      <c r="O466" s="27"/>
      <c r="Q466" s="8">
        <v>0.76195175569590667</v>
      </c>
      <c r="R466" s="8" t="str">
        <f t="shared" si="102"/>
        <v>Major Delay</v>
      </c>
      <c r="S466" s="33">
        <v>3.7710752357246857</v>
      </c>
      <c r="T466" t="s">
        <v>31</v>
      </c>
      <c r="U466" s="3">
        <v>0</v>
      </c>
      <c r="V466" s="3" t="str">
        <f t="shared" si="106"/>
        <v>Normal</v>
      </c>
      <c r="W466" s="3" t="s">
        <v>51</v>
      </c>
      <c r="X466" s="32">
        <f t="shared" si="103"/>
        <v>0.15712813482241472</v>
      </c>
      <c r="Z466" s="38">
        <f t="shared" si="107"/>
        <v>3.2128134822414722E-2</v>
      </c>
      <c r="AC466" s="36">
        <v>0.125</v>
      </c>
      <c r="AL466" t="str">
        <f t="shared" si="108"/>
        <v>TPA Approval Delay</v>
      </c>
      <c r="AM466" t="str">
        <f t="shared" si="109"/>
        <v>No</v>
      </c>
      <c r="AN466" t="str">
        <f t="shared" si="110"/>
        <v>Elective</v>
      </c>
      <c r="AO466" t="str">
        <f t="shared" si="111"/>
        <v>HDU</v>
      </c>
    </row>
    <row r="467" spans="1:41" x14ac:dyDescent="0.3">
      <c r="A467" s="21" t="str">
        <f t="shared" si="104"/>
        <v>UHID-00466</v>
      </c>
      <c r="B467" s="18">
        <v>56</v>
      </c>
      <c r="C467" s="10" t="s">
        <v>17</v>
      </c>
      <c r="D467" s="13" t="s">
        <v>27</v>
      </c>
      <c r="E467" s="13" t="s">
        <v>1</v>
      </c>
      <c r="F467" s="15">
        <v>46187.945530914403</v>
      </c>
      <c r="G467" s="4">
        <v>46187</v>
      </c>
      <c r="H467" s="1">
        <v>46189.635518668998</v>
      </c>
      <c r="I467" s="22">
        <v>46189</v>
      </c>
      <c r="J467" s="24">
        <f t="shared" si="98"/>
        <v>46189.484188799914</v>
      </c>
      <c r="K467" s="24">
        <f t="shared" si="99"/>
        <v>0.6355186689979746</v>
      </c>
      <c r="L467" s="29">
        <f t="shared" si="105"/>
        <v>46188</v>
      </c>
      <c r="M467" s="27" t="str">
        <f t="shared" si="100"/>
        <v>Medication Change</v>
      </c>
      <c r="N467" s="31">
        <f t="shared" si="101"/>
        <v>2</v>
      </c>
      <c r="O467" s="27"/>
      <c r="Q467" s="8">
        <v>0.29983496493756112</v>
      </c>
      <c r="R467" s="8" t="str">
        <f t="shared" si="102"/>
        <v>Major Delay</v>
      </c>
      <c r="S467" s="33">
        <v>1.6319168580447876</v>
      </c>
      <c r="T467" t="s">
        <v>30</v>
      </c>
      <c r="U467" s="3">
        <v>2</v>
      </c>
      <c r="V467" s="3" t="str">
        <f t="shared" si="106"/>
        <v/>
      </c>
      <c r="W467" s="3" t="s">
        <v>50</v>
      </c>
      <c r="X467" s="32">
        <f t="shared" si="103"/>
        <v>0.15132986908429302</v>
      </c>
      <c r="Z467" s="38">
        <f t="shared" si="107"/>
        <v>2.6329869084293023E-2</v>
      </c>
      <c r="AC467" s="36">
        <v>0.125</v>
      </c>
      <c r="AL467" t="str">
        <f t="shared" si="108"/>
        <v>Medication Change</v>
      </c>
      <c r="AM467" t="str">
        <f t="shared" si="109"/>
        <v>No</v>
      </c>
      <c r="AN467" t="str">
        <f t="shared" si="110"/>
        <v>Elective</v>
      </c>
      <c r="AO467" t="str">
        <f t="shared" si="111"/>
        <v>General Ward</v>
      </c>
    </row>
    <row r="468" spans="1:41" x14ac:dyDescent="0.3">
      <c r="A468" s="21" t="str">
        <f t="shared" si="104"/>
        <v>UHID-00467</v>
      </c>
      <c r="B468" s="18">
        <v>67</v>
      </c>
      <c r="C468" s="10" t="s">
        <v>18</v>
      </c>
      <c r="D468" s="13" t="s">
        <v>26</v>
      </c>
      <c r="E468" s="13" t="s">
        <v>1</v>
      </c>
      <c r="F468" s="15">
        <v>46182.171877916699</v>
      </c>
      <c r="G468" s="4">
        <v>46182</v>
      </c>
      <c r="H468" s="1">
        <v>46189.543749999997</v>
      </c>
      <c r="I468" s="22">
        <v>46189</v>
      </c>
      <c r="J468" s="24">
        <f t="shared" si="98"/>
        <v>46189.407327147783</v>
      </c>
      <c r="K468" s="24">
        <f t="shared" si="99"/>
        <v>0.54374999999708962</v>
      </c>
      <c r="L468" s="29">
        <f t="shared" si="105"/>
        <v>46188</v>
      </c>
      <c r="M468" s="27" t="str">
        <f t="shared" si="100"/>
        <v>TPA Approval Delay</v>
      </c>
      <c r="N468" s="31">
        <f t="shared" si="101"/>
        <v>7</v>
      </c>
      <c r="O468" s="27"/>
      <c r="Q468" s="8">
        <v>0.76846306543083076</v>
      </c>
      <c r="R468" s="8" t="str">
        <f t="shared" si="102"/>
        <v>Major Delay</v>
      </c>
      <c r="S468" s="33">
        <v>3.2741484530829665</v>
      </c>
      <c r="T468" t="s">
        <v>31</v>
      </c>
      <c r="U468" s="3">
        <v>0</v>
      </c>
      <c r="V468" s="3" t="str">
        <f t="shared" si="106"/>
        <v>Normal</v>
      </c>
      <c r="W468" s="3" t="s">
        <v>51</v>
      </c>
      <c r="X468" s="32">
        <f t="shared" si="103"/>
        <v>0.13642285221430939</v>
      </c>
      <c r="Z468" s="38">
        <f t="shared" si="107"/>
        <v>1.1422852214309387E-2</v>
      </c>
      <c r="AC468" s="36">
        <v>0.125</v>
      </c>
      <c r="AL468" t="str">
        <f t="shared" si="108"/>
        <v>TPA Approval Delay</v>
      </c>
      <c r="AM468" t="str">
        <f t="shared" si="109"/>
        <v>No</v>
      </c>
      <c r="AN468" t="str">
        <f t="shared" si="110"/>
        <v>Emergency</v>
      </c>
      <c r="AO468" t="str">
        <f t="shared" si="111"/>
        <v>ICU</v>
      </c>
    </row>
    <row r="469" spans="1:41" x14ac:dyDescent="0.3">
      <c r="A469" s="21" t="str">
        <f t="shared" si="104"/>
        <v>UHID-00468</v>
      </c>
      <c r="B469" s="18">
        <v>78</v>
      </c>
      <c r="C469" s="10" t="s">
        <v>17</v>
      </c>
      <c r="D469" s="13" t="s">
        <v>26</v>
      </c>
      <c r="E469" s="13" t="s">
        <v>1</v>
      </c>
      <c r="F469" s="15">
        <v>46174.9311401042</v>
      </c>
      <c r="G469" s="4">
        <v>46174</v>
      </c>
      <c r="H469" s="1">
        <v>46189.657690694403</v>
      </c>
      <c r="I469" s="22">
        <v>46189</v>
      </c>
      <c r="J469" s="24">
        <f t="shared" si="98"/>
        <v>46189.520121310961</v>
      </c>
      <c r="K469" s="24">
        <f t="shared" si="99"/>
        <v>0.65769069440284511</v>
      </c>
      <c r="L469" s="29">
        <f t="shared" si="105"/>
        <v>46188</v>
      </c>
      <c r="M469" s="27" t="str">
        <f t="shared" si="100"/>
        <v>TPA Approval Delay</v>
      </c>
      <c r="N469" s="31">
        <f t="shared" si="101"/>
        <v>15</v>
      </c>
      <c r="O469" s="27"/>
      <c r="Q469" s="8">
        <v>0.65663095741433297</v>
      </c>
      <c r="R469" s="8" t="str">
        <f t="shared" si="102"/>
        <v>Major Delay</v>
      </c>
      <c r="S469" s="33">
        <v>3.3016652025532691</v>
      </c>
      <c r="T469" t="s">
        <v>31</v>
      </c>
      <c r="U469" s="3">
        <v>0</v>
      </c>
      <c r="V469" s="3" t="str">
        <f t="shared" si="106"/>
        <v>Normal</v>
      </c>
      <c r="W469" s="3" t="s">
        <v>51</v>
      </c>
      <c r="X469" s="32">
        <f t="shared" si="103"/>
        <v>0.13756938344158698</v>
      </c>
      <c r="Z469" s="38">
        <f t="shared" si="107"/>
        <v>1.2569383441586979E-2</v>
      </c>
      <c r="AC469" s="36">
        <v>0.125</v>
      </c>
      <c r="AL469" t="str">
        <f t="shared" si="108"/>
        <v>TPA Approval Delay</v>
      </c>
      <c r="AM469" t="str">
        <f t="shared" si="109"/>
        <v>Yes</v>
      </c>
      <c r="AN469" t="str">
        <f t="shared" si="110"/>
        <v>Emergency</v>
      </c>
      <c r="AO469" t="str">
        <f t="shared" si="111"/>
        <v>ICU</v>
      </c>
    </row>
    <row r="470" spans="1:41" x14ac:dyDescent="0.3">
      <c r="A470" s="21" t="str">
        <f t="shared" si="104"/>
        <v>UHID-00469</v>
      </c>
      <c r="B470" s="18">
        <v>45</v>
      </c>
      <c r="C470" s="10" t="s">
        <v>17</v>
      </c>
      <c r="D470" s="13" t="s">
        <v>26</v>
      </c>
      <c r="E470" s="13" t="s">
        <v>1</v>
      </c>
      <c r="F470" s="15">
        <v>46182.632496504601</v>
      </c>
      <c r="G470" s="4">
        <v>46182</v>
      </c>
      <c r="H470" s="1">
        <v>46190.0974920023</v>
      </c>
      <c r="I470" s="22">
        <v>46190</v>
      </c>
      <c r="J470" s="24">
        <f t="shared" si="98"/>
        <v>46189.961694193546</v>
      </c>
      <c r="K470" s="24">
        <f t="shared" si="99"/>
        <v>9.749200229998678E-2</v>
      </c>
      <c r="L470" s="29">
        <f t="shared" si="105"/>
        <v>46189</v>
      </c>
      <c r="M470" s="27" t="str">
        <f t="shared" si="100"/>
        <v>TPA Approval Delay</v>
      </c>
      <c r="N470" s="31">
        <f t="shared" si="101"/>
        <v>8</v>
      </c>
      <c r="O470" s="27"/>
      <c r="Q470" s="8">
        <v>0.77470968510060678</v>
      </c>
      <c r="R470" s="8" t="str">
        <f t="shared" si="102"/>
        <v>Major Delay</v>
      </c>
      <c r="S470" s="33">
        <v>3.2591474101341977</v>
      </c>
      <c r="T470" t="s">
        <v>31</v>
      </c>
      <c r="U470" s="3">
        <v>0</v>
      </c>
      <c r="V470" s="3" t="str">
        <f t="shared" si="106"/>
        <v>Normal</v>
      </c>
      <c r="W470" s="3" t="s">
        <v>51</v>
      </c>
      <c r="X470" s="32">
        <f t="shared" si="103"/>
        <v>0.13579780875443248</v>
      </c>
      <c r="Z470" s="38">
        <f t="shared" si="107"/>
        <v>1.0797808754432481E-2</v>
      </c>
      <c r="AC470" s="36">
        <v>0.125</v>
      </c>
      <c r="AL470" t="str">
        <f t="shared" si="108"/>
        <v>TPA Approval Delay</v>
      </c>
      <c r="AM470" t="str">
        <f t="shared" si="109"/>
        <v>No</v>
      </c>
      <c r="AN470" t="str">
        <f t="shared" si="110"/>
        <v>Emergency</v>
      </c>
      <c r="AO470" t="str">
        <f t="shared" si="111"/>
        <v>ICU</v>
      </c>
    </row>
    <row r="471" spans="1:41" x14ac:dyDescent="0.3">
      <c r="A471" s="21" t="str">
        <f t="shared" si="104"/>
        <v>UHID-00470</v>
      </c>
      <c r="B471" s="18">
        <v>78</v>
      </c>
      <c r="C471" s="10" t="s">
        <v>18</v>
      </c>
      <c r="D471" s="13" t="s">
        <v>26</v>
      </c>
      <c r="E471" s="13" t="s">
        <v>1</v>
      </c>
      <c r="F471" s="15">
        <v>46187.669059293999</v>
      </c>
      <c r="G471" s="4">
        <v>46187</v>
      </c>
      <c r="H471" s="1">
        <v>46190.545611516201</v>
      </c>
      <c r="I471" s="22">
        <v>46190</v>
      </c>
      <c r="J471" s="24">
        <f t="shared" si="98"/>
        <v>46190.40477362286</v>
      </c>
      <c r="K471" s="24">
        <f t="shared" si="99"/>
        <v>0.5456115162014612</v>
      </c>
      <c r="L471" s="29">
        <f t="shared" si="105"/>
        <v>46189</v>
      </c>
      <c r="M471" s="27" t="str">
        <f t="shared" si="100"/>
        <v>TPA Approval Delay</v>
      </c>
      <c r="N471" s="31">
        <f t="shared" si="101"/>
        <v>3</v>
      </c>
      <c r="O471" s="27"/>
      <c r="Q471" s="8">
        <v>0.56232922351308978</v>
      </c>
      <c r="R471" s="8" t="str">
        <f t="shared" si="102"/>
        <v>Major Delay</v>
      </c>
      <c r="S471" s="33">
        <v>3.3801094402577094</v>
      </c>
      <c r="T471" t="s">
        <v>31</v>
      </c>
      <c r="U471" s="3">
        <v>0</v>
      </c>
      <c r="V471" s="3" t="str">
        <f t="shared" si="106"/>
        <v>Normal</v>
      </c>
      <c r="W471" s="3" t="s">
        <v>51</v>
      </c>
      <c r="X471" s="32">
        <f t="shared" si="103"/>
        <v>0.14083789334108587</v>
      </c>
      <c r="Z471" s="38">
        <f t="shared" si="107"/>
        <v>1.5837893341085874E-2</v>
      </c>
      <c r="AC471" s="36">
        <v>0.125</v>
      </c>
      <c r="AL471" t="str">
        <f t="shared" si="108"/>
        <v>TPA Approval Delay</v>
      </c>
      <c r="AM471" t="str">
        <f t="shared" si="109"/>
        <v>No</v>
      </c>
      <c r="AN471" t="str">
        <f t="shared" si="110"/>
        <v>Elective</v>
      </c>
      <c r="AO471" t="str">
        <f t="shared" si="111"/>
        <v>General Ward</v>
      </c>
    </row>
    <row r="472" spans="1:41" x14ac:dyDescent="0.3">
      <c r="A472" s="21" t="str">
        <f t="shared" si="104"/>
        <v>UHID-00471</v>
      </c>
      <c r="B472" s="18">
        <v>76</v>
      </c>
      <c r="C472" s="10" t="s">
        <v>18</v>
      </c>
      <c r="D472" s="13" t="s">
        <v>26</v>
      </c>
      <c r="E472" s="13" t="s">
        <v>1</v>
      </c>
      <c r="F472" s="15">
        <v>46190.356892488402</v>
      </c>
      <c r="G472" s="4">
        <v>46190</v>
      </c>
      <c r="H472" s="1">
        <v>46190.417225451398</v>
      </c>
      <c r="I472" s="22">
        <v>46190</v>
      </c>
      <c r="J472" s="24">
        <f t="shared" si="98"/>
        <v>46190.279989126517</v>
      </c>
      <c r="K472" s="24">
        <f t="shared" si="99"/>
        <v>0.41722545139782596</v>
      </c>
      <c r="L472" s="29">
        <f t="shared" si="105"/>
        <v>46189</v>
      </c>
      <c r="M472" s="27" t="str">
        <f t="shared" si="100"/>
        <v>TPA Approval Delay</v>
      </c>
      <c r="N472" s="31">
        <f t="shared" si="101"/>
        <v>0</v>
      </c>
      <c r="O472" s="27"/>
      <c r="Q472" s="8">
        <v>0.75397191131847008</v>
      </c>
      <c r="R472" s="8" t="str">
        <f t="shared" si="102"/>
        <v>Major Delay</v>
      </c>
      <c r="S472" s="33">
        <v>3.2936717971693761</v>
      </c>
      <c r="T472" t="s">
        <v>31</v>
      </c>
      <c r="U472" s="3">
        <v>0</v>
      </c>
      <c r="V472" s="3" t="str">
        <f t="shared" si="106"/>
        <v>Normal</v>
      </c>
      <c r="W472" s="3" t="s">
        <v>51</v>
      </c>
      <c r="X472" s="32">
        <f t="shared" si="103"/>
        <v>0.13723632488108706</v>
      </c>
      <c r="Z472" s="38">
        <f t="shared" si="107"/>
        <v>1.2236324881087057E-2</v>
      </c>
      <c r="AC472" s="36">
        <v>0.125</v>
      </c>
      <c r="AL472" t="str">
        <f t="shared" si="108"/>
        <v>TPA Approval Delay</v>
      </c>
      <c r="AM472" t="str">
        <f t="shared" si="109"/>
        <v>No</v>
      </c>
      <c r="AN472" t="str">
        <f t="shared" si="110"/>
        <v>Elective</v>
      </c>
      <c r="AO472" t="str">
        <f t="shared" si="111"/>
        <v>General Ward</v>
      </c>
    </row>
    <row r="473" spans="1:41" x14ac:dyDescent="0.3">
      <c r="A473" s="21" t="str">
        <f t="shared" si="104"/>
        <v>UHID-00472</v>
      </c>
      <c r="B473" s="18">
        <v>19</v>
      </c>
      <c r="C473" s="10" t="s">
        <v>18</v>
      </c>
      <c r="D473" s="13" t="s">
        <v>28</v>
      </c>
      <c r="E473" s="13" t="s">
        <v>1</v>
      </c>
      <c r="F473" s="15">
        <v>46186.4682184259</v>
      </c>
      <c r="G473" s="4">
        <v>46186</v>
      </c>
      <c r="H473" s="1">
        <v>46190.673642731497</v>
      </c>
      <c r="I473" s="22">
        <v>46190</v>
      </c>
      <c r="J473" s="24">
        <f t="shared" si="98"/>
        <v>46190.55278687305</v>
      </c>
      <c r="K473" s="24">
        <f t="shared" si="99"/>
        <v>0.67364273149723886</v>
      </c>
      <c r="L473" s="29">
        <f t="shared" si="105"/>
        <v>46189</v>
      </c>
      <c r="M473" s="27" t="str">
        <f t="shared" si="100"/>
        <v>Doctor Round Delay/Report Delay</v>
      </c>
      <c r="N473" s="31">
        <f t="shared" si="101"/>
        <v>4</v>
      </c>
      <c r="O473" s="27"/>
      <c r="Q473" s="8">
        <v>0.86932568019317757</v>
      </c>
      <c r="R473" s="8" t="str">
        <f t="shared" si="102"/>
        <v>Minor Delay</v>
      </c>
      <c r="S473" s="33">
        <v>2.900540602718447</v>
      </c>
      <c r="T473" t="s">
        <v>31</v>
      </c>
      <c r="U473" s="3">
        <v>0</v>
      </c>
      <c r="V473" s="3" t="str">
        <f t="shared" si="106"/>
        <v>Normal</v>
      </c>
      <c r="W473" s="3" t="s">
        <v>51</v>
      </c>
      <c r="X473" s="32">
        <f t="shared" si="103"/>
        <v>0.12085585844761226</v>
      </c>
      <c r="Z473" s="38">
        <f t="shared" si="107"/>
        <v>0</v>
      </c>
      <c r="AC473" s="36">
        <v>0.125</v>
      </c>
      <c r="AL473" t="str">
        <f t="shared" si="108"/>
        <v>Doctor Round Delay/Report Delay</v>
      </c>
      <c r="AM473" t="str">
        <f t="shared" si="109"/>
        <v>No</v>
      </c>
      <c r="AN473" t="str">
        <f t="shared" si="110"/>
        <v>Elective</v>
      </c>
      <c r="AO473" t="str">
        <f t="shared" si="111"/>
        <v>HDU</v>
      </c>
    </row>
    <row r="474" spans="1:41" x14ac:dyDescent="0.3">
      <c r="A474" s="21" t="str">
        <f t="shared" si="104"/>
        <v>UHID-00473</v>
      </c>
      <c r="B474" s="18">
        <v>84</v>
      </c>
      <c r="C474" s="10" t="s">
        <v>18</v>
      </c>
      <c r="D474" s="13" t="s">
        <v>26</v>
      </c>
      <c r="E474" s="13" t="s">
        <v>1</v>
      </c>
      <c r="F474" s="15">
        <v>46186.477639467601</v>
      </c>
      <c r="G474" s="4">
        <v>46186</v>
      </c>
      <c r="H474" s="1">
        <v>46189.636188726901</v>
      </c>
      <c r="I474" s="22">
        <v>46189</v>
      </c>
      <c r="J474" s="24">
        <f t="shared" si="98"/>
        <v>46189.427626825687</v>
      </c>
      <c r="K474" s="24">
        <f t="shared" si="99"/>
        <v>0.63618872690130956</v>
      </c>
      <c r="L474" s="29">
        <f t="shared" si="105"/>
        <v>46188</v>
      </c>
      <c r="M474" s="27" t="str">
        <f t="shared" si="100"/>
        <v>Health Deterioration/TPA Approval Delay</v>
      </c>
      <c r="N474" s="31">
        <f t="shared" si="101"/>
        <v>3</v>
      </c>
      <c r="O474" s="27"/>
      <c r="Q474" s="8">
        <v>0.81633969380347104</v>
      </c>
      <c r="R474" s="8" t="str">
        <f t="shared" si="102"/>
        <v>Critical Delay</v>
      </c>
      <c r="S474" s="33">
        <v>3.0054856291694083</v>
      </c>
      <c r="T474" t="s">
        <v>31</v>
      </c>
      <c r="U474" s="3">
        <v>2</v>
      </c>
      <c r="V474" s="3" t="str">
        <f t="shared" si="106"/>
        <v>Normal</v>
      </c>
      <c r="W474" s="3" t="s">
        <v>50</v>
      </c>
      <c r="X474" s="32">
        <f t="shared" si="103"/>
        <v>0.2085619012141251</v>
      </c>
      <c r="Z474" s="38">
        <f t="shared" si="107"/>
        <v>8.3561901214125101E-2</v>
      </c>
      <c r="AC474" s="36">
        <v>0.125</v>
      </c>
      <c r="AL474" t="str">
        <f t="shared" si="108"/>
        <v>Health Deterioration/TPA Approval Delay</v>
      </c>
      <c r="AM474" t="str">
        <f t="shared" si="109"/>
        <v>Yes</v>
      </c>
      <c r="AN474" t="str">
        <f t="shared" si="110"/>
        <v>Emergency</v>
      </c>
      <c r="AO474" t="str">
        <f t="shared" si="111"/>
        <v>General Ward</v>
      </c>
    </row>
    <row r="475" spans="1:41" x14ac:dyDescent="0.3">
      <c r="A475" s="21" t="str">
        <f t="shared" si="104"/>
        <v>UHID-00474</v>
      </c>
      <c r="B475" s="18">
        <v>49</v>
      </c>
      <c r="C475" s="10" t="s">
        <v>18</v>
      </c>
      <c r="D475" s="13" t="s">
        <v>26</v>
      </c>
      <c r="E475" s="13" t="s">
        <v>1</v>
      </c>
      <c r="F475" s="15">
        <v>46185.526794502301</v>
      </c>
      <c r="G475" s="4">
        <v>46185</v>
      </c>
      <c r="H475" s="1">
        <v>46191.5919075579</v>
      </c>
      <c r="I475" s="22">
        <v>46191</v>
      </c>
      <c r="J475" s="24">
        <f t="shared" si="98"/>
        <v>46191.465691902573</v>
      </c>
      <c r="K475" s="24">
        <f t="shared" si="99"/>
        <v>0.59190755790041294</v>
      </c>
      <c r="L475" s="29">
        <f t="shared" si="105"/>
        <v>46190</v>
      </c>
      <c r="M475" s="27" t="str">
        <f t="shared" si="100"/>
        <v>TPA Approval Delay</v>
      </c>
      <c r="N475" s="31">
        <f t="shared" si="101"/>
        <v>6</v>
      </c>
      <c r="O475" s="27"/>
      <c r="Q475" s="8">
        <v>0.76740033416940701</v>
      </c>
      <c r="R475" s="8" t="str">
        <f t="shared" si="102"/>
        <v>Major Delay</v>
      </c>
      <c r="S475" s="33">
        <v>3.029175727928036</v>
      </c>
      <c r="T475" t="s">
        <v>31</v>
      </c>
      <c r="U475" s="3">
        <v>0</v>
      </c>
      <c r="V475" s="3" t="str">
        <f t="shared" si="106"/>
        <v>Normal</v>
      </c>
      <c r="W475" s="3" t="s">
        <v>51</v>
      </c>
      <c r="X475" s="32">
        <f t="shared" si="103"/>
        <v>0.12621565532754175</v>
      </c>
      <c r="Z475" s="38">
        <f t="shared" si="107"/>
        <v>1.2156553275417536E-3</v>
      </c>
      <c r="AC475" s="36">
        <v>0.125</v>
      </c>
      <c r="AL475" t="str">
        <f t="shared" si="108"/>
        <v>TPA Approval Delay</v>
      </c>
      <c r="AM475" t="str">
        <f t="shared" si="109"/>
        <v>No</v>
      </c>
      <c r="AN475" t="str">
        <f t="shared" si="110"/>
        <v>Elective</v>
      </c>
      <c r="AO475" t="str">
        <f t="shared" si="111"/>
        <v>HDU</v>
      </c>
    </row>
    <row r="476" spans="1:41" x14ac:dyDescent="0.3">
      <c r="A476" s="21" t="str">
        <f t="shared" si="104"/>
        <v>UHID-00475</v>
      </c>
      <c r="B476" s="18">
        <v>26</v>
      </c>
      <c r="C476" s="10" t="s">
        <v>18</v>
      </c>
      <c r="D476" s="13" t="s">
        <v>28</v>
      </c>
      <c r="E476" s="13" t="s">
        <v>1</v>
      </c>
      <c r="F476" s="15">
        <v>46190.002415011601</v>
      </c>
      <c r="G476" s="4">
        <v>46190</v>
      </c>
      <c r="H476" s="1">
        <v>46191.718097118101</v>
      </c>
      <c r="I476" s="22">
        <v>46191</v>
      </c>
      <c r="J476" s="24">
        <f t="shared" si="98"/>
        <v>46191.617216117789</v>
      </c>
      <c r="K476" s="24">
        <f t="shared" si="99"/>
        <v>0.71809711810055887</v>
      </c>
      <c r="L476" s="29">
        <f t="shared" si="105"/>
        <v>46190</v>
      </c>
      <c r="M476" s="27" t="str">
        <f t="shared" si="100"/>
        <v>Doctor Round Delay/Report Delay</v>
      </c>
      <c r="N476" s="31">
        <f t="shared" si="101"/>
        <v>1</v>
      </c>
      <c r="O476" s="27"/>
      <c r="Q476" s="8">
        <v>0.994419253918298</v>
      </c>
      <c r="R476" s="8" t="str">
        <f t="shared" si="102"/>
        <v>Minor Delay</v>
      </c>
      <c r="S476" s="33">
        <v>2.4211440074054065</v>
      </c>
      <c r="T476" t="s">
        <v>31</v>
      </c>
      <c r="U476" s="3">
        <v>0</v>
      </c>
      <c r="V476" s="3" t="str">
        <f t="shared" si="106"/>
        <v>Normal</v>
      </c>
      <c r="W476" s="3" t="s">
        <v>51</v>
      </c>
      <c r="X476" s="32">
        <f t="shared" si="103"/>
        <v>0.10088100031134672</v>
      </c>
      <c r="Z476" s="38">
        <f t="shared" si="107"/>
        <v>0</v>
      </c>
      <c r="AC476" s="36">
        <v>0.125</v>
      </c>
      <c r="AL476" t="str">
        <f t="shared" si="108"/>
        <v>Doctor Round Delay/Report Delay</v>
      </c>
      <c r="AM476" t="str">
        <f t="shared" si="109"/>
        <v>No</v>
      </c>
      <c r="AN476" t="str">
        <f t="shared" si="110"/>
        <v>Elective</v>
      </c>
      <c r="AO476" t="str">
        <f t="shared" si="111"/>
        <v>General Ward</v>
      </c>
    </row>
    <row r="477" spans="1:41" x14ac:dyDescent="0.3">
      <c r="A477" s="21" t="str">
        <f t="shared" si="104"/>
        <v>UHID-00476</v>
      </c>
      <c r="B477" s="18">
        <v>61</v>
      </c>
      <c r="C477" s="10" t="s">
        <v>17</v>
      </c>
      <c r="D477" s="13" t="s">
        <v>27</v>
      </c>
      <c r="E477" s="13" t="s">
        <v>1</v>
      </c>
      <c r="F477" s="15">
        <v>46188.822584745401</v>
      </c>
      <c r="G477" s="4">
        <v>46188</v>
      </c>
      <c r="H477" s="1">
        <v>46191.689089953703</v>
      </c>
      <c r="I477" s="22">
        <v>46191</v>
      </c>
      <c r="J477" s="24">
        <f t="shared" si="98"/>
        <v>46191.619584554974</v>
      </c>
      <c r="K477" s="24">
        <f t="shared" si="99"/>
        <v>0.68908995370293269</v>
      </c>
      <c r="L477" s="29">
        <f t="shared" si="105"/>
        <v>46190</v>
      </c>
      <c r="M477" s="27" t="str">
        <f t="shared" si="100"/>
        <v>Normal</v>
      </c>
      <c r="N477" s="31">
        <f t="shared" si="101"/>
        <v>3</v>
      </c>
      <c r="O477" s="27"/>
      <c r="Q477" s="8">
        <v>8.1951427363528229E-2</v>
      </c>
      <c r="R477" s="8" t="str">
        <f t="shared" si="102"/>
        <v>On Time</v>
      </c>
      <c r="S477" s="33">
        <v>1.6681295694433571</v>
      </c>
      <c r="T477" t="s">
        <v>30</v>
      </c>
      <c r="U477" s="3">
        <v>0</v>
      </c>
      <c r="V477" s="3" t="str">
        <f t="shared" si="106"/>
        <v/>
      </c>
      <c r="W477" s="3" t="s">
        <v>51</v>
      </c>
      <c r="X477" s="32">
        <f t="shared" si="103"/>
        <v>6.9505398729234003E-2</v>
      </c>
      <c r="Z477" s="38">
        <f t="shared" si="107"/>
        <v>0</v>
      </c>
      <c r="AC477" s="36">
        <v>0.125</v>
      </c>
      <c r="AL477" t="str">
        <f t="shared" si="108"/>
        <v>Normal</v>
      </c>
      <c r="AM477" t="str">
        <f t="shared" si="109"/>
        <v>No</v>
      </c>
      <c r="AN477" t="str">
        <f t="shared" si="110"/>
        <v>Elective</v>
      </c>
      <c r="AO477" t="str">
        <f t="shared" si="111"/>
        <v>General Ward</v>
      </c>
    </row>
    <row r="478" spans="1:41" x14ac:dyDescent="0.3">
      <c r="A478" s="21" t="str">
        <f t="shared" si="104"/>
        <v>UHID-00477</v>
      </c>
      <c r="B478" s="18">
        <v>76</v>
      </c>
      <c r="C478" s="10" t="s">
        <v>18</v>
      </c>
      <c r="D478" s="13" t="s">
        <v>27</v>
      </c>
      <c r="E478" s="13" t="s">
        <v>1</v>
      </c>
      <c r="F478" s="15">
        <v>46191.3811965278</v>
      </c>
      <c r="G478" s="4">
        <v>46191</v>
      </c>
      <c r="H478" s="1">
        <v>46191.4352059722</v>
      </c>
      <c r="I478" s="22">
        <v>46191</v>
      </c>
      <c r="J478" s="24">
        <f t="shared" si="98"/>
        <v>46191.190154488453</v>
      </c>
      <c r="K478" s="24">
        <f t="shared" si="99"/>
        <v>0.4352059722004924</v>
      </c>
      <c r="L478" s="29">
        <f t="shared" si="105"/>
        <v>46190</v>
      </c>
      <c r="M478" s="27" t="str">
        <f t="shared" si="100"/>
        <v>Health Deterioration</v>
      </c>
      <c r="N478" s="31">
        <f t="shared" si="101"/>
        <v>0</v>
      </c>
      <c r="O478" s="27"/>
      <c r="Q478" s="8">
        <v>0.34804014274682393</v>
      </c>
      <c r="R478" s="8" t="str">
        <f t="shared" si="102"/>
        <v>Critical Delay</v>
      </c>
      <c r="S478" s="33">
        <v>1.8812356098677836</v>
      </c>
      <c r="T478" t="s">
        <v>30</v>
      </c>
      <c r="U478" s="3">
        <v>4</v>
      </c>
      <c r="V478" s="3" t="str">
        <f t="shared" si="106"/>
        <v/>
      </c>
      <c r="W478" s="3" t="s">
        <v>50</v>
      </c>
      <c r="X478" s="32">
        <f t="shared" si="103"/>
        <v>0.24505148374737473</v>
      </c>
      <c r="Z478" s="38">
        <f t="shared" si="107"/>
        <v>0.12005148374737473</v>
      </c>
      <c r="AC478" s="36">
        <v>0.125</v>
      </c>
      <c r="AL478" t="str">
        <f t="shared" si="108"/>
        <v>Health Deterioration</v>
      </c>
      <c r="AM478" t="str">
        <f t="shared" si="109"/>
        <v>Yes</v>
      </c>
      <c r="AN478" t="str">
        <f t="shared" si="110"/>
        <v>Emergency</v>
      </c>
      <c r="AO478" t="str">
        <f t="shared" si="111"/>
        <v>General Ward</v>
      </c>
    </row>
    <row r="479" spans="1:41" x14ac:dyDescent="0.3">
      <c r="A479" s="21" t="str">
        <f t="shared" si="104"/>
        <v>UHID-00478</v>
      </c>
      <c r="B479" s="18">
        <v>66</v>
      </c>
      <c r="C479" s="10" t="s">
        <v>17</v>
      </c>
      <c r="D479" s="13" t="s">
        <v>27</v>
      </c>
      <c r="E479" s="13" t="s">
        <v>1</v>
      </c>
      <c r="F479" s="15">
        <v>46189.845271585596</v>
      </c>
      <c r="G479" s="4">
        <v>46189</v>
      </c>
      <c r="H479" s="1">
        <v>46191.631632141201</v>
      </c>
      <c r="I479" s="22">
        <v>46191</v>
      </c>
      <c r="J479" s="24">
        <f t="shared" si="98"/>
        <v>46191.557971879083</v>
      </c>
      <c r="K479" s="24">
        <f t="shared" si="99"/>
        <v>0.63163214120140765</v>
      </c>
      <c r="L479" s="29">
        <f t="shared" si="105"/>
        <v>46190</v>
      </c>
      <c r="M479" s="27" t="str">
        <f t="shared" si="100"/>
        <v>Normal</v>
      </c>
      <c r="N479" s="31">
        <f t="shared" si="101"/>
        <v>2</v>
      </c>
      <c r="O479" s="27"/>
      <c r="Q479" s="8">
        <v>0.28652899756593675</v>
      </c>
      <c r="R479" s="8" t="str">
        <f t="shared" si="102"/>
        <v>On Time</v>
      </c>
      <c r="S479" s="33">
        <v>1.76784629085622</v>
      </c>
      <c r="T479" t="s">
        <v>30</v>
      </c>
      <c r="U479" s="3">
        <v>0</v>
      </c>
      <c r="V479" s="3" t="str">
        <f t="shared" si="106"/>
        <v/>
      </c>
      <c r="W479" s="3" t="s">
        <v>51</v>
      </c>
      <c r="X479" s="32">
        <f t="shared" si="103"/>
        <v>7.3660262118210085E-2</v>
      </c>
      <c r="Z479" s="38">
        <f t="shared" si="107"/>
        <v>0</v>
      </c>
      <c r="AC479" s="36">
        <v>0.125</v>
      </c>
      <c r="AL479" t="str">
        <f t="shared" si="108"/>
        <v>Normal</v>
      </c>
      <c r="AM479" t="str">
        <f t="shared" si="109"/>
        <v>No</v>
      </c>
      <c r="AN479" t="str">
        <f t="shared" si="110"/>
        <v>Elective</v>
      </c>
      <c r="AO479" t="str">
        <f t="shared" si="111"/>
        <v>General Ward</v>
      </c>
    </row>
    <row r="480" spans="1:41" x14ac:dyDescent="0.3">
      <c r="A480" s="21" t="str">
        <f t="shared" si="104"/>
        <v>UHID-00479</v>
      </c>
      <c r="B480" s="18">
        <v>78</v>
      </c>
      <c r="C480" s="10" t="s">
        <v>18</v>
      </c>
      <c r="D480" s="13" t="s">
        <v>26</v>
      </c>
      <c r="E480" s="13" t="s">
        <v>1</v>
      </c>
      <c r="F480" s="15">
        <v>46188.774056064802</v>
      </c>
      <c r="G480" s="4">
        <v>46188</v>
      </c>
      <c r="H480" s="1">
        <v>46191.675100254601</v>
      </c>
      <c r="I480" s="22">
        <v>46191</v>
      </c>
      <c r="J480" s="24">
        <f t="shared" si="98"/>
        <v>46191.456454405132</v>
      </c>
      <c r="K480" s="24">
        <f t="shared" si="99"/>
        <v>0.67510025460069301</v>
      </c>
      <c r="L480" s="29">
        <f t="shared" si="105"/>
        <v>46190</v>
      </c>
      <c r="M480" s="27" t="str">
        <f t="shared" si="100"/>
        <v>Health Deterioration/TPA Approval Delay</v>
      </c>
      <c r="N480" s="31">
        <f t="shared" si="101"/>
        <v>3</v>
      </c>
      <c r="O480" s="27"/>
      <c r="Q480" s="8">
        <v>0.56120263414387506</v>
      </c>
      <c r="R480" s="8" t="str">
        <f t="shared" si="102"/>
        <v>Critical Delay</v>
      </c>
      <c r="S480" s="33">
        <v>3.2475003873034369</v>
      </c>
      <c r="T480" t="s">
        <v>31</v>
      </c>
      <c r="U480" s="3">
        <v>2</v>
      </c>
      <c r="V480" s="3" t="str">
        <f t="shared" si="106"/>
        <v>Normal</v>
      </c>
      <c r="W480" s="3" t="s">
        <v>50</v>
      </c>
      <c r="X480" s="32">
        <f t="shared" si="103"/>
        <v>0.21864584946888499</v>
      </c>
      <c r="Z480" s="38">
        <f t="shared" si="107"/>
        <v>9.364584946888499E-2</v>
      </c>
      <c r="AC480" s="36">
        <v>0.125</v>
      </c>
      <c r="AL480" t="str">
        <f t="shared" si="108"/>
        <v>Health Deterioration/TPA Approval Delay</v>
      </c>
      <c r="AM480" t="str">
        <f t="shared" si="109"/>
        <v>Yes</v>
      </c>
      <c r="AN480" t="str">
        <f t="shared" si="110"/>
        <v>Emergency</v>
      </c>
      <c r="AO480" t="str">
        <f t="shared" si="111"/>
        <v>General Ward</v>
      </c>
    </row>
    <row r="481" spans="1:41" x14ac:dyDescent="0.3">
      <c r="A481" s="21" t="str">
        <f t="shared" si="104"/>
        <v>UHID-00480</v>
      </c>
      <c r="B481" s="18">
        <v>69</v>
      </c>
      <c r="C481" s="10" t="s">
        <v>18</v>
      </c>
      <c r="D481" s="13" t="s">
        <v>26</v>
      </c>
      <c r="E481" s="13" t="s">
        <v>1</v>
      </c>
      <c r="F481" s="15">
        <v>46191.594236794001</v>
      </c>
      <c r="G481" s="4">
        <v>46191</v>
      </c>
      <c r="H481" s="1">
        <v>46191.885756411997</v>
      </c>
      <c r="I481" s="22">
        <v>46191</v>
      </c>
      <c r="J481" s="24">
        <f t="shared" si="98"/>
        <v>46191.730795129377</v>
      </c>
      <c r="K481" s="24">
        <f t="shared" si="99"/>
        <v>0.88575641199713573</v>
      </c>
      <c r="L481" s="29">
        <f t="shared" si="105"/>
        <v>46190</v>
      </c>
      <c r="M481" s="27" t="str">
        <f t="shared" si="100"/>
        <v>TPA Approval Delay</v>
      </c>
      <c r="N481" s="31">
        <f t="shared" si="101"/>
        <v>0</v>
      </c>
      <c r="O481" s="27"/>
      <c r="Q481" s="8">
        <v>0.81876352397702712</v>
      </c>
      <c r="R481" s="8" t="str">
        <f t="shared" si="102"/>
        <v>Major Delay</v>
      </c>
      <c r="S481" s="33">
        <v>3.7190707828397507</v>
      </c>
      <c r="T481" t="s">
        <v>31</v>
      </c>
      <c r="U481" s="3">
        <v>0</v>
      </c>
      <c r="V481" s="3" t="str">
        <f t="shared" si="106"/>
        <v>Normal</v>
      </c>
      <c r="W481" s="3" t="s">
        <v>51</v>
      </c>
      <c r="X481" s="32">
        <f t="shared" si="103"/>
        <v>0.15496128262020648</v>
      </c>
      <c r="Z481" s="38">
        <f t="shared" si="107"/>
        <v>2.9961282620206475E-2</v>
      </c>
      <c r="AC481" s="36">
        <v>0.125</v>
      </c>
      <c r="AL481" t="str">
        <f t="shared" si="108"/>
        <v>TPA Approval Delay</v>
      </c>
      <c r="AM481" t="str">
        <f t="shared" si="109"/>
        <v>No</v>
      </c>
      <c r="AN481" t="str">
        <f t="shared" si="110"/>
        <v>Elective</v>
      </c>
      <c r="AO481" t="str">
        <f t="shared" si="111"/>
        <v>General Ward</v>
      </c>
    </row>
    <row r="482" spans="1:41" x14ac:dyDescent="0.3">
      <c r="A482" s="21" t="str">
        <f t="shared" si="104"/>
        <v>UHID-00481</v>
      </c>
      <c r="B482" s="18">
        <v>68</v>
      </c>
      <c r="C482" s="10" t="s">
        <v>18</v>
      </c>
      <c r="D482" s="13" t="s">
        <v>27</v>
      </c>
      <c r="E482" s="13" t="s">
        <v>1</v>
      </c>
      <c r="F482" s="15">
        <v>46188.782256006903</v>
      </c>
      <c r="G482" s="4">
        <v>46188</v>
      </c>
      <c r="H482" s="1">
        <v>46192.575235347198</v>
      </c>
      <c r="I482" s="22">
        <v>46192</v>
      </c>
      <c r="J482" s="24">
        <f t="shared" si="98"/>
        <v>46192.513390715307</v>
      </c>
      <c r="K482" s="24">
        <f t="shared" si="99"/>
        <v>0.57523534719803138</v>
      </c>
      <c r="L482" s="29">
        <f t="shared" si="105"/>
        <v>46191</v>
      </c>
      <c r="M482" s="27" t="str">
        <f t="shared" si="100"/>
        <v>Normal</v>
      </c>
      <c r="N482" s="31">
        <f t="shared" si="101"/>
        <v>4</v>
      </c>
      <c r="O482" s="27"/>
      <c r="Q482" s="8">
        <v>0.45324943669469731</v>
      </c>
      <c r="R482" s="8" t="str">
        <f t="shared" si="102"/>
        <v>On Time</v>
      </c>
      <c r="S482" s="33">
        <v>1.4842711654402958</v>
      </c>
      <c r="T482" t="s">
        <v>31</v>
      </c>
      <c r="U482" s="3">
        <v>0</v>
      </c>
      <c r="V482" s="3" t="str">
        <f t="shared" si="106"/>
        <v>Normal</v>
      </c>
      <c r="W482" s="3" t="s">
        <v>51</v>
      </c>
      <c r="X482" s="32">
        <f t="shared" si="103"/>
        <v>6.1844631891290192E-2</v>
      </c>
      <c r="Z482" s="38">
        <f t="shared" si="107"/>
        <v>0</v>
      </c>
      <c r="AC482" s="36">
        <v>0.125</v>
      </c>
      <c r="AL482" t="str">
        <f t="shared" si="108"/>
        <v>Normal</v>
      </c>
      <c r="AM482" t="str">
        <f t="shared" si="109"/>
        <v>No</v>
      </c>
      <c r="AN482" t="str">
        <f t="shared" si="110"/>
        <v>Elective</v>
      </c>
      <c r="AO482" t="str">
        <f t="shared" si="111"/>
        <v>HDU</v>
      </c>
    </row>
    <row r="483" spans="1:41" x14ac:dyDescent="0.3">
      <c r="A483" s="21" t="str">
        <f t="shared" si="104"/>
        <v>UHID-00482</v>
      </c>
      <c r="B483" s="18">
        <v>76</v>
      </c>
      <c r="C483" s="10" t="s">
        <v>18</v>
      </c>
      <c r="D483" s="13" t="s">
        <v>26</v>
      </c>
      <c r="E483" s="13" t="s">
        <v>1</v>
      </c>
      <c r="F483" s="15">
        <v>46192.367706331002</v>
      </c>
      <c r="G483" s="4">
        <v>46192</v>
      </c>
      <c r="H483" s="1">
        <v>46192.476970057898</v>
      </c>
      <c r="I483" s="22">
        <v>46192</v>
      </c>
      <c r="J483" s="24">
        <f t="shared" si="98"/>
        <v>46192.34509154471</v>
      </c>
      <c r="K483" s="24">
        <f t="shared" si="99"/>
        <v>0.47697005789814284</v>
      </c>
      <c r="L483" s="29">
        <f t="shared" si="105"/>
        <v>46191</v>
      </c>
      <c r="M483" s="27" t="str">
        <f t="shared" si="100"/>
        <v>TPA Approval Delay</v>
      </c>
      <c r="N483" s="31">
        <f t="shared" si="101"/>
        <v>0</v>
      </c>
      <c r="O483" s="27"/>
      <c r="Q483" s="8">
        <v>0.81937838293377763</v>
      </c>
      <c r="R483" s="8" t="str">
        <f t="shared" si="102"/>
        <v>Major Delay</v>
      </c>
      <c r="S483" s="33">
        <v>3.1650843164861064</v>
      </c>
      <c r="T483" t="s">
        <v>31</v>
      </c>
      <c r="U483" s="3">
        <v>0</v>
      </c>
      <c r="V483" s="3" t="str">
        <f t="shared" si="106"/>
        <v>Normal</v>
      </c>
      <c r="W483" s="3" t="s">
        <v>51</v>
      </c>
      <c r="X483" s="32">
        <f t="shared" si="103"/>
        <v>0.13187851318798494</v>
      </c>
      <c r="Z483" s="38">
        <f t="shared" si="107"/>
        <v>6.8785131879849359E-3</v>
      </c>
      <c r="AC483" s="36">
        <v>0.125</v>
      </c>
      <c r="AL483" t="str">
        <f t="shared" si="108"/>
        <v>TPA Approval Delay</v>
      </c>
      <c r="AM483" t="str">
        <f t="shared" si="109"/>
        <v>No</v>
      </c>
      <c r="AN483" t="str">
        <f t="shared" si="110"/>
        <v>Elective</v>
      </c>
      <c r="AO483" t="str">
        <f t="shared" si="111"/>
        <v>General Ward</v>
      </c>
    </row>
    <row r="484" spans="1:41" x14ac:dyDescent="0.3">
      <c r="A484" s="21" t="str">
        <f t="shared" si="104"/>
        <v>UHID-00483</v>
      </c>
      <c r="B484" s="18">
        <v>35</v>
      </c>
      <c r="C484" s="10" t="s">
        <v>17</v>
      </c>
      <c r="D484" s="13" t="s">
        <v>27</v>
      </c>
      <c r="E484" s="13" t="s">
        <v>1</v>
      </c>
      <c r="F484" s="15">
        <v>46190.770138911997</v>
      </c>
      <c r="G484" s="4">
        <v>46190</v>
      </c>
      <c r="H484" s="1">
        <v>46192.607847164298</v>
      </c>
      <c r="I484" s="22">
        <v>46192</v>
      </c>
      <c r="J484" s="24">
        <f t="shared" si="98"/>
        <v>46192.561162529339</v>
      </c>
      <c r="K484" s="24">
        <f t="shared" si="99"/>
        <v>0.60784716429770924</v>
      </c>
      <c r="L484" s="29">
        <f t="shared" si="105"/>
        <v>46191</v>
      </c>
      <c r="M484" s="27" t="str">
        <f t="shared" si="100"/>
        <v>Normal</v>
      </c>
      <c r="N484" s="31">
        <f t="shared" si="101"/>
        <v>2</v>
      </c>
      <c r="O484" s="27"/>
      <c r="Q484" s="8">
        <v>0.49016775946077051</v>
      </c>
      <c r="R484" s="8" t="str">
        <f t="shared" si="102"/>
        <v>On Time</v>
      </c>
      <c r="S484" s="33">
        <v>1.1204312389672499</v>
      </c>
      <c r="T484" t="s">
        <v>31</v>
      </c>
      <c r="U484" s="3">
        <v>0</v>
      </c>
      <c r="V484" s="3" t="str">
        <f t="shared" si="106"/>
        <v>Normal</v>
      </c>
      <c r="W484" s="3" t="s">
        <v>51</v>
      </c>
      <c r="X484" s="32">
        <f t="shared" si="103"/>
        <v>4.6684634959092364E-2</v>
      </c>
      <c r="Z484" s="38">
        <f t="shared" si="107"/>
        <v>0</v>
      </c>
      <c r="AC484" s="36">
        <v>0.125</v>
      </c>
      <c r="AL484" t="str">
        <f t="shared" si="108"/>
        <v>Normal</v>
      </c>
      <c r="AM484" t="str">
        <f t="shared" si="109"/>
        <v>No</v>
      </c>
      <c r="AN484" t="str">
        <f t="shared" si="110"/>
        <v>Elective</v>
      </c>
      <c r="AO484" t="str">
        <f t="shared" si="111"/>
        <v>General Ward</v>
      </c>
    </row>
    <row r="485" spans="1:41" x14ac:dyDescent="0.3">
      <c r="A485" s="21" t="str">
        <f t="shared" si="104"/>
        <v>UHID-00484</v>
      </c>
      <c r="B485" s="18">
        <v>58</v>
      </c>
      <c r="C485" s="10" t="s">
        <v>17</v>
      </c>
      <c r="D485" s="13" t="s">
        <v>26</v>
      </c>
      <c r="E485" s="13" t="s">
        <v>1</v>
      </c>
      <c r="F485" s="15">
        <v>46191.823262650498</v>
      </c>
      <c r="G485" s="4">
        <v>46191</v>
      </c>
      <c r="H485" s="1">
        <v>46192.6611853125</v>
      </c>
      <c r="I485" s="22">
        <v>46192</v>
      </c>
      <c r="J485" s="24">
        <f t="shared" si="98"/>
        <v>46192.526994599801</v>
      </c>
      <c r="K485" s="24">
        <f t="shared" si="99"/>
        <v>0.66118531249958323</v>
      </c>
      <c r="L485" s="29">
        <f t="shared" si="105"/>
        <v>46191</v>
      </c>
      <c r="M485" s="27" t="str">
        <f t="shared" si="100"/>
        <v>TPA Approval Delay</v>
      </c>
      <c r="N485" s="31">
        <f t="shared" si="101"/>
        <v>1</v>
      </c>
      <c r="O485" s="27"/>
      <c r="Q485" s="8">
        <v>0.7597007931452433</v>
      </c>
      <c r="R485" s="8" t="str">
        <f t="shared" si="102"/>
        <v>Major Delay</v>
      </c>
      <c r="S485" s="33">
        <v>3.2205771047559755</v>
      </c>
      <c r="T485" t="s">
        <v>31</v>
      </c>
      <c r="U485" s="3">
        <v>0</v>
      </c>
      <c r="V485" s="3" t="str">
        <f t="shared" si="106"/>
        <v>Normal</v>
      </c>
      <c r="W485" s="3" t="s">
        <v>51</v>
      </c>
      <c r="X485" s="32">
        <f t="shared" si="103"/>
        <v>0.13419071269890992</v>
      </c>
      <c r="Z485" s="38">
        <f t="shared" si="107"/>
        <v>9.1907126989099197E-3</v>
      </c>
      <c r="AC485" s="36">
        <v>0.125</v>
      </c>
      <c r="AL485" t="str">
        <f t="shared" si="108"/>
        <v>TPA Approval Delay</v>
      </c>
      <c r="AM485" t="str">
        <f t="shared" si="109"/>
        <v>No</v>
      </c>
      <c r="AN485" t="str">
        <f t="shared" si="110"/>
        <v>Elective</v>
      </c>
      <c r="AO485" t="str">
        <f t="shared" si="111"/>
        <v>General Ward</v>
      </c>
    </row>
    <row r="486" spans="1:41" x14ac:dyDescent="0.3">
      <c r="A486" s="21" t="str">
        <f t="shared" si="104"/>
        <v>UHID-00485</v>
      </c>
      <c r="B486" s="18">
        <v>58</v>
      </c>
      <c r="C486" s="10" t="s">
        <v>17</v>
      </c>
      <c r="D486" s="13" t="s">
        <v>27</v>
      </c>
      <c r="E486" s="13" t="s">
        <v>1</v>
      </c>
      <c r="F486" s="15">
        <v>46188.411744236102</v>
      </c>
      <c r="G486" s="4">
        <v>46188</v>
      </c>
      <c r="H486" s="1">
        <v>46192.6525039236</v>
      </c>
      <c r="I486" s="22">
        <v>46192</v>
      </c>
      <c r="J486" s="24">
        <f t="shared" si="98"/>
        <v>46192.596577388853</v>
      </c>
      <c r="K486" s="24">
        <f t="shared" si="99"/>
        <v>0.65250392360030673</v>
      </c>
      <c r="L486" s="29">
        <f t="shared" si="105"/>
        <v>46191</v>
      </c>
      <c r="M486" s="27" t="str">
        <f t="shared" si="100"/>
        <v>Normal</v>
      </c>
      <c r="N486" s="31">
        <f t="shared" si="101"/>
        <v>4</v>
      </c>
      <c r="O486" s="27"/>
      <c r="Q486" s="8">
        <v>0.35937342280364892</v>
      </c>
      <c r="R486" s="8" t="str">
        <f t="shared" si="102"/>
        <v>On Time</v>
      </c>
      <c r="S486" s="33">
        <v>1.3422368339115067</v>
      </c>
      <c r="T486" t="s">
        <v>31</v>
      </c>
      <c r="U486" s="3">
        <v>0</v>
      </c>
      <c r="V486" s="3" t="str">
        <f t="shared" si="106"/>
        <v>Normal</v>
      </c>
      <c r="W486" s="3" t="s">
        <v>51</v>
      </c>
      <c r="X486" s="32">
        <f t="shared" si="103"/>
        <v>5.5926534747413825E-2</v>
      </c>
      <c r="Z486" s="38">
        <f t="shared" si="107"/>
        <v>0</v>
      </c>
      <c r="AC486" s="36">
        <v>0.125</v>
      </c>
      <c r="AL486" t="str">
        <f t="shared" si="108"/>
        <v>Normal</v>
      </c>
      <c r="AM486" t="str">
        <f t="shared" si="109"/>
        <v>No</v>
      </c>
      <c r="AN486" t="str">
        <f t="shared" si="110"/>
        <v>Elective</v>
      </c>
      <c r="AO486" t="str">
        <f t="shared" si="111"/>
        <v>HDU</v>
      </c>
    </row>
    <row r="487" spans="1:41" x14ac:dyDescent="0.3">
      <c r="A487" s="21" t="str">
        <f t="shared" si="104"/>
        <v>UHID-00486</v>
      </c>
      <c r="B487" s="18">
        <v>73</v>
      </c>
      <c r="C487" s="10" t="s">
        <v>17</v>
      </c>
      <c r="D487" s="13" t="s">
        <v>26</v>
      </c>
      <c r="E487" s="13" t="s">
        <v>1</v>
      </c>
      <c r="F487" s="15">
        <v>46188.7023409838</v>
      </c>
      <c r="G487" s="4">
        <v>46188</v>
      </c>
      <c r="H487" s="1">
        <v>46192.652196481497</v>
      </c>
      <c r="I487" s="22">
        <v>46192</v>
      </c>
      <c r="J487" s="24">
        <f t="shared" si="98"/>
        <v>46192.486731931596</v>
      </c>
      <c r="K487" s="24">
        <f t="shared" si="99"/>
        <v>0.65219648149650311</v>
      </c>
      <c r="L487" s="29">
        <f t="shared" si="105"/>
        <v>46191</v>
      </c>
      <c r="M487" s="27" t="str">
        <f t="shared" si="100"/>
        <v>TPA Approval Delay</v>
      </c>
      <c r="N487" s="31">
        <f t="shared" si="101"/>
        <v>4</v>
      </c>
      <c r="O487" s="27"/>
      <c r="Q487" s="8">
        <v>0.57840954472708239</v>
      </c>
      <c r="R487" s="8" t="str">
        <f t="shared" si="102"/>
        <v>Major Delay</v>
      </c>
      <c r="S487" s="33">
        <v>3.9711491976126814</v>
      </c>
      <c r="T487" t="s">
        <v>31</v>
      </c>
      <c r="U487" s="3">
        <v>0</v>
      </c>
      <c r="V487" s="3" t="str">
        <f t="shared" si="106"/>
        <v>Normal</v>
      </c>
      <c r="W487" s="3" t="s">
        <v>51</v>
      </c>
      <c r="X487" s="32">
        <f t="shared" si="103"/>
        <v>0.1654645499002072</v>
      </c>
      <c r="Z487" s="38">
        <f t="shared" si="107"/>
        <v>4.0464549900207203E-2</v>
      </c>
      <c r="AC487" s="36">
        <v>0.125</v>
      </c>
      <c r="AL487" t="str">
        <f t="shared" si="108"/>
        <v>TPA Approval Delay</v>
      </c>
      <c r="AM487" t="str">
        <f t="shared" si="109"/>
        <v>No</v>
      </c>
      <c r="AN487" t="str">
        <f t="shared" si="110"/>
        <v>Elective</v>
      </c>
      <c r="AO487" t="str">
        <f t="shared" si="111"/>
        <v>HDU</v>
      </c>
    </row>
    <row r="488" spans="1:41" x14ac:dyDescent="0.3">
      <c r="A488" s="21" t="str">
        <f t="shared" si="104"/>
        <v>UHID-00487</v>
      </c>
      <c r="B488" s="18">
        <v>69</v>
      </c>
      <c r="C488" s="10" t="s">
        <v>18</v>
      </c>
      <c r="D488" s="13" t="s">
        <v>28</v>
      </c>
      <c r="E488" s="13" t="s">
        <v>1</v>
      </c>
      <c r="F488" s="15">
        <v>46192.764597465299</v>
      </c>
      <c r="G488" s="4">
        <v>46192</v>
      </c>
      <c r="H488" s="1">
        <v>46192.909910833303</v>
      </c>
      <c r="I488" s="22">
        <v>46192</v>
      </c>
      <c r="J488" s="24">
        <f t="shared" si="98"/>
        <v>46192.803516485437</v>
      </c>
      <c r="K488" s="24">
        <f t="shared" si="99"/>
        <v>0.90991083330300171</v>
      </c>
      <c r="L488" s="29">
        <f t="shared" si="105"/>
        <v>46191</v>
      </c>
      <c r="M488" s="27" t="str">
        <f t="shared" si="100"/>
        <v>Doctor Round Delay/Report Delay</v>
      </c>
      <c r="N488" s="31">
        <f t="shared" si="101"/>
        <v>0</v>
      </c>
      <c r="O488" s="27"/>
      <c r="Q488" s="8">
        <v>0.91020830012080289</v>
      </c>
      <c r="R488" s="8" t="str">
        <f t="shared" si="102"/>
        <v>Minor Delay</v>
      </c>
      <c r="S488" s="33">
        <v>2.5534643487548281</v>
      </c>
      <c r="T488" t="s">
        <v>31</v>
      </c>
      <c r="U488" s="3">
        <v>0</v>
      </c>
      <c r="V488" s="3" t="str">
        <f t="shared" si="106"/>
        <v>Normal</v>
      </c>
      <c r="W488" s="3" t="s">
        <v>51</v>
      </c>
      <c r="X488" s="32">
        <f t="shared" si="103"/>
        <v>0.10639434786571655</v>
      </c>
      <c r="Z488" s="38">
        <f t="shared" si="107"/>
        <v>0</v>
      </c>
      <c r="AC488" s="36">
        <v>0.125</v>
      </c>
      <c r="AL488" t="str">
        <f t="shared" si="108"/>
        <v>Doctor Round Delay/Report Delay</v>
      </c>
      <c r="AM488" t="str">
        <f t="shared" si="109"/>
        <v>No</v>
      </c>
      <c r="AN488" t="str">
        <f t="shared" si="110"/>
        <v>Elective</v>
      </c>
      <c r="AO488" t="str">
        <f t="shared" si="111"/>
        <v>General Ward</v>
      </c>
    </row>
    <row r="489" spans="1:41" x14ac:dyDescent="0.3">
      <c r="A489" s="21" t="str">
        <f t="shared" si="104"/>
        <v>UHID-00488</v>
      </c>
      <c r="B489" s="18">
        <v>65</v>
      </c>
      <c r="C489" s="10" t="s">
        <v>17</v>
      </c>
      <c r="D489" s="13" t="s">
        <v>27</v>
      </c>
      <c r="E489" s="13" t="s">
        <v>1</v>
      </c>
      <c r="F489" s="15">
        <v>46181.9521233333</v>
      </c>
      <c r="G489" s="4">
        <v>46181</v>
      </c>
      <c r="H489" s="1">
        <v>46193.633449363399</v>
      </c>
      <c r="I489" s="22">
        <v>46193</v>
      </c>
      <c r="J489" s="24">
        <f t="shared" si="98"/>
        <v>46193.586191401599</v>
      </c>
      <c r="K489" s="24">
        <f t="shared" si="99"/>
        <v>0.6334493633985403</v>
      </c>
      <c r="L489" s="29">
        <f t="shared" si="105"/>
        <v>46192</v>
      </c>
      <c r="M489" s="27" t="str">
        <f t="shared" si="100"/>
        <v>Normal</v>
      </c>
      <c r="N489" s="31">
        <f t="shared" si="101"/>
        <v>12</v>
      </c>
      <c r="O489" s="27"/>
      <c r="Q489" s="8">
        <v>0.33626487742419897</v>
      </c>
      <c r="R489" s="8" t="str">
        <f t="shared" si="102"/>
        <v>On Time</v>
      </c>
      <c r="S489" s="33">
        <v>1.1341910831890933</v>
      </c>
      <c r="T489" t="s">
        <v>30</v>
      </c>
      <c r="U489" s="3">
        <v>0</v>
      </c>
      <c r="V489" s="3" t="str">
        <f t="shared" si="106"/>
        <v/>
      </c>
      <c r="W489" s="3" t="s">
        <v>51</v>
      </c>
      <c r="X489" s="32">
        <f t="shared" si="103"/>
        <v>4.7257961799914483E-2</v>
      </c>
      <c r="Z489" s="38">
        <f t="shared" si="107"/>
        <v>0</v>
      </c>
      <c r="AC489" s="36">
        <v>0.125</v>
      </c>
      <c r="AL489" t="str">
        <f t="shared" si="108"/>
        <v>Normal</v>
      </c>
      <c r="AM489" t="str">
        <f t="shared" si="109"/>
        <v>Yes</v>
      </c>
      <c r="AN489" t="str">
        <f t="shared" si="110"/>
        <v>Emergency</v>
      </c>
      <c r="AO489" t="str">
        <f t="shared" si="111"/>
        <v>ICU</v>
      </c>
    </row>
    <row r="490" spans="1:41" x14ac:dyDescent="0.3">
      <c r="A490" s="21" t="str">
        <f t="shared" si="104"/>
        <v>UHID-00489</v>
      </c>
      <c r="B490" s="18">
        <v>76</v>
      </c>
      <c r="C490" s="10" t="s">
        <v>18</v>
      </c>
      <c r="D490" s="13" t="s">
        <v>27</v>
      </c>
      <c r="E490" s="13" t="s">
        <v>1</v>
      </c>
      <c r="F490" s="15">
        <v>46193.371102210702</v>
      </c>
      <c r="G490" s="4">
        <v>46193</v>
      </c>
      <c r="H490" s="1">
        <v>46193.492865763903</v>
      </c>
      <c r="I490" s="22">
        <v>46193</v>
      </c>
      <c r="J490" s="24">
        <f t="shared" si="98"/>
        <v>46193.085555004604</v>
      </c>
      <c r="K490" s="24">
        <f t="shared" si="99"/>
        <v>0.49286576390295522</v>
      </c>
      <c r="L490" s="29">
        <f t="shared" si="105"/>
        <v>46192</v>
      </c>
      <c r="M490" s="27" t="str">
        <f t="shared" si="100"/>
        <v>Health Deterioration</v>
      </c>
      <c r="N490" s="31">
        <f t="shared" si="101"/>
        <v>0</v>
      </c>
      <c r="O490" s="27"/>
      <c r="Q490" s="8">
        <v>0.33559524082332115</v>
      </c>
      <c r="R490" s="8" t="str">
        <f t="shared" si="102"/>
        <v>Critical Delay</v>
      </c>
      <c r="S490" s="33">
        <v>1.7754582232583367</v>
      </c>
      <c r="T490" t="s">
        <v>30</v>
      </c>
      <c r="U490" s="3">
        <v>8</v>
      </c>
      <c r="V490" s="3" t="str">
        <f t="shared" si="106"/>
        <v/>
      </c>
      <c r="W490" s="3" t="s">
        <v>52</v>
      </c>
      <c r="X490" s="32">
        <f t="shared" si="103"/>
        <v>0.40731075929943472</v>
      </c>
      <c r="Z490" s="38">
        <f t="shared" si="107"/>
        <v>0.28231075929943472</v>
      </c>
      <c r="AC490" s="36">
        <v>0.125</v>
      </c>
      <c r="AL490" t="str">
        <f t="shared" si="108"/>
        <v>Health Deterioration</v>
      </c>
      <c r="AM490" t="str">
        <f t="shared" si="109"/>
        <v>Yes</v>
      </c>
      <c r="AN490" t="str">
        <f t="shared" si="110"/>
        <v>Emergency</v>
      </c>
      <c r="AO490" t="str">
        <f t="shared" si="111"/>
        <v>General Ward</v>
      </c>
    </row>
    <row r="491" spans="1:41" x14ac:dyDescent="0.3">
      <c r="A491" s="21" t="str">
        <f t="shared" si="104"/>
        <v>UHID-00490</v>
      </c>
      <c r="B491" s="18">
        <v>52</v>
      </c>
      <c r="C491" s="10" t="s">
        <v>17</v>
      </c>
      <c r="D491" s="13" t="s">
        <v>28</v>
      </c>
      <c r="E491" s="13" t="s">
        <v>1</v>
      </c>
      <c r="F491" s="15">
        <v>46191.524285138898</v>
      </c>
      <c r="G491" s="4">
        <v>46191</v>
      </c>
      <c r="H491" s="1">
        <v>46193.669495115697</v>
      </c>
      <c r="I491" s="22">
        <v>46193</v>
      </c>
      <c r="J491" s="24">
        <f t="shared" si="98"/>
        <v>46193.423282309173</v>
      </c>
      <c r="K491" s="24">
        <f t="shared" si="99"/>
        <v>0.66949511569691822</v>
      </c>
      <c r="L491" s="29">
        <f t="shared" si="105"/>
        <v>46192</v>
      </c>
      <c r="M491" s="27" t="str">
        <f t="shared" si="100"/>
        <v>Health Deterioration</v>
      </c>
      <c r="N491" s="31">
        <f t="shared" si="101"/>
        <v>2</v>
      </c>
      <c r="O491" s="27"/>
      <c r="Q491" s="8">
        <v>0.9808410835226028</v>
      </c>
      <c r="R491" s="8" t="str">
        <f t="shared" si="102"/>
        <v>Critical Delay</v>
      </c>
      <c r="S491" s="33">
        <v>2.9091073566049452</v>
      </c>
      <c r="T491" t="s">
        <v>31</v>
      </c>
      <c r="U491" s="3">
        <v>3</v>
      </c>
      <c r="V491" s="3" t="str">
        <f t="shared" si="106"/>
        <v>Normal</v>
      </c>
      <c r="W491" s="3" t="s">
        <v>50</v>
      </c>
      <c r="X491" s="32">
        <f t="shared" si="103"/>
        <v>0.24621280652354471</v>
      </c>
      <c r="Z491" s="38">
        <f t="shared" si="107"/>
        <v>0.12121280652354471</v>
      </c>
      <c r="AC491" s="36">
        <v>0.125</v>
      </c>
      <c r="AL491" t="str">
        <f t="shared" si="108"/>
        <v>Health Deterioration</v>
      </c>
      <c r="AM491" t="str">
        <f t="shared" si="109"/>
        <v>No</v>
      </c>
      <c r="AN491" t="str">
        <f t="shared" si="110"/>
        <v>Elective</v>
      </c>
      <c r="AO491" t="str">
        <f t="shared" si="111"/>
        <v>General Ward</v>
      </c>
    </row>
    <row r="492" spans="1:41" x14ac:dyDescent="0.3">
      <c r="A492" s="21" t="str">
        <f t="shared" si="104"/>
        <v>UHID-00491</v>
      </c>
      <c r="B492" s="18">
        <v>71</v>
      </c>
      <c r="C492" s="10" t="s">
        <v>17</v>
      </c>
      <c r="D492" s="13" t="s">
        <v>27</v>
      </c>
      <c r="E492" s="13" t="s">
        <v>1</v>
      </c>
      <c r="F492" s="15">
        <v>46170.689380648102</v>
      </c>
      <c r="G492" s="4">
        <v>46170</v>
      </c>
      <c r="H492" s="1">
        <v>46193.557697291697</v>
      </c>
      <c r="I492" s="22">
        <v>46193</v>
      </c>
      <c r="J492" s="24">
        <f t="shared" si="98"/>
        <v>46193.346308006621</v>
      </c>
      <c r="K492" s="24">
        <f t="shared" si="99"/>
        <v>0.55769729169696802</v>
      </c>
      <c r="L492" s="29">
        <f t="shared" si="105"/>
        <v>46192</v>
      </c>
      <c r="M492" s="27" t="str">
        <f t="shared" si="100"/>
        <v>Health Deterioration</v>
      </c>
      <c r="N492" s="31">
        <f t="shared" si="101"/>
        <v>23</v>
      </c>
      <c r="O492" s="27"/>
      <c r="Q492" s="8">
        <v>7.1965008923318696E-2</v>
      </c>
      <c r="R492" s="8" t="str">
        <f t="shared" si="102"/>
        <v>Critical Delay</v>
      </c>
      <c r="S492" s="33">
        <v>1.0733428418781803</v>
      </c>
      <c r="T492" t="s">
        <v>30</v>
      </c>
      <c r="U492" s="3">
        <v>4</v>
      </c>
      <c r="V492" s="3" t="str">
        <f t="shared" si="106"/>
        <v/>
      </c>
      <c r="W492" s="3" t="s">
        <v>50</v>
      </c>
      <c r="X492" s="32">
        <f t="shared" si="103"/>
        <v>0.21138928507571109</v>
      </c>
      <c r="Z492" s="38">
        <f t="shared" si="107"/>
        <v>8.6389285075711086E-2</v>
      </c>
      <c r="AC492" s="36">
        <v>0.125</v>
      </c>
      <c r="AL492" t="str">
        <f t="shared" si="108"/>
        <v>Health Deterioration</v>
      </c>
      <c r="AM492" t="str">
        <f t="shared" si="109"/>
        <v>Yes</v>
      </c>
      <c r="AN492" t="str">
        <f t="shared" si="110"/>
        <v>Emergency</v>
      </c>
      <c r="AO492" t="str">
        <f t="shared" si="111"/>
        <v>ICU</v>
      </c>
    </row>
    <row r="493" spans="1:41" x14ac:dyDescent="0.3">
      <c r="A493" s="21" t="str">
        <f t="shared" si="104"/>
        <v>UHID-00492</v>
      </c>
      <c r="B493" s="18">
        <v>78</v>
      </c>
      <c r="C493" s="10" t="s">
        <v>18</v>
      </c>
      <c r="D493" s="13" t="s">
        <v>26</v>
      </c>
      <c r="E493" s="13" t="s">
        <v>1</v>
      </c>
      <c r="F493" s="15">
        <v>46188.985546458302</v>
      </c>
      <c r="G493" s="4">
        <v>46188</v>
      </c>
      <c r="H493" s="1">
        <v>46193.665384074098</v>
      </c>
      <c r="I493" s="22">
        <v>46193</v>
      </c>
      <c r="J493" s="24">
        <f t="shared" si="98"/>
        <v>46193.536756427289</v>
      </c>
      <c r="K493" s="24">
        <f t="shared" si="99"/>
        <v>0.66538407409825595</v>
      </c>
      <c r="L493" s="29">
        <f t="shared" si="105"/>
        <v>46192</v>
      </c>
      <c r="M493" s="27" t="str">
        <f t="shared" si="100"/>
        <v>TPA Approval Delay</v>
      </c>
      <c r="N493" s="31">
        <f t="shared" si="101"/>
        <v>5</v>
      </c>
      <c r="O493" s="27"/>
      <c r="Q493" s="8">
        <v>0.67528628289640247</v>
      </c>
      <c r="R493" s="8" t="str">
        <f t="shared" si="102"/>
        <v>Major Delay</v>
      </c>
      <c r="S493" s="33">
        <v>3.0870635234377684</v>
      </c>
      <c r="T493" t="s">
        <v>31</v>
      </c>
      <c r="U493" s="3">
        <v>0</v>
      </c>
      <c r="V493" s="3" t="str">
        <f t="shared" si="106"/>
        <v>Normal</v>
      </c>
      <c r="W493" s="3" t="s">
        <v>51</v>
      </c>
      <c r="X493" s="32">
        <f t="shared" si="103"/>
        <v>0.12862764680903638</v>
      </c>
      <c r="Z493" s="38">
        <f t="shared" si="107"/>
        <v>3.6276468090363778E-3</v>
      </c>
      <c r="AC493" s="36">
        <v>0.125</v>
      </c>
      <c r="AL493" t="str">
        <f t="shared" si="108"/>
        <v>TPA Approval Delay</v>
      </c>
      <c r="AM493" t="str">
        <f t="shared" si="109"/>
        <v>No</v>
      </c>
      <c r="AN493" t="str">
        <f t="shared" si="110"/>
        <v>Elective</v>
      </c>
      <c r="AO493" t="str">
        <f t="shared" si="111"/>
        <v>HDU</v>
      </c>
    </row>
    <row r="494" spans="1:41" x14ac:dyDescent="0.3">
      <c r="A494" s="21" t="str">
        <f t="shared" si="104"/>
        <v>UHID-00493</v>
      </c>
      <c r="B494" s="18">
        <v>19</v>
      </c>
      <c r="C494" s="10" t="s">
        <v>18</v>
      </c>
      <c r="D494" s="13" t="s">
        <v>26</v>
      </c>
      <c r="E494" s="13" t="s">
        <v>1</v>
      </c>
      <c r="F494" s="15">
        <v>46191.955301898102</v>
      </c>
      <c r="G494" s="4">
        <v>46191</v>
      </c>
      <c r="H494" s="1">
        <v>46193.635466597203</v>
      </c>
      <c r="I494" s="22">
        <v>46193</v>
      </c>
      <c r="J494" s="24">
        <f t="shared" si="98"/>
        <v>46193.508982957974</v>
      </c>
      <c r="K494" s="24">
        <f t="shared" si="99"/>
        <v>0.63546659720304888</v>
      </c>
      <c r="L494" s="29">
        <f t="shared" si="105"/>
        <v>46192</v>
      </c>
      <c r="M494" s="27" t="str">
        <f t="shared" si="100"/>
        <v>TPA Approval Delay</v>
      </c>
      <c r="N494" s="31">
        <f t="shared" si="101"/>
        <v>2</v>
      </c>
      <c r="O494" s="27"/>
      <c r="Q494" s="8">
        <v>0.62769683939784315</v>
      </c>
      <c r="R494" s="8" t="str">
        <f t="shared" si="102"/>
        <v>Major Delay</v>
      </c>
      <c r="S494" s="33">
        <v>3.0356073414374625</v>
      </c>
      <c r="T494" t="s">
        <v>31</v>
      </c>
      <c r="U494" s="3">
        <v>0</v>
      </c>
      <c r="V494" s="3" t="str">
        <f t="shared" si="106"/>
        <v>Normal</v>
      </c>
      <c r="W494" s="3" t="s">
        <v>51</v>
      </c>
      <c r="X494" s="32">
        <f t="shared" si="103"/>
        <v>0.12648363922926364</v>
      </c>
      <c r="Z494" s="38">
        <f t="shared" si="107"/>
        <v>1.4836392292636447E-3</v>
      </c>
      <c r="AC494" s="36">
        <v>0.125</v>
      </c>
      <c r="AL494" t="str">
        <f t="shared" si="108"/>
        <v>TPA Approval Delay</v>
      </c>
      <c r="AM494" t="str">
        <f t="shared" si="109"/>
        <v>No</v>
      </c>
      <c r="AN494" t="str">
        <f t="shared" si="110"/>
        <v>Elective</v>
      </c>
      <c r="AO494" t="str">
        <f t="shared" si="111"/>
        <v>General Ward</v>
      </c>
    </row>
    <row r="495" spans="1:41" x14ac:dyDescent="0.3">
      <c r="A495" s="21" t="str">
        <f t="shared" si="104"/>
        <v>UHID-00494</v>
      </c>
      <c r="B495" s="18">
        <v>66</v>
      </c>
      <c r="C495" s="10" t="s">
        <v>17</v>
      </c>
      <c r="D495" s="13" t="s">
        <v>27</v>
      </c>
      <c r="E495" s="13" t="s">
        <v>1</v>
      </c>
      <c r="F495" s="15">
        <v>46181.737035520797</v>
      </c>
      <c r="G495" s="4">
        <v>46181</v>
      </c>
      <c r="H495" s="1">
        <v>46193.595205023099</v>
      </c>
      <c r="I495" s="22">
        <v>46193</v>
      </c>
      <c r="J495" s="24">
        <f t="shared" si="98"/>
        <v>46193.543239709928</v>
      </c>
      <c r="K495" s="24">
        <f t="shared" si="99"/>
        <v>0.59520502309896983</v>
      </c>
      <c r="L495" s="29">
        <f t="shared" si="105"/>
        <v>46192</v>
      </c>
      <c r="M495" s="27" t="str">
        <f t="shared" si="100"/>
        <v>Normal</v>
      </c>
      <c r="N495" s="31">
        <f t="shared" si="101"/>
        <v>12</v>
      </c>
      <c r="O495" s="27"/>
      <c r="Q495" s="8">
        <v>0.3260032561133499</v>
      </c>
      <c r="R495" s="8" t="str">
        <f t="shared" si="102"/>
        <v>On Time</v>
      </c>
      <c r="S495" s="33">
        <v>1.2471675161503994</v>
      </c>
      <c r="T495" t="s">
        <v>30</v>
      </c>
      <c r="U495" s="3">
        <v>0</v>
      </c>
      <c r="V495" s="3" t="str">
        <f t="shared" si="106"/>
        <v/>
      </c>
      <c r="W495" s="3" t="s">
        <v>51</v>
      </c>
      <c r="X495" s="32">
        <f t="shared" si="103"/>
        <v>5.1965313170512673E-2</v>
      </c>
      <c r="Z495" s="38">
        <f t="shared" si="107"/>
        <v>0</v>
      </c>
      <c r="AC495" s="36">
        <v>0.125</v>
      </c>
      <c r="AL495" t="str">
        <f t="shared" si="108"/>
        <v>Normal</v>
      </c>
      <c r="AM495" t="str">
        <f t="shared" si="109"/>
        <v>Yes</v>
      </c>
      <c r="AN495" t="str">
        <f t="shared" si="110"/>
        <v>Emergency</v>
      </c>
      <c r="AO495" t="str">
        <f t="shared" si="111"/>
        <v>ICU</v>
      </c>
    </row>
    <row r="496" spans="1:41" x14ac:dyDescent="0.3">
      <c r="A496" s="21" t="str">
        <f t="shared" si="104"/>
        <v>UHID-00495</v>
      </c>
      <c r="B496" s="18">
        <v>76</v>
      </c>
      <c r="C496" s="10" t="s">
        <v>18</v>
      </c>
      <c r="D496" s="13" t="s">
        <v>26</v>
      </c>
      <c r="E496" s="13" t="s">
        <v>1</v>
      </c>
      <c r="F496" s="15">
        <v>46194.378198842598</v>
      </c>
      <c r="G496" s="4">
        <v>46194</v>
      </c>
      <c r="H496" s="1">
        <v>46194.425791215297</v>
      </c>
      <c r="I496" s="22">
        <v>46194</v>
      </c>
      <c r="J496" s="24">
        <f t="shared" si="98"/>
        <v>46194.092569659791</v>
      </c>
      <c r="K496" s="24">
        <f t="shared" si="99"/>
        <v>0.42579121529706754</v>
      </c>
      <c r="L496" s="29">
        <f t="shared" si="105"/>
        <v>46193</v>
      </c>
      <c r="M496" s="27" t="str">
        <f t="shared" si="100"/>
        <v>Health Deterioration/TPA Approval Delay</v>
      </c>
      <c r="N496" s="31">
        <f t="shared" si="101"/>
        <v>0</v>
      </c>
      <c r="O496" s="27"/>
      <c r="Q496" s="8">
        <v>0.72818022300097263</v>
      </c>
      <c r="R496" s="8" t="str">
        <f t="shared" si="102"/>
        <v>Critical Delay</v>
      </c>
      <c r="S496" s="33">
        <v>3.9973173321254087</v>
      </c>
      <c r="T496" t="s">
        <v>31</v>
      </c>
      <c r="U496" s="3">
        <v>4</v>
      </c>
      <c r="V496" s="3" t="str">
        <f t="shared" si="106"/>
        <v>Normal</v>
      </c>
      <c r="W496" s="3" t="s">
        <v>50</v>
      </c>
      <c r="X496" s="32">
        <f t="shared" si="103"/>
        <v>0.33322155550558819</v>
      </c>
      <c r="Z496" s="38">
        <f t="shared" si="107"/>
        <v>0.20822155550558819</v>
      </c>
      <c r="AC496" s="36">
        <v>0.125</v>
      </c>
      <c r="AL496" t="str">
        <f t="shared" si="108"/>
        <v>Health Deterioration/TPA Approval Delay</v>
      </c>
      <c r="AM496" t="str">
        <f t="shared" si="109"/>
        <v>Yes</v>
      </c>
      <c r="AN496" t="str">
        <f t="shared" si="110"/>
        <v>Emergency</v>
      </c>
      <c r="AO496" t="str">
        <f t="shared" si="111"/>
        <v>General Ward</v>
      </c>
    </row>
    <row r="497" spans="1:41" x14ac:dyDescent="0.3">
      <c r="A497" s="21" t="str">
        <f t="shared" si="104"/>
        <v>UHID-00496</v>
      </c>
      <c r="B497" s="18">
        <v>33</v>
      </c>
      <c r="C497" s="10" t="s">
        <v>17</v>
      </c>
      <c r="D497" s="13" t="s">
        <v>27</v>
      </c>
      <c r="E497" s="13" t="s">
        <v>1</v>
      </c>
      <c r="F497" s="15">
        <v>46187.828272442101</v>
      </c>
      <c r="G497" s="4">
        <v>46187</v>
      </c>
      <c r="H497" s="1">
        <v>46194.550777708297</v>
      </c>
      <c r="I497" s="22">
        <v>46194</v>
      </c>
      <c r="J497" s="24">
        <f t="shared" si="98"/>
        <v>46194.495811733388</v>
      </c>
      <c r="K497" s="24">
        <f t="shared" si="99"/>
        <v>0.55077770829666406</v>
      </c>
      <c r="L497" s="29">
        <f t="shared" si="105"/>
        <v>46193</v>
      </c>
      <c r="M497" s="27" t="str">
        <f t="shared" si="100"/>
        <v>Normal</v>
      </c>
      <c r="N497" s="31">
        <f t="shared" si="101"/>
        <v>7</v>
      </c>
      <c r="O497" s="27"/>
      <c r="Q497" s="8">
        <v>0.42907224222461127</v>
      </c>
      <c r="R497" s="8" t="str">
        <f t="shared" si="102"/>
        <v>On Time</v>
      </c>
      <c r="S497" s="33">
        <v>1.319183397823964</v>
      </c>
      <c r="T497" t="s">
        <v>31</v>
      </c>
      <c r="U497" s="3">
        <v>0</v>
      </c>
      <c r="V497" s="3" t="str">
        <f t="shared" si="106"/>
        <v>Normal</v>
      </c>
      <c r="W497" s="3" t="s">
        <v>51</v>
      </c>
      <c r="X497" s="32">
        <f t="shared" si="103"/>
        <v>5.4965974908554927E-2</v>
      </c>
      <c r="Z497" s="38">
        <f t="shared" si="107"/>
        <v>0</v>
      </c>
      <c r="AC497" s="36">
        <v>0.125</v>
      </c>
      <c r="AL497" t="str">
        <f t="shared" si="108"/>
        <v>Normal</v>
      </c>
      <c r="AM497" t="str">
        <f t="shared" si="109"/>
        <v>No</v>
      </c>
      <c r="AN497" t="str">
        <f t="shared" si="110"/>
        <v>Emergency</v>
      </c>
      <c r="AO497" t="str">
        <f t="shared" si="111"/>
        <v>ICU</v>
      </c>
    </row>
    <row r="498" spans="1:41" x14ac:dyDescent="0.3">
      <c r="A498" s="21" t="str">
        <f t="shared" si="104"/>
        <v>UHID-00497</v>
      </c>
      <c r="B498" s="18">
        <v>38</v>
      </c>
      <c r="C498" s="10" t="s">
        <v>18</v>
      </c>
      <c r="D498" s="13" t="s">
        <v>27</v>
      </c>
      <c r="E498" s="13" t="s">
        <v>1</v>
      </c>
      <c r="F498" s="15">
        <v>46192.839256330997</v>
      </c>
      <c r="G498" s="4">
        <v>46192</v>
      </c>
      <c r="H498" s="1">
        <v>46194.674778055603</v>
      </c>
      <c r="I498" s="22">
        <v>46194</v>
      </c>
      <c r="J498" s="24">
        <f t="shared" si="98"/>
        <v>46194.206165276672</v>
      </c>
      <c r="K498" s="24">
        <f t="shared" si="99"/>
        <v>0.67477805560338311</v>
      </c>
      <c r="L498" s="29">
        <f t="shared" si="105"/>
        <v>46193</v>
      </c>
      <c r="M498" s="27" t="str">
        <f t="shared" si="100"/>
        <v>Health Deterioration</v>
      </c>
      <c r="N498" s="31">
        <f t="shared" si="101"/>
        <v>2</v>
      </c>
      <c r="O498" s="27"/>
      <c r="Q498" s="8">
        <v>0.42795521563236261</v>
      </c>
      <c r="R498" s="8" t="str">
        <f t="shared" si="102"/>
        <v>Critical Delay</v>
      </c>
      <c r="S498" s="33">
        <v>1.2467066943766201</v>
      </c>
      <c r="T498" t="s">
        <v>31</v>
      </c>
      <c r="U498" s="3">
        <v>10</v>
      </c>
      <c r="V498" s="3" t="str">
        <f t="shared" si="106"/>
        <v>Normal</v>
      </c>
      <c r="W498" s="3" t="s">
        <v>52</v>
      </c>
      <c r="X498" s="32">
        <f t="shared" si="103"/>
        <v>0.46861277893185616</v>
      </c>
      <c r="Z498" s="38">
        <f t="shared" si="107"/>
        <v>0.34361277893185616</v>
      </c>
      <c r="AC498" s="36">
        <v>0.125</v>
      </c>
      <c r="AL498" t="str">
        <f t="shared" si="108"/>
        <v>Health Deterioration</v>
      </c>
      <c r="AM498" t="str">
        <f t="shared" si="109"/>
        <v>No</v>
      </c>
      <c r="AN498" t="str">
        <f t="shared" si="110"/>
        <v>Emergency</v>
      </c>
      <c r="AO498" t="str">
        <f t="shared" si="111"/>
        <v>General Ward</v>
      </c>
    </row>
    <row r="499" spans="1:41" x14ac:dyDescent="0.3">
      <c r="A499" s="21" t="str">
        <f t="shared" si="104"/>
        <v>UHID-00498</v>
      </c>
      <c r="B499" s="18">
        <v>54</v>
      </c>
      <c r="C499" s="10" t="s">
        <v>17</v>
      </c>
      <c r="D499" s="13" t="s">
        <v>28</v>
      </c>
      <c r="E499" s="13" t="s">
        <v>1</v>
      </c>
      <c r="F499" s="15">
        <v>46190.4875741551</v>
      </c>
      <c r="G499" s="4">
        <v>46190</v>
      </c>
      <c r="H499" s="1">
        <v>46194.742042696802</v>
      </c>
      <c r="I499" s="22">
        <v>46194</v>
      </c>
      <c r="J499" s="24">
        <f t="shared" si="98"/>
        <v>46194.642231033948</v>
      </c>
      <c r="K499" s="24">
        <f t="shared" si="99"/>
        <v>0.74204269680194557</v>
      </c>
      <c r="L499" s="29">
        <f t="shared" si="105"/>
        <v>46193</v>
      </c>
      <c r="M499" s="27" t="str">
        <f t="shared" si="100"/>
        <v>Doctor Round Delay/Report Delay</v>
      </c>
      <c r="N499" s="31">
        <f t="shared" si="101"/>
        <v>4</v>
      </c>
      <c r="O499" s="27"/>
      <c r="Q499" s="8">
        <v>0.97396574099945254</v>
      </c>
      <c r="R499" s="8" t="str">
        <f t="shared" si="102"/>
        <v>Minor Delay</v>
      </c>
      <c r="S499" s="33">
        <v>2.3954799084784684</v>
      </c>
      <c r="T499" t="s">
        <v>31</v>
      </c>
      <c r="U499" s="3">
        <v>0</v>
      </c>
      <c r="V499" s="3" t="str">
        <f t="shared" si="106"/>
        <v>Normal</v>
      </c>
      <c r="W499" s="3" t="s">
        <v>51</v>
      </c>
      <c r="X499" s="32">
        <f t="shared" si="103"/>
        <v>9.9811662854335736E-2</v>
      </c>
      <c r="Z499" s="38">
        <f t="shared" si="107"/>
        <v>0</v>
      </c>
      <c r="AC499" s="36">
        <v>0.125</v>
      </c>
      <c r="AL499" t="str">
        <f t="shared" si="108"/>
        <v>Doctor Round Delay/Report Delay</v>
      </c>
      <c r="AM499" t="str">
        <f t="shared" si="109"/>
        <v>No</v>
      </c>
      <c r="AN499" t="str">
        <f t="shared" si="110"/>
        <v>Elective</v>
      </c>
      <c r="AO499" t="str">
        <f t="shared" si="111"/>
        <v>HDU</v>
      </c>
    </row>
    <row r="500" spans="1:41" x14ac:dyDescent="0.3">
      <c r="A500" s="21" t="str">
        <f t="shared" si="104"/>
        <v>UHID-00499</v>
      </c>
      <c r="B500" s="18">
        <v>53</v>
      </c>
      <c r="C500" s="10" t="s">
        <v>17</v>
      </c>
      <c r="D500" s="13" t="s">
        <v>26</v>
      </c>
      <c r="E500" s="13" t="s">
        <v>1</v>
      </c>
      <c r="F500" s="15">
        <v>46186.866552013897</v>
      </c>
      <c r="G500" s="4">
        <v>46186</v>
      </c>
      <c r="H500" s="1">
        <v>46194.65625</v>
      </c>
      <c r="I500" s="22">
        <v>46194</v>
      </c>
      <c r="J500" s="24">
        <f t="shared" si="98"/>
        <v>46194.325130733574</v>
      </c>
      <c r="K500" s="24">
        <f t="shared" si="99"/>
        <v>0.65625</v>
      </c>
      <c r="L500" s="29">
        <f t="shared" si="105"/>
        <v>46193</v>
      </c>
      <c r="M500" s="27" t="str">
        <f t="shared" si="100"/>
        <v>Health Deterioration/TPA Approval Delay</v>
      </c>
      <c r="N500" s="31">
        <f t="shared" si="101"/>
        <v>8</v>
      </c>
      <c r="O500" s="27"/>
      <c r="Q500" s="8">
        <v>0.57073606847036518</v>
      </c>
      <c r="R500" s="8" t="str">
        <f t="shared" si="102"/>
        <v>Critical Delay</v>
      </c>
      <c r="S500" s="33">
        <v>3.9468623941560175</v>
      </c>
      <c r="T500" t="s">
        <v>31</v>
      </c>
      <c r="U500" s="3">
        <v>4</v>
      </c>
      <c r="V500" s="3" t="str">
        <f t="shared" si="106"/>
        <v>Normal</v>
      </c>
      <c r="W500" s="3" t="s">
        <v>50</v>
      </c>
      <c r="X500" s="32">
        <f t="shared" si="103"/>
        <v>0.3311192664259579</v>
      </c>
      <c r="Z500" s="38">
        <f t="shared" si="107"/>
        <v>0.2061192664259579</v>
      </c>
      <c r="AC500" s="36">
        <v>0.125</v>
      </c>
      <c r="AL500" t="str">
        <f t="shared" si="108"/>
        <v>Health Deterioration/TPA Approval Delay</v>
      </c>
      <c r="AM500" t="str">
        <f t="shared" si="109"/>
        <v>No</v>
      </c>
      <c r="AN500" t="str">
        <f t="shared" si="110"/>
        <v>Emergency</v>
      </c>
      <c r="AO500" t="str">
        <f t="shared" si="111"/>
        <v>ICU</v>
      </c>
    </row>
    <row r="501" spans="1:41" x14ac:dyDescent="0.3">
      <c r="A501" s="21" t="str">
        <f t="shared" si="104"/>
        <v>UHID-00500</v>
      </c>
      <c r="B501" s="18">
        <v>76</v>
      </c>
      <c r="C501" s="10" t="s">
        <v>18</v>
      </c>
      <c r="D501" s="13" t="s">
        <v>27</v>
      </c>
      <c r="E501" s="13" t="s">
        <v>1</v>
      </c>
      <c r="F501" s="15">
        <v>46195.3569000926</v>
      </c>
      <c r="G501" s="4">
        <v>46195</v>
      </c>
      <c r="H501" s="1">
        <v>46195.418787627299</v>
      </c>
      <c r="I501" s="22">
        <v>46195</v>
      </c>
      <c r="J501" s="24">
        <f t="shared" si="98"/>
        <v>46195.371460965434</v>
      </c>
      <c r="K501" s="24">
        <f t="shared" si="99"/>
        <v>0.41878762729902519</v>
      </c>
      <c r="L501" s="29">
        <f t="shared" si="105"/>
        <v>46194</v>
      </c>
      <c r="M501" s="27" t="str">
        <f t="shared" si="100"/>
        <v>Normal</v>
      </c>
      <c r="N501" s="31">
        <f t="shared" si="101"/>
        <v>0</v>
      </c>
      <c r="O501" s="27"/>
      <c r="Q501" s="8">
        <v>0.27160217936428122</v>
      </c>
      <c r="R501" s="8" t="str">
        <f t="shared" si="102"/>
        <v>On Time</v>
      </c>
      <c r="S501" s="33">
        <v>1.1358398848175513</v>
      </c>
      <c r="T501" t="s">
        <v>30</v>
      </c>
      <c r="U501" s="3">
        <v>0</v>
      </c>
      <c r="V501" s="3" t="str">
        <f t="shared" si="106"/>
        <v/>
      </c>
      <c r="W501" s="3" t="s">
        <v>51</v>
      </c>
      <c r="X501" s="32">
        <f t="shared" si="103"/>
        <v>4.7326661864644848E-2</v>
      </c>
      <c r="Z501" s="38">
        <f t="shared" si="107"/>
        <v>0</v>
      </c>
      <c r="AC501" s="36">
        <v>0.125</v>
      </c>
      <c r="AL501" t="str">
        <f t="shared" si="108"/>
        <v>Normal</v>
      </c>
      <c r="AM501" t="str">
        <f t="shared" si="109"/>
        <v>No</v>
      </c>
      <c r="AN501" t="str">
        <f t="shared" si="110"/>
        <v>Elective</v>
      </c>
      <c r="AO501" t="str">
        <f t="shared" si="111"/>
        <v>General Ward</v>
      </c>
    </row>
    <row r="502" spans="1:41" x14ac:dyDescent="0.3">
      <c r="A502" s="21" t="str">
        <f t="shared" si="104"/>
        <v>UHID-00501</v>
      </c>
      <c r="B502" s="18">
        <v>65</v>
      </c>
      <c r="C502" s="10" t="s">
        <v>17</v>
      </c>
      <c r="D502" s="13" t="s">
        <v>27</v>
      </c>
      <c r="E502" s="13" t="s">
        <v>1</v>
      </c>
      <c r="F502" s="15">
        <v>46177.845491794003</v>
      </c>
      <c r="G502" s="4">
        <v>46177</v>
      </c>
      <c r="H502" s="1">
        <v>46195.519610775496</v>
      </c>
      <c r="I502" s="22">
        <v>46195</v>
      </c>
      <c r="J502" s="24">
        <f t="shared" si="98"/>
        <v>46195.331917206888</v>
      </c>
      <c r="K502" s="24">
        <f t="shared" si="99"/>
        <v>0.51961077549640322</v>
      </c>
      <c r="L502" s="29">
        <f t="shared" si="105"/>
        <v>46194</v>
      </c>
      <c r="M502" s="27" t="str">
        <f t="shared" si="100"/>
        <v>Medication Change</v>
      </c>
      <c r="N502" s="31">
        <f t="shared" si="101"/>
        <v>18</v>
      </c>
      <c r="O502" s="27"/>
      <c r="Q502" s="8">
        <v>0.12614596155715418</v>
      </c>
      <c r="R502" s="8" t="str">
        <f t="shared" si="102"/>
        <v>Major Delay</v>
      </c>
      <c r="S502" s="33">
        <v>1.5046456466358036</v>
      </c>
      <c r="T502" t="s">
        <v>30</v>
      </c>
      <c r="U502" s="3">
        <v>3</v>
      </c>
      <c r="V502" s="3" t="str">
        <f t="shared" si="106"/>
        <v/>
      </c>
      <c r="W502" s="3" t="s">
        <v>50</v>
      </c>
      <c r="X502" s="32">
        <f t="shared" si="103"/>
        <v>0.18769356860866537</v>
      </c>
      <c r="Z502" s="38">
        <f t="shared" si="107"/>
        <v>6.2693568608665373E-2</v>
      </c>
      <c r="AC502" s="36">
        <v>0.125</v>
      </c>
      <c r="AL502" t="str">
        <f t="shared" si="108"/>
        <v>Medication Change</v>
      </c>
      <c r="AM502" t="str">
        <f t="shared" si="109"/>
        <v>Yes</v>
      </c>
      <c r="AN502" t="str">
        <f t="shared" si="110"/>
        <v>Emergency</v>
      </c>
      <c r="AO502" t="str">
        <f t="shared" si="111"/>
        <v>ICU</v>
      </c>
    </row>
    <row r="503" spans="1:41" x14ac:dyDescent="0.3">
      <c r="A503" s="21" t="str">
        <f t="shared" si="104"/>
        <v>UHID-00502</v>
      </c>
      <c r="B503" s="18">
        <v>78</v>
      </c>
      <c r="C503" s="10" t="s">
        <v>18</v>
      </c>
      <c r="D503" s="13" t="s">
        <v>26</v>
      </c>
      <c r="E503" s="13" t="s">
        <v>1</v>
      </c>
      <c r="F503" s="15">
        <v>46185.939331261601</v>
      </c>
      <c r="G503" s="4">
        <v>46185</v>
      </c>
      <c r="H503" s="1">
        <v>46195.561881076399</v>
      </c>
      <c r="I503" s="22">
        <v>46195</v>
      </c>
      <c r="J503" s="24">
        <f t="shared" si="98"/>
        <v>46195.416145062431</v>
      </c>
      <c r="K503" s="24">
        <f t="shared" si="99"/>
        <v>0.56188107639900409</v>
      </c>
      <c r="L503" s="29">
        <f t="shared" si="105"/>
        <v>46194</v>
      </c>
      <c r="M503" s="27" t="str">
        <f t="shared" si="100"/>
        <v>TPA Approval Delay</v>
      </c>
      <c r="N503" s="31">
        <f t="shared" si="101"/>
        <v>10</v>
      </c>
      <c r="O503" s="27"/>
      <c r="Q503" s="8">
        <v>0.56939724548167781</v>
      </c>
      <c r="R503" s="8" t="str">
        <f t="shared" si="102"/>
        <v>Major Delay</v>
      </c>
      <c r="S503" s="33">
        <v>3.4976643353085648</v>
      </c>
      <c r="T503" t="s">
        <v>31</v>
      </c>
      <c r="U503" s="3">
        <v>0</v>
      </c>
      <c r="V503" s="3" t="str">
        <f t="shared" si="106"/>
        <v>Normal</v>
      </c>
      <c r="W503" s="3" t="s">
        <v>51</v>
      </c>
      <c r="X503" s="32">
        <f t="shared" si="103"/>
        <v>0.14573601396841696</v>
      </c>
      <c r="Z503" s="38">
        <f t="shared" si="107"/>
        <v>2.0736013968416955E-2</v>
      </c>
      <c r="AC503" s="36">
        <v>0.125</v>
      </c>
      <c r="AL503" t="str">
        <f t="shared" si="108"/>
        <v>TPA Approval Delay</v>
      </c>
      <c r="AM503" t="str">
        <f t="shared" si="109"/>
        <v>No</v>
      </c>
      <c r="AN503" t="str">
        <f t="shared" si="110"/>
        <v>Emergency</v>
      </c>
      <c r="AO503" t="str">
        <f t="shared" si="111"/>
        <v>ICU</v>
      </c>
    </row>
    <row r="504" spans="1:41" x14ac:dyDescent="0.3">
      <c r="A504" s="21" t="str">
        <f t="shared" si="104"/>
        <v>UHID-00503</v>
      </c>
      <c r="B504" s="18">
        <v>59</v>
      </c>
      <c r="C504" s="10" t="s">
        <v>18</v>
      </c>
      <c r="D504" s="13" t="s">
        <v>26</v>
      </c>
      <c r="E504" s="13" t="s">
        <v>1</v>
      </c>
      <c r="F504" s="15">
        <v>46191.119155034699</v>
      </c>
      <c r="G504" s="4">
        <v>46191</v>
      </c>
      <c r="H504" s="1">
        <v>46195.6008508218</v>
      </c>
      <c r="I504" s="22">
        <v>46195</v>
      </c>
      <c r="J504" s="24">
        <f t="shared" si="98"/>
        <v>46195.470677353136</v>
      </c>
      <c r="K504" s="24">
        <f t="shared" si="99"/>
        <v>0.6008508218001225</v>
      </c>
      <c r="L504" s="29">
        <f t="shared" si="105"/>
        <v>46194</v>
      </c>
      <c r="M504" s="27" t="str">
        <f t="shared" si="100"/>
        <v>TPA Approval Delay</v>
      </c>
      <c r="N504" s="31">
        <f t="shared" si="101"/>
        <v>4</v>
      </c>
      <c r="O504" s="27"/>
      <c r="Q504" s="8">
        <v>0.61643506947318882</v>
      </c>
      <c r="R504" s="8" t="str">
        <f t="shared" si="102"/>
        <v>Major Delay</v>
      </c>
      <c r="S504" s="33">
        <v>3.1241632478544297</v>
      </c>
      <c r="T504" t="s">
        <v>31</v>
      </c>
      <c r="U504" s="3">
        <v>0</v>
      </c>
      <c r="V504" s="3" t="str">
        <f t="shared" si="106"/>
        <v>Normal</v>
      </c>
      <c r="W504" s="3" t="s">
        <v>51</v>
      </c>
      <c r="X504" s="32">
        <f t="shared" si="103"/>
        <v>0.13017346866399748</v>
      </c>
      <c r="Z504" s="38">
        <f t="shared" si="107"/>
        <v>5.1734686639974825E-3</v>
      </c>
      <c r="AC504" s="36">
        <v>0.125</v>
      </c>
      <c r="AL504" t="str">
        <f t="shared" si="108"/>
        <v>TPA Approval Delay</v>
      </c>
      <c r="AM504" t="str">
        <f t="shared" si="109"/>
        <v>No</v>
      </c>
      <c r="AN504" t="str">
        <f t="shared" si="110"/>
        <v>Elective</v>
      </c>
      <c r="AO504" t="str">
        <f t="shared" si="111"/>
        <v>HDU</v>
      </c>
    </row>
    <row r="505" spans="1:41" x14ac:dyDescent="0.3">
      <c r="A505" s="21" t="str">
        <f t="shared" si="104"/>
        <v>UHID-00504</v>
      </c>
      <c r="B505" s="18">
        <v>41</v>
      </c>
      <c r="C505" s="10" t="s">
        <v>18</v>
      </c>
      <c r="D505" s="13" t="s">
        <v>26</v>
      </c>
      <c r="E505" s="13" t="s">
        <v>1</v>
      </c>
      <c r="F505" s="15">
        <v>46190.888642071797</v>
      </c>
      <c r="G505" s="4">
        <v>46190</v>
      </c>
      <c r="H505" s="1">
        <v>46195.775747175903</v>
      </c>
      <c r="I505" s="22">
        <v>46195</v>
      </c>
      <c r="J505" s="24">
        <f t="shared" si="98"/>
        <v>46195.632782811503</v>
      </c>
      <c r="K505" s="24">
        <f t="shared" si="99"/>
        <v>0.77574717590323417</v>
      </c>
      <c r="L505" s="29">
        <f t="shared" si="105"/>
        <v>46194</v>
      </c>
      <c r="M505" s="27" t="str">
        <f t="shared" si="100"/>
        <v>TPA Approval Delay</v>
      </c>
      <c r="N505" s="31">
        <f t="shared" si="101"/>
        <v>5</v>
      </c>
      <c r="O505" s="27"/>
      <c r="Q505" s="8">
        <v>0.60309260515374108</v>
      </c>
      <c r="R505" s="8" t="str">
        <f t="shared" si="102"/>
        <v>Major Delay</v>
      </c>
      <c r="S505" s="33">
        <v>3.4311447455572104</v>
      </c>
      <c r="T505" t="s">
        <v>31</v>
      </c>
      <c r="U505" s="3">
        <v>0</v>
      </c>
      <c r="V505" s="3" t="str">
        <f t="shared" si="106"/>
        <v>Normal</v>
      </c>
      <c r="W505" s="3" t="s">
        <v>51</v>
      </c>
      <c r="X505" s="32">
        <f t="shared" si="103"/>
        <v>0.14296436440054094</v>
      </c>
      <c r="Z505" s="38">
        <f t="shared" si="107"/>
        <v>1.7964364400540944E-2</v>
      </c>
      <c r="AC505" s="36">
        <v>0.125</v>
      </c>
      <c r="AL505" t="str">
        <f t="shared" si="108"/>
        <v>TPA Approval Delay</v>
      </c>
      <c r="AM505" t="str">
        <f t="shared" si="109"/>
        <v>No</v>
      </c>
      <c r="AN505" t="str">
        <f t="shared" si="110"/>
        <v>Elective</v>
      </c>
      <c r="AO505" t="str">
        <f t="shared" si="111"/>
        <v>HDU</v>
      </c>
    </row>
    <row r="506" spans="1:41" x14ac:dyDescent="0.3">
      <c r="A506" s="21" t="str">
        <f t="shared" si="104"/>
        <v>UHID-00505</v>
      </c>
      <c r="B506" s="18">
        <v>75</v>
      </c>
      <c r="C506" s="10" t="s">
        <v>17</v>
      </c>
      <c r="D506" s="13" t="s">
        <v>27</v>
      </c>
      <c r="E506" s="13" t="s">
        <v>1</v>
      </c>
      <c r="F506" s="15">
        <v>46191.067723669003</v>
      </c>
      <c r="G506" s="4">
        <v>46191</v>
      </c>
      <c r="H506" s="1">
        <v>46196.648066967602</v>
      </c>
      <c r="I506" s="22">
        <v>46196</v>
      </c>
      <c r="J506" s="24">
        <f t="shared" si="98"/>
        <v>46196.591589129821</v>
      </c>
      <c r="K506" s="24">
        <f t="shared" si="99"/>
        <v>0.6480669676020625</v>
      </c>
      <c r="L506" s="29">
        <f t="shared" si="105"/>
        <v>46195</v>
      </c>
      <c r="M506" s="27" t="str">
        <f t="shared" si="100"/>
        <v>Normal</v>
      </c>
      <c r="N506" s="31">
        <f t="shared" si="101"/>
        <v>5</v>
      </c>
      <c r="O506" s="27"/>
      <c r="Q506" s="8">
        <v>0.29002193865127335</v>
      </c>
      <c r="R506" s="8" t="str">
        <f t="shared" si="102"/>
        <v>On Time</v>
      </c>
      <c r="S506" s="33">
        <v>1.3554681067456542</v>
      </c>
      <c r="T506" t="s">
        <v>30</v>
      </c>
      <c r="U506" s="3">
        <v>0</v>
      </c>
      <c r="V506" s="3" t="str">
        <f t="shared" si="106"/>
        <v/>
      </c>
      <c r="W506" s="3" t="s">
        <v>51</v>
      </c>
      <c r="X506" s="32">
        <f t="shared" si="103"/>
        <v>5.6477837781130802E-2</v>
      </c>
      <c r="Z506" s="38">
        <f t="shared" si="107"/>
        <v>0</v>
      </c>
      <c r="AC506" s="36">
        <v>0.125</v>
      </c>
      <c r="AL506" t="str">
        <f t="shared" si="108"/>
        <v>Normal</v>
      </c>
      <c r="AM506" t="str">
        <f t="shared" si="109"/>
        <v>No</v>
      </c>
      <c r="AN506" t="str">
        <f t="shared" si="110"/>
        <v>Elective</v>
      </c>
      <c r="AO506" t="str">
        <f t="shared" si="111"/>
        <v>HDU</v>
      </c>
    </row>
    <row r="507" spans="1:41" x14ac:dyDescent="0.3">
      <c r="A507" s="21" t="str">
        <f t="shared" si="104"/>
        <v>UHID-00506</v>
      </c>
      <c r="B507" s="18">
        <v>38</v>
      </c>
      <c r="C507" s="10" t="s">
        <v>17</v>
      </c>
      <c r="D507" s="13" t="s">
        <v>28</v>
      </c>
      <c r="E507" s="13" t="s">
        <v>1</v>
      </c>
      <c r="F507" s="15">
        <v>46189.822522430601</v>
      </c>
      <c r="G507" s="4">
        <v>46189</v>
      </c>
      <c r="H507" s="1">
        <v>46196.618780740697</v>
      </c>
      <c r="I507" s="22">
        <v>46196</v>
      </c>
      <c r="J507" s="24">
        <f t="shared" si="98"/>
        <v>46196.503768826457</v>
      </c>
      <c r="K507" s="24">
        <f t="shared" si="99"/>
        <v>0.61878074069682043</v>
      </c>
      <c r="L507" s="29">
        <f t="shared" si="105"/>
        <v>46195</v>
      </c>
      <c r="M507" s="27" t="str">
        <f t="shared" si="100"/>
        <v>Doctor Round Delay/Report Delay</v>
      </c>
      <c r="N507" s="31">
        <f t="shared" si="101"/>
        <v>7</v>
      </c>
      <c r="O507" s="27"/>
      <c r="Q507" s="8">
        <v>0.88110955363856858</v>
      </c>
      <c r="R507" s="8" t="str">
        <f t="shared" si="102"/>
        <v>Minor Delay</v>
      </c>
      <c r="S507" s="33">
        <v>2.7602859417276751</v>
      </c>
      <c r="T507" t="s">
        <v>31</v>
      </c>
      <c r="U507" s="3">
        <v>0</v>
      </c>
      <c r="V507" s="3" t="str">
        <f t="shared" si="106"/>
        <v>Normal</v>
      </c>
      <c r="W507" s="3" t="s">
        <v>51</v>
      </c>
      <c r="X507" s="32">
        <f t="shared" si="103"/>
        <v>0.11501191424031276</v>
      </c>
      <c r="Z507" s="38">
        <f t="shared" si="107"/>
        <v>0</v>
      </c>
      <c r="AC507" s="36">
        <v>0.125</v>
      </c>
      <c r="AL507" t="str">
        <f t="shared" si="108"/>
        <v>Doctor Round Delay/Report Delay</v>
      </c>
      <c r="AM507" t="str">
        <f t="shared" si="109"/>
        <v>No</v>
      </c>
      <c r="AN507" t="str">
        <f t="shared" si="110"/>
        <v>Elective</v>
      </c>
      <c r="AO507" t="str">
        <f t="shared" si="111"/>
        <v>ICU</v>
      </c>
    </row>
    <row r="508" spans="1:41" x14ac:dyDescent="0.3">
      <c r="A508" s="21" t="str">
        <f t="shared" si="104"/>
        <v>UHID-00507</v>
      </c>
      <c r="B508" s="18">
        <v>48</v>
      </c>
      <c r="C508" s="10" t="s">
        <v>17</v>
      </c>
      <c r="D508" s="13" t="s">
        <v>27</v>
      </c>
      <c r="E508" s="13" t="s">
        <v>1</v>
      </c>
      <c r="F508" s="15">
        <v>46192.020124131901</v>
      </c>
      <c r="G508" s="4">
        <v>46192</v>
      </c>
      <c r="H508" s="1">
        <v>46196.659098657401</v>
      </c>
      <c r="I508" s="22">
        <v>46196</v>
      </c>
      <c r="J508" s="24">
        <f t="shared" si="98"/>
        <v>46196.456094297951</v>
      </c>
      <c r="K508" s="24">
        <f t="shared" si="99"/>
        <v>0.65909865740104578</v>
      </c>
      <c r="L508" s="29">
        <f t="shared" si="105"/>
        <v>46195</v>
      </c>
      <c r="M508" s="27" t="str">
        <f t="shared" si="100"/>
        <v>Medication Change</v>
      </c>
      <c r="N508" s="31">
        <f t="shared" si="101"/>
        <v>4</v>
      </c>
      <c r="O508" s="27"/>
      <c r="Q508" s="8">
        <v>0.25450873668961183</v>
      </c>
      <c r="R508" s="8" t="str">
        <f t="shared" si="102"/>
        <v>Major Delay</v>
      </c>
      <c r="S508" s="33">
        <v>1.8721046268321415</v>
      </c>
      <c r="T508" t="s">
        <v>30</v>
      </c>
      <c r="U508" s="3">
        <v>3</v>
      </c>
      <c r="V508" s="3" t="str">
        <f t="shared" si="106"/>
        <v/>
      </c>
      <c r="W508" s="3" t="s">
        <v>50</v>
      </c>
      <c r="X508" s="32">
        <f t="shared" si="103"/>
        <v>0.20300435944955098</v>
      </c>
      <c r="Z508" s="38">
        <f t="shared" si="107"/>
        <v>7.8004359449550975E-2</v>
      </c>
      <c r="AC508" s="36">
        <v>0.125</v>
      </c>
      <c r="AL508" t="str">
        <f t="shared" si="108"/>
        <v>Medication Change</v>
      </c>
      <c r="AM508" t="str">
        <f t="shared" si="109"/>
        <v>No</v>
      </c>
      <c r="AN508" t="str">
        <f t="shared" si="110"/>
        <v>Elective</v>
      </c>
      <c r="AO508" t="str">
        <f t="shared" si="111"/>
        <v>HDU</v>
      </c>
    </row>
    <row r="509" spans="1:41" x14ac:dyDescent="0.3">
      <c r="A509" s="21" t="str">
        <f t="shared" si="104"/>
        <v>UHID-00508</v>
      </c>
      <c r="B509" s="18">
        <v>61</v>
      </c>
      <c r="C509" s="10" t="s">
        <v>17</v>
      </c>
      <c r="D509" s="13" t="s">
        <v>26</v>
      </c>
      <c r="E509" s="13" t="s">
        <v>1</v>
      </c>
      <c r="F509" s="15">
        <v>46194.154099756903</v>
      </c>
      <c r="G509" s="4">
        <v>46194</v>
      </c>
      <c r="H509" s="1">
        <v>46196.709617152803</v>
      </c>
      <c r="I509" s="22">
        <v>46196</v>
      </c>
      <c r="J509" s="24">
        <f t="shared" si="98"/>
        <v>46196.583830213778</v>
      </c>
      <c r="K509" s="24">
        <f t="shared" si="99"/>
        <v>0.70961715280282078</v>
      </c>
      <c r="L509" s="29">
        <f t="shared" si="105"/>
        <v>46195</v>
      </c>
      <c r="M509" s="27" t="str">
        <f t="shared" si="100"/>
        <v>TPA Approval Delay</v>
      </c>
      <c r="N509" s="31">
        <f t="shared" si="101"/>
        <v>2</v>
      </c>
      <c r="O509" s="27"/>
      <c r="Q509" s="8">
        <v>0.79182189927502666</v>
      </c>
      <c r="R509" s="8" t="str">
        <f t="shared" si="102"/>
        <v>Major Delay</v>
      </c>
      <c r="S509" s="33">
        <v>3.0188865365823783</v>
      </c>
      <c r="T509" t="s">
        <v>31</v>
      </c>
      <c r="U509" s="3">
        <v>0</v>
      </c>
      <c r="V509" s="3" t="str">
        <f t="shared" si="106"/>
        <v>Normal</v>
      </c>
      <c r="W509" s="3" t="s">
        <v>51</v>
      </c>
      <c r="X509" s="32">
        <f t="shared" si="103"/>
        <v>0.1257869390246924</v>
      </c>
      <c r="Z509" s="38">
        <f t="shared" si="107"/>
        <v>7.8693902469240129E-4</v>
      </c>
      <c r="AC509" s="36">
        <v>0.125</v>
      </c>
      <c r="AL509" t="str">
        <f t="shared" si="108"/>
        <v>TPA Approval Delay</v>
      </c>
      <c r="AM509" t="str">
        <f t="shared" si="109"/>
        <v>No</v>
      </c>
      <c r="AN509" t="str">
        <f t="shared" si="110"/>
        <v>Elective</v>
      </c>
      <c r="AO509" t="str">
        <f t="shared" si="111"/>
        <v>General Ward</v>
      </c>
    </row>
    <row r="510" spans="1:41" x14ac:dyDescent="0.3">
      <c r="A510" s="21" t="str">
        <f t="shared" si="104"/>
        <v>UHID-00509</v>
      </c>
      <c r="B510" s="18">
        <v>17</v>
      </c>
      <c r="C510" s="10" t="s">
        <v>17</v>
      </c>
      <c r="D510" s="13" t="s">
        <v>28</v>
      </c>
      <c r="E510" s="13" t="s">
        <v>1</v>
      </c>
      <c r="F510" s="15">
        <v>46190.1212601273</v>
      </c>
      <c r="G510" s="4">
        <v>46190</v>
      </c>
      <c r="H510" s="1">
        <v>46196.156444236098</v>
      </c>
      <c r="I510" s="22">
        <v>46196</v>
      </c>
      <c r="J510" s="24">
        <f t="shared" si="98"/>
        <v>46196.062140491027</v>
      </c>
      <c r="K510" s="24">
        <f t="shared" si="99"/>
        <v>0.15644423609774094</v>
      </c>
      <c r="L510" s="29">
        <f t="shared" si="105"/>
        <v>46195</v>
      </c>
      <c r="M510" s="27" t="str">
        <f t="shared" si="100"/>
        <v>Doctor Round Delay/Report Delay</v>
      </c>
      <c r="N510" s="31">
        <f t="shared" si="101"/>
        <v>6</v>
      </c>
      <c r="O510" s="27"/>
      <c r="Q510" s="8">
        <v>0.95867848176473347</v>
      </c>
      <c r="R510" s="8" t="str">
        <f t="shared" si="102"/>
        <v>Minor Delay</v>
      </c>
      <c r="S510" s="33">
        <v>2.2632898816249445</v>
      </c>
      <c r="T510" t="s">
        <v>31</v>
      </c>
      <c r="U510" s="3">
        <v>0</v>
      </c>
      <c r="V510" s="3" t="str">
        <f t="shared" si="106"/>
        <v>Normal</v>
      </c>
      <c r="W510" s="3" t="s">
        <v>51</v>
      </c>
      <c r="X510" s="32">
        <f t="shared" si="103"/>
        <v>9.4303745070646983E-2</v>
      </c>
      <c r="Z510" s="38">
        <f t="shared" si="107"/>
        <v>0</v>
      </c>
      <c r="AC510" s="36">
        <v>0.125</v>
      </c>
      <c r="AL510" t="str">
        <f t="shared" si="108"/>
        <v>Doctor Round Delay/Report Delay</v>
      </c>
      <c r="AM510" t="str">
        <f t="shared" si="109"/>
        <v>No</v>
      </c>
      <c r="AN510" t="str">
        <f t="shared" si="110"/>
        <v>Elective</v>
      </c>
      <c r="AO510" t="str">
        <f t="shared" si="111"/>
        <v>HDU</v>
      </c>
    </row>
    <row r="511" spans="1:41" x14ac:dyDescent="0.3">
      <c r="A511" s="21" t="str">
        <f t="shared" si="104"/>
        <v>UHID-00510</v>
      </c>
      <c r="B511" s="18">
        <v>71</v>
      </c>
      <c r="C511" s="10" t="s">
        <v>17</v>
      </c>
      <c r="D511" s="13" t="s">
        <v>28</v>
      </c>
      <c r="E511" s="13" t="s">
        <v>1</v>
      </c>
      <c r="F511" s="15">
        <v>46196.403585023101</v>
      </c>
      <c r="G511" s="4">
        <v>46196</v>
      </c>
      <c r="H511" s="1">
        <v>46196.524376388901</v>
      </c>
      <c r="I511" s="22">
        <v>46196</v>
      </c>
      <c r="J511" s="24">
        <f t="shared" si="98"/>
        <v>46196.408214862422</v>
      </c>
      <c r="K511" s="24">
        <f t="shared" si="99"/>
        <v>0.52437638890114613</v>
      </c>
      <c r="L511" s="29">
        <f t="shared" si="105"/>
        <v>46195</v>
      </c>
      <c r="M511" s="27" t="str">
        <f t="shared" si="100"/>
        <v>Doctor Round Delay/Report Delay</v>
      </c>
      <c r="N511" s="31">
        <f t="shared" si="101"/>
        <v>0</v>
      </c>
      <c r="O511" s="27"/>
      <c r="Q511" s="8">
        <v>0.92584174980307365</v>
      </c>
      <c r="R511" s="8" t="str">
        <f t="shared" si="102"/>
        <v>Minor Delay</v>
      </c>
      <c r="S511" s="33">
        <v>2.7878766355581477</v>
      </c>
      <c r="T511" t="s">
        <v>31</v>
      </c>
      <c r="U511" s="3">
        <v>0</v>
      </c>
      <c r="V511" s="3" t="str">
        <f t="shared" si="106"/>
        <v>Normal</v>
      </c>
      <c r="W511" s="3" t="s">
        <v>51</v>
      </c>
      <c r="X511" s="32">
        <f t="shared" si="103"/>
        <v>0.11616152647911804</v>
      </c>
      <c r="Z511" s="38">
        <f t="shared" si="107"/>
        <v>0</v>
      </c>
      <c r="AC511" s="36">
        <v>0.125</v>
      </c>
      <c r="AL511" t="str">
        <f t="shared" si="108"/>
        <v>Doctor Round Delay/Report Delay</v>
      </c>
      <c r="AM511" t="str">
        <f t="shared" si="109"/>
        <v>No</v>
      </c>
      <c r="AN511" t="str">
        <f t="shared" si="110"/>
        <v>Elective</v>
      </c>
      <c r="AO511" t="str">
        <f t="shared" si="111"/>
        <v>General Ward</v>
      </c>
    </row>
    <row r="512" spans="1:41" x14ac:dyDescent="0.3">
      <c r="A512" s="21" t="str">
        <f t="shared" si="104"/>
        <v>UHID-00511</v>
      </c>
      <c r="B512" s="18">
        <v>71</v>
      </c>
      <c r="C512" s="10" t="s">
        <v>17</v>
      </c>
      <c r="D512" s="13" t="s">
        <v>26</v>
      </c>
      <c r="E512" s="13" t="s">
        <v>1</v>
      </c>
      <c r="F512" s="15">
        <v>46196.502137291704</v>
      </c>
      <c r="G512" s="4">
        <v>46196</v>
      </c>
      <c r="H512" s="1">
        <v>46196.724732789298</v>
      </c>
      <c r="I512" s="22">
        <v>46196</v>
      </c>
      <c r="J512" s="24">
        <f t="shared" si="98"/>
        <v>46196.430974049596</v>
      </c>
      <c r="K512" s="24">
        <f t="shared" si="99"/>
        <v>0.72473278929828666</v>
      </c>
      <c r="L512" s="29">
        <f t="shared" si="105"/>
        <v>46195</v>
      </c>
      <c r="M512" s="27" t="str">
        <f t="shared" si="100"/>
        <v>Health Deterioration/TPA Approval Delay</v>
      </c>
      <c r="N512" s="31">
        <f t="shared" si="101"/>
        <v>0</v>
      </c>
      <c r="O512" s="27"/>
      <c r="Q512" s="8">
        <v>0.64228669158774554</v>
      </c>
      <c r="R512" s="8" t="str">
        <f t="shared" si="102"/>
        <v>Critical Delay</v>
      </c>
      <c r="S512" s="33">
        <v>3.0502097528315444</v>
      </c>
      <c r="T512" t="s">
        <v>31</v>
      </c>
      <c r="U512" s="3">
        <v>4</v>
      </c>
      <c r="V512" s="3" t="str">
        <f t="shared" si="106"/>
        <v>Normal</v>
      </c>
      <c r="W512" s="3" t="s">
        <v>50</v>
      </c>
      <c r="X512" s="32">
        <f t="shared" si="103"/>
        <v>0.29375873970275279</v>
      </c>
      <c r="Z512" s="38">
        <f t="shared" si="107"/>
        <v>0.16875873970275279</v>
      </c>
      <c r="AC512" s="36">
        <v>0.125</v>
      </c>
      <c r="AL512" t="str">
        <f t="shared" si="108"/>
        <v>Health Deterioration/TPA Approval Delay</v>
      </c>
      <c r="AM512" t="str">
        <f t="shared" si="109"/>
        <v>Yes</v>
      </c>
      <c r="AN512" t="str">
        <f t="shared" si="110"/>
        <v>Emergency</v>
      </c>
      <c r="AO512" t="str">
        <f t="shared" si="111"/>
        <v>General Ward</v>
      </c>
    </row>
    <row r="513" spans="1:41" x14ac:dyDescent="0.3">
      <c r="A513" s="21" t="str">
        <f t="shared" si="104"/>
        <v>UHID-00512</v>
      </c>
      <c r="B513" s="18">
        <v>72</v>
      </c>
      <c r="C513" s="10" t="s">
        <v>18</v>
      </c>
      <c r="D513" s="13" t="s">
        <v>28</v>
      </c>
      <c r="E513" s="13" t="s">
        <v>1</v>
      </c>
      <c r="F513" s="15">
        <v>46194.972541423602</v>
      </c>
      <c r="G513" s="4">
        <v>46194</v>
      </c>
      <c r="H513" s="1">
        <v>46197.5550196759</v>
      </c>
      <c r="I513" s="22">
        <v>46197</v>
      </c>
      <c r="J513" s="24">
        <f t="shared" si="98"/>
        <v>46197.381359906853</v>
      </c>
      <c r="K513" s="24">
        <f t="shared" si="99"/>
        <v>0.55501967589952983</v>
      </c>
      <c r="L513" s="29">
        <f t="shared" si="105"/>
        <v>46196</v>
      </c>
      <c r="M513" s="27" t="str">
        <f t="shared" si="100"/>
        <v>Medication Change</v>
      </c>
      <c r="N513" s="31">
        <f t="shared" si="101"/>
        <v>3</v>
      </c>
      <c r="O513" s="27"/>
      <c r="Q513" s="8">
        <v>0.91737008315600543</v>
      </c>
      <c r="R513" s="8" t="str">
        <f t="shared" si="102"/>
        <v>Major Delay</v>
      </c>
      <c r="S513" s="33">
        <v>2.1678344571413382</v>
      </c>
      <c r="T513" t="s">
        <v>31</v>
      </c>
      <c r="U513" s="3">
        <v>2</v>
      </c>
      <c r="V513" s="3" t="str">
        <f t="shared" si="106"/>
        <v>Normal</v>
      </c>
      <c r="W513" s="3" t="s">
        <v>50</v>
      </c>
      <c r="X513" s="32">
        <f t="shared" si="103"/>
        <v>0.17365976904693525</v>
      </c>
      <c r="Z513" s="38">
        <f t="shared" si="107"/>
        <v>4.8659769046935253E-2</v>
      </c>
      <c r="AC513" s="36">
        <v>0.125</v>
      </c>
      <c r="AL513" t="str">
        <f t="shared" si="108"/>
        <v>Medication Change</v>
      </c>
      <c r="AM513" t="str">
        <f t="shared" si="109"/>
        <v>No</v>
      </c>
      <c r="AN513" t="str">
        <f t="shared" si="110"/>
        <v>Elective</v>
      </c>
      <c r="AO513" t="str">
        <f t="shared" si="111"/>
        <v>General Ward</v>
      </c>
    </row>
    <row r="514" spans="1:41" x14ac:dyDescent="0.3">
      <c r="A514" s="21" t="str">
        <f t="shared" si="104"/>
        <v>UHID-00513</v>
      </c>
      <c r="B514" s="18">
        <v>23</v>
      </c>
      <c r="C514" s="10" t="s">
        <v>17</v>
      </c>
      <c r="D514" s="13" t="s">
        <v>27</v>
      </c>
      <c r="E514" s="13" t="s">
        <v>1</v>
      </c>
      <c r="F514" s="15">
        <v>46191.239892858801</v>
      </c>
      <c r="G514" s="4">
        <v>46191</v>
      </c>
      <c r="H514" s="1">
        <v>46198.5251519792</v>
      </c>
      <c r="I514" s="22">
        <v>46198</v>
      </c>
      <c r="J514" s="24">
        <f t="shared" ref="J514:J577" si="112">I514+K514-((S514+U514)/24)</f>
        <v>46198.460843112065</v>
      </c>
      <c r="K514" s="24">
        <f t="shared" ref="K514:K577" si="113">MOD(H514,1)</f>
        <v>0.5251519792000181</v>
      </c>
      <c r="L514" s="29">
        <f t="shared" si="105"/>
        <v>46197</v>
      </c>
      <c r="M514" s="27" t="str">
        <f t="shared" ref="M514:M577" si="114">IF(X514="","",IF(X514&lt;=TIME(2,0,0),"Normal",IF(X514&lt;=TIME(3,0,0),IF(D514="CASH","Bill Settlement Delay","Doctor Round Delay/Report Delay"),IF(X514&lt;=TIME(5,0,0),IF(D514="TPA","TPA Approval Delay","Medication Change"),IF(D514="TPA","Health Deterioration/TPA Approval Delay","Health Deterioration")))))</f>
        <v>Normal</v>
      </c>
      <c r="N514" s="31">
        <f t="shared" ref="N514:N577" si="115">I514-G514</f>
        <v>7</v>
      </c>
      <c r="O514" s="27"/>
      <c r="Q514" s="8">
        <v>0.32825600019118761</v>
      </c>
      <c r="R514" s="8" t="str">
        <f t="shared" ref="R514:R577" si="116">IF(X514="","",IF(X514&lt;=TIME(2,0,0),"On Time",IF(X514&lt;=TIME(3,0,0),"Minor Delay",IF(X514&lt;=TIME(5,0,0),"Major Delay","Critical Delay"))))</f>
        <v>On Time</v>
      </c>
      <c r="S514" s="33">
        <v>1.5434128113219283</v>
      </c>
      <c r="T514" t="s">
        <v>30</v>
      </c>
      <c r="U514" s="3">
        <v>0</v>
      </c>
      <c r="V514" s="3" t="str">
        <f t="shared" si="106"/>
        <v/>
      </c>
      <c r="W514" s="3" t="s">
        <v>51</v>
      </c>
      <c r="X514" s="32">
        <f t="shared" ref="X514:X577" si="117">MOD(K514-J514,1)</f>
        <v>6.430886713496875E-2</v>
      </c>
      <c r="Z514" s="38">
        <f t="shared" si="107"/>
        <v>0</v>
      </c>
      <c r="AC514" s="36">
        <v>0.125</v>
      </c>
      <c r="AL514" t="str">
        <f t="shared" si="108"/>
        <v>Normal</v>
      </c>
      <c r="AM514" t="str">
        <f t="shared" si="109"/>
        <v>No</v>
      </c>
      <c r="AN514" t="str">
        <f t="shared" si="110"/>
        <v>Emergency</v>
      </c>
      <c r="AO514" t="str">
        <f t="shared" si="111"/>
        <v>ICU</v>
      </c>
    </row>
    <row r="515" spans="1:41" x14ac:dyDescent="0.3">
      <c r="A515" s="21" t="str">
        <f t="shared" ref="A515:A578" si="118">"UHID-"&amp;TEXT(ROW(A515)-1,"00000")</f>
        <v>UHID-00514</v>
      </c>
      <c r="B515" s="18">
        <v>48</v>
      </c>
      <c r="C515" s="10" t="s">
        <v>17</v>
      </c>
      <c r="D515" s="13" t="s">
        <v>26</v>
      </c>
      <c r="E515" s="13" t="s">
        <v>1</v>
      </c>
      <c r="F515" s="15">
        <v>46194.790697314798</v>
      </c>
      <c r="G515" s="4">
        <v>46194</v>
      </c>
      <c r="H515" s="1">
        <v>46198.704143171301</v>
      </c>
      <c r="I515" s="22">
        <v>46198</v>
      </c>
      <c r="J515" s="24">
        <f t="shared" si="112"/>
        <v>46198.262494602881</v>
      </c>
      <c r="K515" s="24">
        <f t="shared" si="113"/>
        <v>0.7041431713005295</v>
      </c>
      <c r="L515" s="29">
        <f t="shared" ref="L515:L578" si="119">IF(J515&gt;MOD(H515,1),INT(H515)-1,INT(H515))</f>
        <v>46197</v>
      </c>
      <c r="M515" s="27" t="str">
        <f t="shared" si="114"/>
        <v>Health Deterioration/TPA Approval Delay</v>
      </c>
      <c r="N515" s="31">
        <f t="shared" si="115"/>
        <v>4</v>
      </c>
      <c r="O515" s="27"/>
      <c r="Q515" s="8">
        <v>0.76566886397269285</v>
      </c>
      <c r="R515" s="8" t="str">
        <f t="shared" si="116"/>
        <v>Critical Delay</v>
      </c>
      <c r="S515" s="33">
        <v>3.5995656419901634</v>
      </c>
      <c r="T515" t="s">
        <v>31</v>
      </c>
      <c r="U515" s="3">
        <v>7</v>
      </c>
      <c r="V515" s="3" t="str">
        <f t="shared" ref="V515:V578" si="120">IF(T515="NO","Normal","")</f>
        <v>Normal</v>
      </c>
      <c r="W515" s="3" t="s">
        <v>52</v>
      </c>
      <c r="X515" s="32">
        <f t="shared" si="117"/>
        <v>0.44164856841962319</v>
      </c>
      <c r="Z515" s="38">
        <f t="shared" ref="Z515:Z578" si="121">IF(X515 &gt; TIME(3,0,0), X515 - TIME(3,0,0), 0)</f>
        <v>0.31664856841962319</v>
      </c>
      <c r="AC515" s="36">
        <v>0.125</v>
      </c>
      <c r="AL515" t="str">
        <f t="shared" ref="AL515:AL578" si="122">IF(X515="","",IF(X515&lt;=TIME(2,0,0),"Normal",IF(X515&lt;=TIME(3,0,0),IF(D515="CASH","Bill Settlement Delay","Doctor Round Delay/Report Delay"),IF(Z515&lt;=TIME(2,0,0),IF(D515="TPA","TPA Approval Delay","Medication Change"),IF(D515="TPA","Health Deterioration/TPA Approval Delay","Health Deterioration")))))</f>
        <v>Health Deterioration/TPA Approval Delay</v>
      </c>
      <c r="AM515" t="str">
        <f t="shared" ref="AM515:AM578" si="123">IF(OR(AND(B515&gt;65, R515="Critical Delay"), N515&gt;10), "Yes", "No")</f>
        <v>No</v>
      </c>
      <c r="AN515" t="str">
        <f t="shared" ref="AN515:AN578" si="124">IF(E515="Cardiology &amp; Cardiothoracic", IF(MOD(ROW(),10)&lt;3, "Emergency", "Elective"), IF(E515="Neurology &amp; Neurosurgery", IF(MOD(ROW(),10)&lt;4, "Emergency", "Elective"), IF(D515="COR", IF(MOD(ROW(),20)&lt;7, "Emergency", "Elective"), IF(OR(R515="Critical Delay", N515&gt;=7), "Emergency", "Elective"))))</f>
        <v>Emergency</v>
      </c>
      <c r="AO515" t="str">
        <f t="shared" ref="AO515:AO578" si="125">IF(OR(N515&gt;6, AND(E515="Cardiology &amp; Cardiothoracic", MOD(ROW(),10)&lt;4), AND(E515="Neurology &amp; Neurosurgery", MOD(ROW(),10)&lt;6)), "ICU", IF(OR(N515&gt;3, AND(E515="Cardiology &amp; Cardiothoracic", MOD(ROW(),10)&lt;6), E515="Neurology &amp; Neurosurgery"), "HDU", "General Ward"))</f>
        <v>HDU</v>
      </c>
    </row>
    <row r="516" spans="1:41" x14ac:dyDescent="0.3">
      <c r="A516" s="21" t="str">
        <f t="shared" si="118"/>
        <v>UHID-00515</v>
      </c>
      <c r="B516" s="18">
        <v>49</v>
      </c>
      <c r="C516" s="10" t="s">
        <v>18</v>
      </c>
      <c r="D516" s="13" t="s">
        <v>26</v>
      </c>
      <c r="E516" s="13" t="s">
        <v>1</v>
      </c>
      <c r="F516" s="15">
        <v>46195.988283888903</v>
      </c>
      <c r="G516" s="4">
        <v>46195</v>
      </c>
      <c r="H516" s="1">
        <v>46198.598158599503</v>
      </c>
      <c r="I516" s="22">
        <v>46198</v>
      </c>
      <c r="J516" s="24">
        <f t="shared" si="112"/>
        <v>46198.452763019108</v>
      </c>
      <c r="K516" s="24">
        <f t="shared" si="113"/>
        <v>0.59815859950322192</v>
      </c>
      <c r="L516" s="29">
        <f t="shared" si="119"/>
        <v>46197</v>
      </c>
      <c r="M516" s="27" t="str">
        <f t="shared" si="114"/>
        <v>TPA Approval Delay</v>
      </c>
      <c r="N516" s="31">
        <f t="shared" si="115"/>
        <v>3</v>
      </c>
      <c r="O516" s="27"/>
      <c r="Q516" s="8">
        <v>0.56739024921272541</v>
      </c>
      <c r="R516" s="8" t="str">
        <f t="shared" si="116"/>
        <v>Major Delay</v>
      </c>
      <c r="S516" s="33">
        <v>3.4894939295404406</v>
      </c>
      <c r="T516" t="s">
        <v>31</v>
      </c>
      <c r="U516" s="3">
        <v>0</v>
      </c>
      <c r="V516" s="3" t="str">
        <f t="shared" si="120"/>
        <v>Normal</v>
      </c>
      <c r="W516" s="3" t="s">
        <v>51</v>
      </c>
      <c r="X516" s="32">
        <f t="shared" si="117"/>
        <v>0.14539558039541589</v>
      </c>
      <c r="Z516" s="38">
        <f t="shared" si="121"/>
        <v>2.0395580395415891E-2</v>
      </c>
      <c r="AC516" s="36">
        <v>0.125</v>
      </c>
      <c r="AL516" t="str">
        <f t="shared" si="122"/>
        <v>TPA Approval Delay</v>
      </c>
      <c r="AM516" t="str">
        <f t="shared" si="123"/>
        <v>No</v>
      </c>
      <c r="AN516" t="str">
        <f t="shared" si="124"/>
        <v>Elective</v>
      </c>
      <c r="AO516" t="str">
        <f t="shared" si="125"/>
        <v>General Ward</v>
      </c>
    </row>
    <row r="517" spans="1:41" x14ac:dyDescent="0.3">
      <c r="A517" s="21" t="str">
        <f t="shared" si="118"/>
        <v>UHID-00516</v>
      </c>
      <c r="B517" s="18">
        <v>68</v>
      </c>
      <c r="C517" s="10" t="s">
        <v>17</v>
      </c>
      <c r="D517" s="13" t="s">
        <v>26</v>
      </c>
      <c r="E517" s="13" t="s">
        <v>1</v>
      </c>
      <c r="F517" s="15">
        <v>46195.397065578698</v>
      </c>
      <c r="G517" s="4">
        <v>46195</v>
      </c>
      <c r="H517" s="1">
        <v>46198.613938692099</v>
      </c>
      <c r="I517" s="22">
        <v>46198</v>
      </c>
      <c r="J517" s="24">
        <f t="shared" si="112"/>
        <v>46198.476572338106</v>
      </c>
      <c r="K517" s="24">
        <f t="shared" si="113"/>
        <v>0.61393869209859986</v>
      </c>
      <c r="L517" s="29">
        <f t="shared" si="119"/>
        <v>46197</v>
      </c>
      <c r="M517" s="27" t="str">
        <f t="shared" si="114"/>
        <v>TPA Approval Delay</v>
      </c>
      <c r="N517" s="31">
        <f t="shared" si="115"/>
        <v>3</v>
      </c>
      <c r="O517" s="27"/>
      <c r="Q517" s="8">
        <v>0.51906407498532281</v>
      </c>
      <c r="R517" s="8" t="str">
        <f t="shared" si="116"/>
        <v>Major Delay</v>
      </c>
      <c r="S517" s="33">
        <v>3.2967924958481887</v>
      </c>
      <c r="T517" t="s">
        <v>31</v>
      </c>
      <c r="U517" s="3">
        <v>0</v>
      </c>
      <c r="V517" s="3" t="str">
        <f t="shared" si="120"/>
        <v>Normal</v>
      </c>
      <c r="W517" s="3" t="s">
        <v>51</v>
      </c>
      <c r="X517" s="32">
        <f t="shared" si="117"/>
        <v>0.13736635399254737</v>
      </c>
      <c r="Z517" s="38">
        <f t="shared" si="121"/>
        <v>1.2366353992547374E-2</v>
      </c>
      <c r="AC517" s="36">
        <v>0.125</v>
      </c>
      <c r="AL517" t="str">
        <f t="shared" si="122"/>
        <v>TPA Approval Delay</v>
      </c>
      <c r="AM517" t="str">
        <f t="shared" si="123"/>
        <v>No</v>
      </c>
      <c r="AN517" t="str">
        <f t="shared" si="124"/>
        <v>Elective</v>
      </c>
      <c r="AO517" t="str">
        <f t="shared" si="125"/>
        <v>General Ward</v>
      </c>
    </row>
    <row r="518" spans="1:41" x14ac:dyDescent="0.3">
      <c r="A518" s="21" t="str">
        <f t="shared" si="118"/>
        <v>UHID-00517</v>
      </c>
      <c r="B518" s="18">
        <v>56</v>
      </c>
      <c r="C518" s="10" t="s">
        <v>18</v>
      </c>
      <c r="D518" s="13" t="s">
        <v>27</v>
      </c>
      <c r="E518" s="13" t="s">
        <v>1</v>
      </c>
      <c r="F518" s="15">
        <v>46194.960459305599</v>
      </c>
      <c r="G518" s="4">
        <v>46194</v>
      </c>
      <c r="H518" s="1">
        <v>46198.4784943056</v>
      </c>
      <c r="I518" s="22">
        <v>46198</v>
      </c>
      <c r="J518" s="24">
        <f t="shared" si="112"/>
        <v>46198.403309164372</v>
      </c>
      <c r="K518" s="24">
        <f t="shared" si="113"/>
        <v>0.47849430560017936</v>
      </c>
      <c r="L518" s="29">
        <f t="shared" si="119"/>
        <v>46197</v>
      </c>
      <c r="M518" s="27" t="str">
        <f t="shared" si="114"/>
        <v>Normal</v>
      </c>
      <c r="N518" s="31">
        <f t="shared" si="115"/>
        <v>4</v>
      </c>
      <c r="O518" s="27"/>
      <c r="Q518" s="8">
        <v>0.49970161132239832</v>
      </c>
      <c r="R518" s="8" t="str">
        <f t="shared" si="116"/>
        <v>On Time</v>
      </c>
      <c r="S518" s="33">
        <v>1.8044433894461025</v>
      </c>
      <c r="T518" t="s">
        <v>31</v>
      </c>
      <c r="U518" s="3">
        <v>0</v>
      </c>
      <c r="V518" s="3" t="str">
        <f t="shared" si="120"/>
        <v>Normal</v>
      </c>
      <c r="W518" s="3" t="s">
        <v>51</v>
      </c>
      <c r="X518" s="32">
        <f t="shared" si="117"/>
        <v>7.5185141227848362E-2</v>
      </c>
      <c r="Z518" s="38">
        <f t="shared" si="121"/>
        <v>0</v>
      </c>
      <c r="AC518" s="36">
        <v>0.125</v>
      </c>
      <c r="AL518" t="str">
        <f t="shared" si="122"/>
        <v>Normal</v>
      </c>
      <c r="AM518" t="str">
        <f t="shared" si="123"/>
        <v>No</v>
      </c>
      <c r="AN518" t="str">
        <f t="shared" si="124"/>
        <v>Elective</v>
      </c>
      <c r="AO518" t="str">
        <f t="shared" si="125"/>
        <v>HDU</v>
      </c>
    </row>
    <row r="519" spans="1:41" x14ac:dyDescent="0.3">
      <c r="A519" s="21" t="str">
        <f t="shared" si="118"/>
        <v>UHID-00518</v>
      </c>
      <c r="B519" s="18">
        <v>58</v>
      </c>
      <c r="C519" s="10" t="s">
        <v>18</v>
      </c>
      <c r="D519" s="13" t="s">
        <v>27</v>
      </c>
      <c r="E519" s="13" t="s">
        <v>1</v>
      </c>
      <c r="F519" s="15">
        <v>46196.504352442098</v>
      </c>
      <c r="G519" s="4">
        <v>46196</v>
      </c>
      <c r="H519" s="1">
        <v>46198.491121944397</v>
      </c>
      <c r="I519" s="22">
        <v>46198</v>
      </c>
      <c r="J519" s="24">
        <f t="shared" si="112"/>
        <v>46198.409199434456</v>
      </c>
      <c r="K519" s="24">
        <f t="shared" si="113"/>
        <v>0.49112194439658197</v>
      </c>
      <c r="L519" s="29">
        <f t="shared" si="119"/>
        <v>46197</v>
      </c>
      <c r="M519" s="27" t="str">
        <f t="shared" si="114"/>
        <v>Normal</v>
      </c>
      <c r="N519" s="31">
        <f t="shared" si="115"/>
        <v>2</v>
      </c>
      <c r="O519" s="27"/>
      <c r="Q519" s="8">
        <v>0.43711963912329965</v>
      </c>
      <c r="R519" s="8" t="str">
        <f t="shared" si="116"/>
        <v>On Time</v>
      </c>
      <c r="S519" s="33">
        <v>1.9661402386110916</v>
      </c>
      <c r="T519" t="s">
        <v>31</v>
      </c>
      <c r="U519" s="3">
        <v>0</v>
      </c>
      <c r="V519" s="3" t="str">
        <f t="shared" si="120"/>
        <v>Normal</v>
      </c>
      <c r="W519" s="3" t="s">
        <v>51</v>
      </c>
      <c r="X519" s="32">
        <f t="shared" si="117"/>
        <v>8.1922509940341115E-2</v>
      </c>
      <c r="Z519" s="38">
        <f t="shared" si="121"/>
        <v>0</v>
      </c>
      <c r="AC519" s="36">
        <v>0.125</v>
      </c>
      <c r="AL519" t="str">
        <f t="shared" si="122"/>
        <v>Normal</v>
      </c>
      <c r="AM519" t="str">
        <f t="shared" si="123"/>
        <v>No</v>
      </c>
      <c r="AN519" t="str">
        <f t="shared" si="124"/>
        <v>Elective</v>
      </c>
      <c r="AO519" t="str">
        <f t="shared" si="125"/>
        <v>General Ward</v>
      </c>
    </row>
    <row r="520" spans="1:41" x14ac:dyDescent="0.3">
      <c r="A520" s="21" t="str">
        <f t="shared" si="118"/>
        <v>UHID-00519</v>
      </c>
      <c r="B520" s="18">
        <v>62</v>
      </c>
      <c r="C520" s="10" t="s">
        <v>18</v>
      </c>
      <c r="D520" s="13" t="s">
        <v>26</v>
      </c>
      <c r="E520" s="13" t="s">
        <v>1</v>
      </c>
      <c r="F520" s="15">
        <v>46196.420465416697</v>
      </c>
      <c r="G520" s="4">
        <v>46196</v>
      </c>
      <c r="H520" s="1">
        <v>46197.725731921302</v>
      </c>
      <c r="I520" s="22">
        <v>46197</v>
      </c>
      <c r="J520" s="24">
        <f t="shared" si="112"/>
        <v>46197.599316298831</v>
      </c>
      <c r="K520" s="24">
        <f t="shared" si="113"/>
        <v>0.72573192130221287</v>
      </c>
      <c r="L520" s="29">
        <f t="shared" si="119"/>
        <v>46196</v>
      </c>
      <c r="M520" s="27" t="str">
        <f t="shared" si="114"/>
        <v>TPA Approval Delay</v>
      </c>
      <c r="N520" s="31">
        <f t="shared" si="115"/>
        <v>1</v>
      </c>
      <c r="O520" s="27"/>
      <c r="Q520" s="8">
        <v>0.53260251013760229</v>
      </c>
      <c r="R520" s="8" t="str">
        <f t="shared" si="116"/>
        <v>Major Delay</v>
      </c>
      <c r="S520" s="33">
        <v>3.0339749392820741</v>
      </c>
      <c r="T520" t="s">
        <v>31</v>
      </c>
      <c r="U520" s="3">
        <v>0</v>
      </c>
      <c r="V520" s="3" t="str">
        <f t="shared" si="120"/>
        <v>Normal</v>
      </c>
      <c r="W520" s="3" t="s">
        <v>51</v>
      </c>
      <c r="X520" s="32">
        <f t="shared" si="117"/>
        <v>0.1264156224715407</v>
      </c>
      <c r="Z520" s="38">
        <f t="shared" si="121"/>
        <v>1.4156224715407006E-3</v>
      </c>
      <c r="AC520" s="36">
        <v>0.125</v>
      </c>
      <c r="AL520" t="str">
        <f t="shared" si="122"/>
        <v>TPA Approval Delay</v>
      </c>
      <c r="AM520" t="str">
        <f t="shared" si="123"/>
        <v>No</v>
      </c>
      <c r="AN520" t="str">
        <f t="shared" si="124"/>
        <v>Elective</v>
      </c>
      <c r="AO520" t="str">
        <f t="shared" si="125"/>
        <v>General Ward</v>
      </c>
    </row>
    <row r="521" spans="1:41" x14ac:dyDescent="0.3">
      <c r="A521" s="21" t="str">
        <f t="shared" si="118"/>
        <v>UHID-00520</v>
      </c>
      <c r="B521" s="18">
        <v>66</v>
      </c>
      <c r="C521" s="10" t="s">
        <v>17</v>
      </c>
      <c r="D521" s="13" t="s">
        <v>26</v>
      </c>
      <c r="E521" s="13" t="s">
        <v>1</v>
      </c>
      <c r="F521" s="15">
        <v>46189.802456076402</v>
      </c>
      <c r="G521" s="4">
        <v>46189</v>
      </c>
      <c r="H521" s="1">
        <v>46198.618676678198</v>
      </c>
      <c r="I521" s="22">
        <v>46198</v>
      </c>
      <c r="J521" s="24">
        <f t="shared" si="112"/>
        <v>46198.486735267361</v>
      </c>
      <c r="K521" s="24">
        <f t="shared" si="113"/>
        <v>0.61867667819751659</v>
      </c>
      <c r="L521" s="29">
        <f t="shared" si="119"/>
        <v>46197</v>
      </c>
      <c r="M521" s="27" t="str">
        <f t="shared" si="114"/>
        <v>TPA Approval Delay</v>
      </c>
      <c r="N521" s="31">
        <f t="shared" si="115"/>
        <v>9</v>
      </c>
      <c r="O521" s="27"/>
      <c r="Q521" s="8">
        <v>0.66535640608327185</v>
      </c>
      <c r="R521" s="8" t="str">
        <f t="shared" si="116"/>
        <v>Major Delay</v>
      </c>
      <c r="S521" s="33">
        <v>3.1665938601389803</v>
      </c>
      <c r="T521" t="s">
        <v>31</v>
      </c>
      <c r="U521" s="3">
        <v>0</v>
      </c>
      <c r="V521" s="3" t="str">
        <f t="shared" si="120"/>
        <v>Normal</v>
      </c>
      <c r="W521" s="3" t="s">
        <v>51</v>
      </c>
      <c r="X521" s="32">
        <f t="shared" si="117"/>
        <v>0.13194141083658906</v>
      </c>
      <c r="Z521" s="38">
        <f t="shared" si="121"/>
        <v>6.941410836589057E-3</v>
      </c>
      <c r="AC521" s="36">
        <v>0.125</v>
      </c>
      <c r="AL521" t="str">
        <f t="shared" si="122"/>
        <v>TPA Approval Delay</v>
      </c>
      <c r="AM521" t="str">
        <f t="shared" si="123"/>
        <v>No</v>
      </c>
      <c r="AN521" t="str">
        <f t="shared" si="124"/>
        <v>Emergency</v>
      </c>
      <c r="AO521" t="str">
        <f t="shared" si="125"/>
        <v>ICU</v>
      </c>
    </row>
    <row r="522" spans="1:41" x14ac:dyDescent="0.3">
      <c r="A522" s="21" t="str">
        <f t="shared" si="118"/>
        <v>UHID-00521</v>
      </c>
      <c r="B522" s="18">
        <v>70</v>
      </c>
      <c r="C522" s="10" t="s">
        <v>18</v>
      </c>
      <c r="D522" s="13" t="s">
        <v>26</v>
      </c>
      <c r="E522" s="13" t="s">
        <v>1</v>
      </c>
      <c r="F522" s="15">
        <v>46197.446197592602</v>
      </c>
      <c r="G522" s="4">
        <v>46197</v>
      </c>
      <c r="H522" s="1">
        <v>46198.633389803203</v>
      </c>
      <c r="I522" s="22">
        <v>46198</v>
      </c>
      <c r="J522" s="24">
        <f t="shared" si="112"/>
        <v>46198.362554456966</v>
      </c>
      <c r="K522" s="24">
        <f t="shared" si="113"/>
        <v>0.63338980320258997</v>
      </c>
      <c r="L522" s="29">
        <f t="shared" si="119"/>
        <v>46197</v>
      </c>
      <c r="M522" s="27" t="str">
        <f t="shared" si="114"/>
        <v>Health Deterioration/TPA Approval Delay</v>
      </c>
      <c r="N522" s="31">
        <f t="shared" si="115"/>
        <v>1</v>
      </c>
      <c r="O522" s="27"/>
      <c r="Q522" s="8">
        <v>0.7273863999625626</v>
      </c>
      <c r="R522" s="8" t="str">
        <f t="shared" si="116"/>
        <v>Critical Delay</v>
      </c>
      <c r="S522" s="33">
        <v>3.5000483096599297</v>
      </c>
      <c r="T522" t="s">
        <v>31</v>
      </c>
      <c r="U522" s="3">
        <v>3</v>
      </c>
      <c r="V522" s="3" t="str">
        <f t="shared" si="120"/>
        <v>Normal</v>
      </c>
      <c r="W522" s="3" t="s">
        <v>50</v>
      </c>
      <c r="X522" s="32">
        <f t="shared" si="117"/>
        <v>0.27083534623670857</v>
      </c>
      <c r="Z522" s="38">
        <f t="shared" si="121"/>
        <v>0.14583534623670857</v>
      </c>
      <c r="AC522" s="36">
        <v>0.125</v>
      </c>
      <c r="AL522" t="str">
        <f t="shared" si="122"/>
        <v>Health Deterioration/TPA Approval Delay</v>
      </c>
      <c r="AM522" t="str">
        <f t="shared" si="123"/>
        <v>Yes</v>
      </c>
      <c r="AN522" t="str">
        <f t="shared" si="124"/>
        <v>Emergency</v>
      </c>
      <c r="AO522" t="str">
        <f t="shared" si="125"/>
        <v>General Ward</v>
      </c>
    </row>
    <row r="523" spans="1:41" x14ac:dyDescent="0.3">
      <c r="A523" s="21" t="str">
        <f t="shared" si="118"/>
        <v>UHID-00522</v>
      </c>
      <c r="B523" s="18">
        <v>37</v>
      </c>
      <c r="C523" s="10" t="s">
        <v>17</v>
      </c>
      <c r="D523" s="13" t="s">
        <v>27</v>
      </c>
      <c r="E523" s="13" t="s">
        <v>1</v>
      </c>
      <c r="F523" s="15">
        <v>46192.821779699101</v>
      </c>
      <c r="G523" s="4">
        <v>46192</v>
      </c>
      <c r="H523" s="1">
        <v>46198.670972256899</v>
      </c>
      <c r="I523" s="22">
        <v>46198</v>
      </c>
      <c r="J523" s="24">
        <f t="shared" si="112"/>
        <v>46198.62692033338</v>
      </c>
      <c r="K523" s="24">
        <f t="shared" si="113"/>
        <v>0.67097225689940387</v>
      </c>
      <c r="L523" s="29">
        <f t="shared" si="119"/>
        <v>46197</v>
      </c>
      <c r="M523" s="27" t="str">
        <f t="shared" si="114"/>
        <v>Normal</v>
      </c>
      <c r="N523" s="31">
        <f t="shared" si="115"/>
        <v>6</v>
      </c>
      <c r="O523" s="27"/>
      <c r="Q523" s="8">
        <v>0.1235061527474246</v>
      </c>
      <c r="R523" s="8" t="str">
        <f t="shared" si="116"/>
        <v>On Time</v>
      </c>
      <c r="S523" s="33">
        <v>1.057246164456719</v>
      </c>
      <c r="T523" t="s">
        <v>30</v>
      </c>
      <c r="U523" s="3">
        <v>0</v>
      </c>
      <c r="V523" s="3" t="str">
        <f t="shared" si="120"/>
        <v/>
      </c>
      <c r="W523" s="3" t="s">
        <v>51</v>
      </c>
      <c r="X523" s="32">
        <f t="shared" si="117"/>
        <v>4.4051923519873526E-2</v>
      </c>
      <c r="Z523" s="38">
        <f t="shared" si="121"/>
        <v>0</v>
      </c>
      <c r="AC523" s="36">
        <v>0.125</v>
      </c>
      <c r="AL523" t="str">
        <f t="shared" si="122"/>
        <v>Normal</v>
      </c>
      <c r="AM523" t="str">
        <f t="shared" si="123"/>
        <v>No</v>
      </c>
      <c r="AN523" t="str">
        <f t="shared" si="124"/>
        <v>Elective</v>
      </c>
      <c r="AO523" t="str">
        <f t="shared" si="125"/>
        <v>HDU</v>
      </c>
    </row>
    <row r="524" spans="1:41" x14ac:dyDescent="0.3">
      <c r="A524" s="21" t="str">
        <f t="shared" si="118"/>
        <v>UHID-00523</v>
      </c>
      <c r="B524" s="19">
        <v>75</v>
      </c>
      <c r="C524" s="11" t="s">
        <v>18</v>
      </c>
      <c r="D524" s="13" t="s">
        <v>26</v>
      </c>
      <c r="E524" s="13" t="s">
        <v>1</v>
      </c>
      <c r="F524" s="16">
        <v>46192.977067893502</v>
      </c>
      <c r="G524" s="5">
        <v>46192</v>
      </c>
      <c r="H524" s="2">
        <v>46198.669494988397</v>
      </c>
      <c r="I524" s="23">
        <v>46198</v>
      </c>
      <c r="J524" s="24">
        <f t="shared" si="112"/>
        <v>46198.52342136974</v>
      </c>
      <c r="K524" s="24">
        <f t="shared" si="113"/>
        <v>0.6694949883967638</v>
      </c>
      <c r="L524" s="29">
        <f t="shared" si="119"/>
        <v>46197</v>
      </c>
      <c r="M524" s="27" t="str">
        <f t="shared" si="114"/>
        <v>TPA Approval Delay</v>
      </c>
      <c r="N524" s="31">
        <f t="shared" si="115"/>
        <v>6</v>
      </c>
      <c r="O524" s="27"/>
      <c r="Q524" s="8">
        <v>0.79970014271750334</v>
      </c>
      <c r="R524" s="8" t="str">
        <f t="shared" si="116"/>
        <v>Major Delay</v>
      </c>
      <c r="S524" s="33">
        <v>3.5057668478080766</v>
      </c>
      <c r="T524" t="s">
        <v>31</v>
      </c>
      <c r="U524" s="3">
        <v>0</v>
      </c>
      <c r="V524" s="3" t="str">
        <f t="shared" si="120"/>
        <v>Normal</v>
      </c>
      <c r="W524" s="3" t="s">
        <v>51</v>
      </c>
      <c r="X524" s="32">
        <f t="shared" si="117"/>
        <v>0.14607361865637358</v>
      </c>
      <c r="Z524" s="38">
        <f t="shared" si="121"/>
        <v>2.1073618656373583E-2</v>
      </c>
      <c r="AC524" s="36">
        <v>0.125</v>
      </c>
      <c r="AL524" t="str">
        <f t="shared" si="122"/>
        <v>TPA Approval Delay</v>
      </c>
      <c r="AM524" t="str">
        <f t="shared" si="123"/>
        <v>No</v>
      </c>
      <c r="AN524" t="str">
        <f t="shared" si="124"/>
        <v>Elective</v>
      </c>
      <c r="AO524" t="str">
        <f t="shared" si="125"/>
        <v>HDU</v>
      </c>
    </row>
    <row r="525" spans="1:41" x14ac:dyDescent="0.3">
      <c r="A525" s="21" t="str">
        <f t="shared" si="118"/>
        <v>UHID-00524</v>
      </c>
      <c r="B525" s="19">
        <v>87</v>
      </c>
      <c r="C525" s="11" t="s">
        <v>18</v>
      </c>
      <c r="D525" s="13" t="s">
        <v>26</v>
      </c>
      <c r="E525" s="13" t="s">
        <v>1</v>
      </c>
      <c r="F525" s="16">
        <v>46195.744373460599</v>
      </c>
      <c r="G525" s="5">
        <v>46195</v>
      </c>
      <c r="H525" s="2">
        <v>46199.730298738403</v>
      </c>
      <c r="I525" s="23">
        <v>46199</v>
      </c>
      <c r="J525" s="24">
        <f t="shared" si="112"/>
        <v>46199.598981991832</v>
      </c>
      <c r="K525" s="24">
        <f t="shared" si="113"/>
        <v>0.73029873840278015</v>
      </c>
      <c r="L525" s="29">
        <f t="shared" si="119"/>
        <v>46198</v>
      </c>
      <c r="M525" s="27" t="str">
        <f t="shared" si="114"/>
        <v>TPA Approval Delay</v>
      </c>
      <c r="N525" s="31">
        <f t="shared" si="115"/>
        <v>4</v>
      </c>
      <c r="O525" s="27"/>
      <c r="Q525" s="8">
        <v>0.71931513095471999</v>
      </c>
      <c r="R525" s="8" t="str">
        <f t="shared" si="116"/>
        <v>Major Delay</v>
      </c>
      <c r="S525" s="33">
        <v>3.1516019176395216</v>
      </c>
      <c r="T525" t="s">
        <v>31</v>
      </c>
      <c r="U525" s="3">
        <v>0</v>
      </c>
      <c r="V525" s="3" t="str">
        <f t="shared" si="120"/>
        <v>Normal</v>
      </c>
      <c r="W525" s="3" t="s">
        <v>51</v>
      </c>
      <c r="X525" s="32">
        <f t="shared" si="117"/>
        <v>0.13131674657051917</v>
      </c>
      <c r="Z525" s="38">
        <f t="shared" si="121"/>
        <v>6.3167465705191717E-3</v>
      </c>
      <c r="AC525" s="36">
        <v>0.125</v>
      </c>
      <c r="AL525" t="str">
        <f t="shared" si="122"/>
        <v>TPA Approval Delay</v>
      </c>
      <c r="AM525" t="str">
        <f t="shared" si="123"/>
        <v>No</v>
      </c>
      <c r="AN525" t="str">
        <f t="shared" si="124"/>
        <v>Elective</v>
      </c>
      <c r="AO525" t="str">
        <f t="shared" si="125"/>
        <v>HDU</v>
      </c>
    </row>
    <row r="526" spans="1:41" x14ac:dyDescent="0.3">
      <c r="A526" s="21" t="str">
        <f t="shared" si="118"/>
        <v>UHID-00525</v>
      </c>
      <c r="B526" s="19">
        <v>76</v>
      </c>
      <c r="C526" s="11" t="s">
        <v>18</v>
      </c>
      <c r="D526" s="13" t="s">
        <v>28</v>
      </c>
      <c r="E526" s="13" t="s">
        <v>1</v>
      </c>
      <c r="F526" s="16">
        <v>46190.694766817098</v>
      </c>
      <c r="G526" s="5">
        <v>46190</v>
      </c>
      <c r="H526" s="2">
        <v>46199.750123379599</v>
      </c>
      <c r="I526" s="23">
        <v>46199</v>
      </c>
      <c r="J526" s="24">
        <f t="shared" si="112"/>
        <v>46199.546750920403</v>
      </c>
      <c r="K526" s="24">
        <f t="shared" si="113"/>
        <v>0.7501233795992448</v>
      </c>
      <c r="L526" s="29">
        <f t="shared" si="119"/>
        <v>46198</v>
      </c>
      <c r="M526" s="27" t="str">
        <f t="shared" si="114"/>
        <v>Medication Change</v>
      </c>
      <c r="N526" s="31">
        <f t="shared" si="115"/>
        <v>9</v>
      </c>
      <c r="O526" s="27"/>
      <c r="Q526" s="8">
        <v>0.90386832323193178</v>
      </c>
      <c r="R526" s="8" t="str">
        <f t="shared" si="116"/>
        <v>Major Delay</v>
      </c>
      <c r="S526" s="33">
        <v>2.8809390206412484</v>
      </c>
      <c r="T526" t="s">
        <v>31</v>
      </c>
      <c r="U526" s="3">
        <v>2</v>
      </c>
      <c r="V526" s="3" t="str">
        <f t="shared" si="120"/>
        <v>Normal</v>
      </c>
      <c r="W526" s="3" t="s">
        <v>50</v>
      </c>
      <c r="X526" s="32">
        <f t="shared" si="117"/>
        <v>0.20337245919654379</v>
      </c>
      <c r="Z526" s="38">
        <f t="shared" si="121"/>
        <v>7.8372459196543787E-2</v>
      </c>
      <c r="AC526" s="36">
        <v>0.125</v>
      </c>
      <c r="AL526" t="str">
        <f t="shared" si="122"/>
        <v>Medication Change</v>
      </c>
      <c r="AM526" t="str">
        <f t="shared" si="123"/>
        <v>No</v>
      </c>
      <c r="AN526" t="str">
        <f t="shared" si="124"/>
        <v>Emergency</v>
      </c>
      <c r="AO526" t="str">
        <f t="shared" si="125"/>
        <v>ICU</v>
      </c>
    </row>
    <row r="527" spans="1:41" x14ac:dyDescent="0.3">
      <c r="A527" s="21" t="str">
        <f t="shared" si="118"/>
        <v>UHID-00526</v>
      </c>
      <c r="B527" s="19">
        <v>70</v>
      </c>
      <c r="C527" s="11" t="s">
        <v>18</v>
      </c>
      <c r="D527" s="13" t="s">
        <v>27</v>
      </c>
      <c r="E527" s="13" t="s">
        <v>1</v>
      </c>
      <c r="F527" s="16">
        <v>46195.727078506898</v>
      </c>
      <c r="G527" s="5">
        <v>46195</v>
      </c>
      <c r="H527" s="2">
        <v>46199.654976817103</v>
      </c>
      <c r="I527" s="23">
        <v>46199</v>
      </c>
      <c r="J527" s="24">
        <f t="shared" si="112"/>
        <v>46199.471238567239</v>
      </c>
      <c r="K527" s="24">
        <f t="shared" si="113"/>
        <v>0.65497681710257893</v>
      </c>
      <c r="L527" s="29">
        <f t="shared" si="119"/>
        <v>46198</v>
      </c>
      <c r="M527" s="27" t="str">
        <f t="shared" si="114"/>
        <v>Medication Change</v>
      </c>
      <c r="N527" s="31">
        <f t="shared" si="115"/>
        <v>4</v>
      </c>
      <c r="O527" s="27"/>
      <c r="Q527" s="8">
        <v>0.27397415619340149</v>
      </c>
      <c r="R527" s="8" t="str">
        <f t="shared" si="116"/>
        <v>Major Delay</v>
      </c>
      <c r="S527" s="33">
        <v>1.4097179967863465</v>
      </c>
      <c r="T527" t="s">
        <v>30</v>
      </c>
      <c r="U527" s="3">
        <v>3</v>
      </c>
      <c r="V527" s="3" t="str">
        <f t="shared" si="120"/>
        <v/>
      </c>
      <c r="W527" s="3" t="s">
        <v>50</v>
      </c>
      <c r="X527" s="32">
        <f t="shared" si="117"/>
        <v>0.1837382498633815</v>
      </c>
      <c r="Z527" s="38">
        <f t="shared" si="121"/>
        <v>5.8738249863381498E-2</v>
      </c>
      <c r="AC527" s="36">
        <v>0.125</v>
      </c>
      <c r="AL527" t="str">
        <f t="shared" si="122"/>
        <v>Medication Change</v>
      </c>
      <c r="AM527" t="str">
        <f t="shared" si="123"/>
        <v>No</v>
      </c>
      <c r="AN527" t="str">
        <f t="shared" si="124"/>
        <v>Elective</v>
      </c>
      <c r="AO527" t="str">
        <f t="shared" si="125"/>
        <v>HDU</v>
      </c>
    </row>
    <row r="528" spans="1:41" x14ac:dyDescent="0.3">
      <c r="A528" s="21" t="str">
        <f t="shared" si="118"/>
        <v>UHID-00527</v>
      </c>
      <c r="B528" s="19">
        <v>79</v>
      </c>
      <c r="C528" s="11" t="s">
        <v>18</v>
      </c>
      <c r="D528" s="13" t="s">
        <v>27</v>
      </c>
      <c r="E528" s="13" t="s">
        <v>1</v>
      </c>
      <c r="F528" s="16">
        <v>46184.810603379599</v>
      </c>
      <c r="G528" s="5">
        <v>46184</v>
      </c>
      <c r="H528" s="2">
        <v>46199.681344375</v>
      </c>
      <c r="I528" s="23">
        <v>46199</v>
      </c>
      <c r="J528" s="24">
        <f t="shared" si="112"/>
        <v>46199.617013485826</v>
      </c>
      <c r="K528" s="24">
        <f t="shared" si="113"/>
        <v>0.6813443749997532</v>
      </c>
      <c r="L528" s="29">
        <f t="shared" si="119"/>
        <v>46198</v>
      </c>
      <c r="M528" s="27" t="str">
        <f t="shared" si="114"/>
        <v>Normal</v>
      </c>
      <c r="N528" s="31">
        <f t="shared" si="115"/>
        <v>15</v>
      </c>
      <c r="O528" s="27"/>
      <c r="Q528" s="8">
        <v>0.21435192387701529</v>
      </c>
      <c r="R528" s="8" t="str">
        <f t="shared" si="116"/>
        <v>On Time</v>
      </c>
      <c r="S528" s="33">
        <v>1.5439413401378825</v>
      </c>
      <c r="T528" t="s">
        <v>30</v>
      </c>
      <c r="U528" s="3">
        <v>0</v>
      </c>
      <c r="V528" s="3" t="str">
        <f t="shared" si="120"/>
        <v/>
      </c>
      <c r="W528" s="3" t="s">
        <v>51</v>
      </c>
      <c r="X528" s="32">
        <f t="shared" si="117"/>
        <v>6.4330889174016193E-2</v>
      </c>
      <c r="Z528" s="38">
        <f t="shared" si="121"/>
        <v>0</v>
      </c>
      <c r="AC528" s="36">
        <v>0.125</v>
      </c>
      <c r="AL528" t="str">
        <f t="shared" si="122"/>
        <v>Normal</v>
      </c>
      <c r="AM528" t="str">
        <f t="shared" si="123"/>
        <v>Yes</v>
      </c>
      <c r="AN528" t="str">
        <f t="shared" si="124"/>
        <v>Emergency</v>
      </c>
      <c r="AO528" t="str">
        <f t="shared" si="125"/>
        <v>ICU</v>
      </c>
    </row>
    <row r="529" spans="1:41" x14ac:dyDescent="0.3">
      <c r="A529" s="21" t="str">
        <f t="shared" si="118"/>
        <v>UHID-00528</v>
      </c>
      <c r="B529" s="19">
        <v>35</v>
      </c>
      <c r="C529" s="11" t="s">
        <v>18</v>
      </c>
      <c r="D529" s="13" t="s">
        <v>26</v>
      </c>
      <c r="E529" s="13" t="s">
        <v>1</v>
      </c>
      <c r="F529" s="16">
        <v>46189.8616241782</v>
      </c>
      <c r="G529" s="5">
        <v>46189</v>
      </c>
      <c r="H529" s="2">
        <v>46199.683388449099</v>
      </c>
      <c r="I529" s="23">
        <v>46199</v>
      </c>
      <c r="J529" s="24">
        <f t="shared" si="112"/>
        <v>46199.540659015394</v>
      </c>
      <c r="K529" s="24">
        <f t="shared" si="113"/>
        <v>0.68338844909885665</v>
      </c>
      <c r="L529" s="29">
        <f t="shared" si="119"/>
        <v>46198</v>
      </c>
      <c r="M529" s="27" t="str">
        <f t="shared" si="114"/>
        <v>TPA Approval Delay</v>
      </c>
      <c r="N529" s="31">
        <f t="shared" si="115"/>
        <v>10</v>
      </c>
      <c r="O529" s="27"/>
      <c r="Q529" s="8">
        <v>0.65289598591959319</v>
      </c>
      <c r="R529" s="8" t="str">
        <f t="shared" si="116"/>
        <v>Major Delay</v>
      </c>
      <c r="S529" s="33">
        <v>3.4255064089208935</v>
      </c>
      <c r="T529" t="s">
        <v>31</v>
      </c>
      <c r="U529" s="3">
        <v>0</v>
      </c>
      <c r="V529" s="3" t="str">
        <f t="shared" si="120"/>
        <v>Normal</v>
      </c>
      <c r="W529" s="3" t="s">
        <v>51</v>
      </c>
      <c r="X529" s="32">
        <f t="shared" si="117"/>
        <v>0.14272943370451685</v>
      </c>
      <c r="Z529" s="38">
        <f t="shared" si="121"/>
        <v>1.772943370451685E-2</v>
      </c>
      <c r="AC529" s="36">
        <v>0.125</v>
      </c>
      <c r="AL529" t="str">
        <f t="shared" si="122"/>
        <v>TPA Approval Delay</v>
      </c>
      <c r="AM529" t="str">
        <f t="shared" si="123"/>
        <v>No</v>
      </c>
      <c r="AN529" t="str">
        <f t="shared" si="124"/>
        <v>Emergency</v>
      </c>
      <c r="AO529" t="str">
        <f t="shared" si="125"/>
        <v>ICU</v>
      </c>
    </row>
    <row r="530" spans="1:41" x14ac:dyDescent="0.3">
      <c r="A530" s="21" t="str">
        <f t="shared" si="118"/>
        <v>UHID-00529</v>
      </c>
      <c r="B530" s="19">
        <v>74</v>
      </c>
      <c r="C530" s="11" t="s">
        <v>17</v>
      </c>
      <c r="D530" s="13" t="s">
        <v>26</v>
      </c>
      <c r="E530" s="13" t="s">
        <v>1</v>
      </c>
      <c r="F530" s="16">
        <v>46196.753608263898</v>
      </c>
      <c r="G530" s="5">
        <v>46196</v>
      </c>
      <c r="H530" s="2">
        <v>46199.595961365703</v>
      </c>
      <c r="I530" s="23">
        <v>46199</v>
      </c>
      <c r="J530" s="24">
        <f t="shared" si="112"/>
        <v>46199.443506233802</v>
      </c>
      <c r="K530" s="24">
        <f t="shared" si="113"/>
        <v>0.59596136570326053</v>
      </c>
      <c r="L530" s="29">
        <f t="shared" si="119"/>
        <v>46198</v>
      </c>
      <c r="M530" s="27" t="str">
        <f t="shared" si="114"/>
        <v>TPA Approval Delay</v>
      </c>
      <c r="N530" s="31">
        <f t="shared" si="115"/>
        <v>3</v>
      </c>
      <c r="O530" s="27"/>
      <c r="Q530" s="8">
        <v>0.77826159389839034</v>
      </c>
      <c r="R530" s="8" t="str">
        <f t="shared" si="116"/>
        <v>Major Delay</v>
      </c>
      <c r="S530" s="33">
        <v>3.6589231656257404</v>
      </c>
      <c r="T530" t="s">
        <v>31</v>
      </c>
      <c r="U530" s="3">
        <v>0</v>
      </c>
      <c r="V530" s="3" t="str">
        <f t="shared" si="120"/>
        <v>Normal</v>
      </c>
      <c r="W530" s="3" t="s">
        <v>51</v>
      </c>
      <c r="X530" s="32">
        <f t="shared" si="117"/>
        <v>0.15245513190166093</v>
      </c>
      <c r="Z530" s="38">
        <f t="shared" si="121"/>
        <v>2.7455131901660934E-2</v>
      </c>
      <c r="AC530" s="36">
        <v>0.125</v>
      </c>
      <c r="AL530" t="str">
        <f t="shared" si="122"/>
        <v>TPA Approval Delay</v>
      </c>
      <c r="AM530" t="str">
        <f t="shared" si="123"/>
        <v>No</v>
      </c>
      <c r="AN530" t="str">
        <f t="shared" si="124"/>
        <v>Elective</v>
      </c>
      <c r="AO530" t="str">
        <f t="shared" si="125"/>
        <v>General Ward</v>
      </c>
    </row>
    <row r="531" spans="1:41" x14ac:dyDescent="0.3">
      <c r="A531" s="21" t="str">
        <f t="shared" si="118"/>
        <v>UHID-00530</v>
      </c>
      <c r="B531" s="19">
        <v>89</v>
      </c>
      <c r="C531" s="11" t="s">
        <v>17</v>
      </c>
      <c r="D531" s="13" t="s">
        <v>26</v>
      </c>
      <c r="E531" s="13" t="s">
        <v>1</v>
      </c>
      <c r="F531" s="16">
        <v>46198.8054946759</v>
      </c>
      <c r="G531" s="5">
        <v>46198</v>
      </c>
      <c r="H531" s="2">
        <v>46199.740524294</v>
      </c>
      <c r="I531" s="23">
        <v>46199</v>
      </c>
      <c r="J531" s="24">
        <f t="shared" si="112"/>
        <v>46199.595514105655</v>
      </c>
      <c r="K531" s="24">
        <f t="shared" si="113"/>
        <v>0.7405242940003518</v>
      </c>
      <c r="L531" s="29">
        <f t="shared" si="119"/>
        <v>46198</v>
      </c>
      <c r="M531" s="27" t="str">
        <f t="shared" si="114"/>
        <v>TPA Approval Delay</v>
      </c>
      <c r="N531" s="31">
        <f t="shared" si="115"/>
        <v>1</v>
      </c>
      <c r="O531" s="27"/>
      <c r="Q531" s="8">
        <v>0.72445150810190995</v>
      </c>
      <c r="R531" s="8" t="str">
        <f t="shared" si="116"/>
        <v>Major Delay</v>
      </c>
      <c r="S531" s="33">
        <v>3.4802445202557304</v>
      </c>
      <c r="T531" t="s">
        <v>31</v>
      </c>
      <c r="U531" s="3">
        <v>0</v>
      </c>
      <c r="V531" s="3" t="str">
        <f t="shared" si="120"/>
        <v>Normal</v>
      </c>
      <c r="W531" s="3" t="s">
        <v>51</v>
      </c>
      <c r="X531" s="32">
        <f t="shared" si="117"/>
        <v>0.14501018834562274</v>
      </c>
      <c r="Z531" s="38">
        <f t="shared" si="121"/>
        <v>2.0010188345622737E-2</v>
      </c>
      <c r="AC531" s="36">
        <v>0.125</v>
      </c>
      <c r="AL531" t="str">
        <f t="shared" si="122"/>
        <v>TPA Approval Delay</v>
      </c>
      <c r="AM531" t="str">
        <f t="shared" si="123"/>
        <v>No</v>
      </c>
      <c r="AN531" t="str">
        <f t="shared" si="124"/>
        <v>Elective</v>
      </c>
      <c r="AO531" t="str">
        <f t="shared" si="125"/>
        <v>General Ward</v>
      </c>
    </row>
    <row r="532" spans="1:41" x14ac:dyDescent="0.3">
      <c r="A532" s="21" t="str">
        <f t="shared" si="118"/>
        <v>UHID-00531</v>
      </c>
      <c r="B532" s="19">
        <v>61</v>
      </c>
      <c r="C532" s="11" t="s">
        <v>18</v>
      </c>
      <c r="D532" s="13" t="s">
        <v>26</v>
      </c>
      <c r="E532" s="13" t="s">
        <v>1</v>
      </c>
      <c r="F532" s="16">
        <v>46194.633353032397</v>
      </c>
      <c r="G532" s="5">
        <v>46194</v>
      </c>
      <c r="H532" s="2">
        <v>46199.655620451398</v>
      </c>
      <c r="I532" s="23">
        <v>46199</v>
      </c>
      <c r="J532" s="24">
        <f t="shared" si="112"/>
        <v>46199.498019182574</v>
      </c>
      <c r="K532" s="24">
        <f t="shared" si="113"/>
        <v>0.65562045139813563</v>
      </c>
      <c r="L532" s="29">
        <f t="shared" si="119"/>
        <v>46198</v>
      </c>
      <c r="M532" s="27" t="str">
        <f t="shared" si="114"/>
        <v>TPA Approval Delay</v>
      </c>
      <c r="N532" s="31">
        <f t="shared" si="115"/>
        <v>5</v>
      </c>
      <c r="O532" s="27"/>
      <c r="Q532" s="8">
        <v>0.70326630630634335</v>
      </c>
      <c r="R532" s="8" t="str">
        <f t="shared" si="116"/>
        <v>Major Delay</v>
      </c>
      <c r="S532" s="33">
        <v>3.7824304518337555</v>
      </c>
      <c r="T532" t="s">
        <v>31</v>
      </c>
      <c r="U532" s="3">
        <v>0</v>
      </c>
      <c r="V532" s="3" t="str">
        <f t="shared" si="120"/>
        <v>Normal</v>
      </c>
      <c r="W532" s="3" t="s">
        <v>51</v>
      </c>
      <c r="X532" s="32">
        <f t="shared" si="117"/>
        <v>0.15760126882378245</v>
      </c>
      <c r="Z532" s="38">
        <f t="shared" si="121"/>
        <v>3.2601268823782448E-2</v>
      </c>
      <c r="AC532" s="36">
        <v>0.125</v>
      </c>
      <c r="AL532" t="str">
        <f t="shared" si="122"/>
        <v>TPA Approval Delay</v>
      </c>
      <c r="AM532" t="str">
        <f t="shared" si="123"/>
        <v>No</v>
      </c>
      <c r="AN532" t="str">
        <f t="shared" si="124"/>
        <v>Elective</v>
      </c>
      <c r="AO532" t="str">
        <f t="shared" si="125"/>
        <v>HDU</v>
      </c>
    </row>
    <row r="533" spans="1:41" x14ac:dyDescent="0.3">
      <c r="A533" s="21" t="str">
        <f t="shared" si="118"/>
        <v>UHID-00532</v>
      </c>
      <c r="B533" s="19">
        <v>85</v>
      </c>
      <c r="C533" s="11" t="s">
        <v>17</v>
      </c>
      <c r="D533" s="13" t="s">
        <v>26</v>
      </c>
      <c r="E533" s="13" t="s">
        <v>1</v>
      </c>
      <c r="F533" s="16">
        <v>46193.857473865697</v>
      </c>
      <c r="G533" s="5">
        <v>46193</v>
      </c>
      <c r="H533" s="2">
        <v>46200.575837465301</v>
      </c>
      <c r="I533" s="23">
        <v>46200</v>
      </c>
      <c r="J533" s="24">
        <f t="shared" si="112"/>
        <v>46200.449298627005</v>
      </c>
      <c r="K533" s="24">
        <f t="shared" si="113"/>
        <v>0.57583746530144708</v>
      </c>
      <c r="L533" s="29">
        <f t="shared" si="119"/>
        <v>46199</v>
      </c>
      <c r="M533" s="27" t="str">
        <f t="shared" si="114"/>
        <v>TPA Approval Delay</v>
      </c>
      <c r="N533" s="31">
        <f t="shared" si="115"/>
        <v>7</v>
      </c>
      <c r="O533" s="27"/>
      <c r="Q533" s="8">
        <v>0.79210155787647296</v>
      </c>
      <c r="R533" s="8" t="str">
        <f t="shared" si="116"/>
        <v>Major Delay</v>
      </c>
      <c r="S533" s="33">
        <v>3.036932119173021</v>
      </c>
      <c r="T533" t="s">
        <v>31</v>
      </c>
      <c r="U533" s="3">
        <v>0</v>
      </c>
      <c r="V533" s="3" t="str">
        <f t="shared" si="120"/>
        <v>Normal</v>
      </c>
      <c r="W533" s="3" t="s">
        <v>51</v>
      </c>
      <c r="X533" s="32">
        <f t="shared" si="117"/>
        <v>0.12653883829625556</v>
      </c>
      <c r="Z533" s="38">
        <f t="shared" si="121"/>
        <v>1.5388382962555625E-3</v>
      </c>
      <c r="AC533" s="36">
        <v>0.125</v>
      </c>
      <c r="AL533" t="str">
        <f t="shared" si="122"/>
        <v>TPA Approval Delay</v>
      </c>
      <c r="AM533" t="str">
        <f t="shared" si="123"/>
        <v>No</v>
      </c>
      <c r="AN533" t="str">
        <f t="shared" si="124"/>
        <v>Emergency</v>
      </c>
      <c r="AO533" t="str">
        <f t="shared" si="125"/>
        <v>ICU</v>
      </c>
    </row>
    <row r="534" spans="1:41" x14ac:dyDescent="0.3">
      <c r="A534" s="21" t="str">
        <f t="shared" si="118"/>
        <v>UHID-00533</v>
      </c>
      <c r="B534" s="19">
        <v>50</v>
      </c>
      <c r="C534" s="11" t="s">
        <v>18</v>
      </c>
      <c r="D534" s="13" t="s">
        <v>28</v>
      </c>
      <c r="E534" s="13" t="s">
        <v>1</v>
      </c>
      <c r="F534" s="16">
        <v>46195.625864351903</v>
      </c>
      <c r="G534" s="5">
        <v>46195</v>
      </c>
      <c r="H534" s="2">
        <v>46200.430388449102</v>
      </c>
      <c r="I534" s="23">
        <v>46200</v>
      </c>
      <c r="J534" s="24">
        <f t="shared" si="112"/>
        <v>46200.309452816058</v>
      </c>
      <c r="K534" s="24">
        <f t="shared" si="113"/>
        <v>0.43038844910188345</v>
      </c>
      <c r="L534" s="29">
        <f t="shared" si="119"/>
        <v>46199</v>
      </c>
      <c r="M534" s="27" t="str">
        <f t="shared" si="114"/>
        <v>Doctor Round Delay/Report Delay</v>
      </c>
      <c r="N534" s="31">
        <f t="shared" si="115"/>
        <v>5</v>
      </c>
      <c r="O534" s="27"/>
      <c r="Q534" s="8">
        <v>0.91595403504742701</v>
      </c>
      <c r="R534" s="8" t="str">
        <f t="shared" si="116"/>
        <v>Minor Delay</v>
      </c>
      <c r="S534" s="33">
        <v>2.9024551930652573</v>
      </c>
      <c r="T534" t="s">
        <v>31</v>
      </c>
      <c r="U534" s="3">
        <v>0</v>
      </c>
      <c r="V534" s="3" t="str">
        <f t="shared" si="120"/>
        <v>Normal</v>
      </c>
      <c r="W534" s="3" t="s">
        <v>51</v>
      </c>
      <c r="X534" s="32">
        <f t="shared" si="117"/>
        <v>0.12093563304370036</v>
      </c>
      <c r="Z534" s="38">
        <f t="shared" si="121"/>
        <v>0</v>
      </c>
      <c r="AC534" s="36">
        <v>0.125</v>
      </c>
      <c r="AL534" t="str">
        <f t="shared" si="122"/>
        <v>Doctor Round Delay/Report Delay</v>
      </c>
      <c r="AM534" t="str">
        <f t="shared" si="123"/>
        <v>No</v>
      </c>
      <c r="AN534" t="str">
        <f t="shared" si="124"/>
        <v>Elective</v>
      </c>
      <c r="AO534" t="str">
        <f t="shared" si="125"/>
        <v>HDU</v>
      </c>
    </row>
    <row r="535" spans="1:41" x14ac:dyDescent="0.3">
      <c r="A535" s="21" t="str">
        <f t="shared" si="118"/>
        <v>UHID-00534</v>
      </c>
      <c r="B535" s="19">
        <v>35</v>
      </c>
      <c r="C535" s="11" t="s">
        <v>17</v>
      </c>
      <c r="D535" s="13" t="s">
        <v>26</v>
      </c>
      <c r="E535" s="13" t="s">
        <v>1</v>
      </c>
      <c r="F535" s="16">
        <v>46198.717833761599</v>
      </c>
      <c r="G535" s="5">
        <v>46198</v>
      </c>
      <c r="H535" s="2">
        <v>46200.460510393503</v>
      </c>
      <c r="I535" s="23">
        <v>46200</v>
      </c>
      <c r="J535" s="24">
        <f t="shared" si="112"/>
        <v>46200.151397332163</v>
      </c>
      <c r="K535" s="24">
        <f t="shared" si="113"/>
        <v>0.46051039350277279</v>
      </c>
      <c r="L535" s="29">
        <f t="shared" si="119"/>
        <v>46199</v>
      </c>
      <c r="M535" s="27" t="str">
        <f t="shared" si="114"/>
        <v>Health Deterioration/TPA Approval Delay</v>
      </c>
      <c r="N535" s="31">
        <f t="shared" si="115"/>
        <v>2</v>
      </c>
      <c r="O535" s="27"/>
      <c r="Q535" s="8">
        <v>0.63514789937024352</v>
      </c>
      <c r="R535" s="8" t="str">
        <f t="shared" si="116"/>
        <v>Critical Delay</v>
      </c>
      <c r="S535" s="33">
        <v>3.4187134722287684</v>
      </c>
      <c r="T535" t="s">
        <v>31</v>
      </c>
      <c r="U535" s="3">
        <v>4</v>
      </c>
      <c r="V535" s="3" t="str">
        <f t="shared" si="120"/>
        <v>Normal</v>
      </c>
      <c r="W535" s="3" t="s">
        <v>50</v>
      </c>
      <c r="X535" s="32">
        <f t="shared" si="117"/>
        <v>0.30911306133930339</v>
      </c>
      <c r="Z535" s="38">
        <f t="shared" si="121"/>
        <v>0.18411306133930339</v>
      </c>
      <c r="AC535" s="36">
        <v>0.125</v>
      </c>
      <c r="AL535" t="str">
        <f t="shared" si="122"/>
        <v>Health Deterioration/TPA Approval Delay</v>
      </c>
      <c r="AM535" t="str">
        <f t="shared" si="123"/>
        <v>No</v>
      </c>
      <c r="AN535" t="str">
        <f t="shared" si="124"/>
        <v>Emergency</v>
      </c>
      <c r="AO535" t="str">
        <f t="shared" si="125"/>
        <v>General Ward</v>
      </c>
    </row>
    <row r="536" spans="1:41" x14ac:dyDescent="0.3">
      <c r="A536" s="21" t="str">
        <f t="shared" si="118"/>
        <v>UHID-00535</v>
      </c>
      <c r="B536" s="19">
        <v>20</v>
      </c>
      <c r="C536" s="11" t="s">
        <v>18</v>
      </c>
      <c r="D536" s="13" t="s">
        <v>26</v>
      </c>
      <c r="E536" s="13" t="s">
        <v>1</v>
      </c>
      <c r="F536" s="16">
        <v>46197.845281817099</v>
      </c>
      <c r="G536" s="5">
        <v>46197</v>
      </c>
      <c r="H536" s="2">
        <v>46200.674982719902</v>
      </c>
      <c r="I536" s="23">
        <v>46200</v>
      </c>
      <c r="J536" s="24">
        <f t="shared" si="112"/>
        <v>46200.515406484628</v>
      </c>
      <c r="K536" s="24">
        <f t="shared" si="113"/>
        <v>0.67498271990189096</v>
      </c>
      <c r="L536" s="29">
        <f t="shared" si="119"/>
        <v>46199</v>
      </c>
      <c r="M536" s="27" t="str">
        <f t="shared" si="114"/>
        <v>TPA Approval Delay</v>
      </c>
      <c r="N536" s="31">
        <f t="shared" si="115"/>
        <v>3</v>
      </c>
      <c r="O536" s="27"/>
      <c r="Q536" s="8">
        <v>0.74089222296775248</v>
      </c>
      <c r="R536" s="8" t="str">
        <f t="shared" si="116"/>
        <v>Major Delay</v>
      </c>
      <c r="S536" s="33">
        <v>3.8298296464790611</v>
      </c>
      <c r="T536" t="s">
        <v>31</v>
      </c>
      <c r="U536" s="3">
        <v>0</v>
      </c>
      <c r="V536" s="3" t="str">
        <f t="shared" si="120"/>
        <v>Normal</v>
      </c>
      <c r="W536" s="3" t="s">
        <v>51</v>
      </c>
      <c r="X536" s="32">
        <f t="shared" si="117"/>
        <v>0.15957623527356191</v>
      </c>
      <c r="Z536" s="38">
        <f t="shared" si="121"/>
        <v>3.4576235273561906E-2</v>
      </c>
      <c r="AC536" s="36">
        <v>0.125</v>
      </c>
      <c r="AL536" t="str">
        <f t="shared" si="122"/>
        <v>TPA Approval Delay</v>
      </c>
      <c r="AM536" t="str">
        <f t="shared" si="123"/>
        <v>No</v>
      </c>
      <c r="AN536" t="str">
        <f t="shared" si="124"/>
        <v>Elective</v>
      </c>
      <c r="AO536" t="str">
        <f t="shared" si="125"/>
        <v>General Ward</v>
      </c>
    </row>
    <row r="537" spans="1:41" x14ac:dyDescent="0.3">
      <c r="A537" s="21" t="str">
        <f t="shared" si="118"/>
        <v>UHID-00536</v>
      </c>
      <c r="B537" s="19">
        <v>48</v>
      </c>
      <c r="C537" s="11" t="s">
        <v>18</v>
      </c>
      <c r="D537" s="13" t="s">
        <v>27</v>
      </c>
      <c r="E537" s="13" t="s">
        <v>1</v>
      </c>
      <c r="F537" s="16">
        <v>46196.941769236102</v>
      </c>
      <c r="G537" s="5">
        <v>46196</v>
      </c>
      <c r="H537" s="2">
        <v>46200.708385277801</v>
      </c>
      <c r="I537" s="23">
        <v>46200</v>
      </c>
      <c r="J537" s="24">
        <f t="shared" si="112"/>
        <v>46200.655610127949</v>
      </c>
      <c r="K537" s="24">
        <f t="shared" si="113"/>
        <v>0.70838527780142613</v>
      </c>
      <c r="L537" s="29">
        <f t="shared" si="119"/>
        <v>46199</v>
      </c>
      <c r="M537" s="27" t="str">
        <f t="shared" si="114"/>
        <v>Normal</v>
      </c>
      <c r="N537" s="31">
        <f t="shared" si="115"/>
        <v>4</v>
      </c>
      <c r="O537" s="27"/>
      <c r="Q537" s="8">
        <v>0.34114626919602797</v>
      </c>
      <c r="R537" s="8" t="str">
        <f t="shared" si="116"/>
        <v>On Time</v>
      </c>
      <c r="S537" s="33">
        <v>1.2666035965215467</v>
      </c>
      <c r="T537" t="s">
        <v>30</v>
      </c>
      <c r="U537" s="3">
        <v>0</v>
      </c>
      <c r="V537" s="3" t="str">
        <f t="shared" si="120"/>
        <v/>
      </c>
      <c r="W537" s="3" t="s">
        <v>51</v>
      </c>
      <c r="X537" s="32">
        <f t="shared" si="117"/>
        <v>5.2775149852095637E-2</v>
      </c>
      <c r="Z537" s="38">
        <f t="shared" si="121"/>
        <v>0</v>
      </c>
      <c r="AC537" s="36">
        <v>0.125</v>
      </c>
      <c r="AL537" t="str">
        <f t="shared" si="122"/>
        <v>Normal</v>
      </c>
      <c r="AM537" t="str">
        <f t="shared" si="123"/>
        <v>No</v>
      </c>
      <c r="AN537" t="str">
        <f t="shared" si="124"/>
        <v>Elective</v>
      </c>
      <c r="AO537" t="str">
        <f t="shared" si="125"/>
        <v>HDU</v>
      </c>
    </row>
    <row r="538" spans="1:41" x14ac:dyDescent="0.3">
      <c r="A538" s="21" t="str">
        <f t="shared" si="118"/>
        <v>UHID-00537</v>
      </c>
      <c r="B538" s="19">
        <v>24</v>
      </c>
      <c r="C538" s="11" t="s">
        <v>17</v>
      </c>
      <c r="D538" s="13" t="s">
        <v>28</v>
      </c>
      <c r="E538" s="13" t="s">
        <v>1</v>
      </c>
      <c r="F538" s="16">
        <v>46198.998157881899</v>
      </c>
      <c r="G538" s="5">
        <v>46198</v>
      </c>
      <c r="H538" s="2">
        <v>46200.8494457407</v>
      </c>
      <c r="I538" s="23">
        <v>46200</v>
      </c>
      <c r="J538" s="24">
        <f t="shared" si="112"/>
        <v>46200.748990835011</v>
      </c>
      <c r="K538" s="24">
        <f t="shared" si="113"/>
        <v>0.84944574069959344</v>
      </c>
      <c r="L538" s="29">
        <f t="shared" si="119"/>
        <v>46199</v>
      </c>
      <c r="M538" s="27" t="str">
        <f t="shared" si="114"/>
        <v>Doctor Round Delay/Report Delay</v>
      </c>
      <c r="N538" s="31">
        <f t="shared" si="115"/>
        <v>2</v>
      </c>
      <c r="O538" s="27"/>
      <c r="Q538" s="8">
        <v>0.86238031097508916</v>
      </c>
      <c r="R538" s="8" t="str">
        <f t="shared" si="116"/>
        <v>Minor Delay</v>
      </c>
      <c r="S538" s="33">
        <v>2.4109177365065131</v>
      </c>
      <c r="T538" t="s">
        <v>31</v>
      </c>
      <c r="U538" s="3">
        <v>0</v>
      </c>
      <c r="V538" s="3" t="str">
        <f t="shared" si="120"/>
        <v>Normal</v>
      </c>
      <c r="W538" s="3" t="s">
        <v>51</v>
      </c>
      <c r="X538" s="32">
        <f t="shared" si="117"/>
        <v>0.10045490568882087</v>
      </c>
      <c r="Z538" s="38">
        <f t="shared" si="121"/>
        <v>0</v>
      </c>
      <c r="AC538" s="36">
        <v>0.125</v>
      </c>
      <c r="AL538" t="str">
        <f t="shared" si="122"/>
        <v>Doctor Round Delay/Report Delay</v>
      </c>
      <c r="AM538" t="str">
        <f t="shared" si="123"/>
        <v>No</v>
      </c>
      <c r="AN538" t="str">
        <f t="shared" si="124"/>
        <v>Elective</v>
      </c>
      <c r="AO538" t="str">
        <f t="shared" si="125"/>
        <v>General Ward</v>
      </c>
    </row>
    <row r="539" spans="1:41" x14ac:dyDescent="0.3">
      <c r="A539" s="21" t="str">
        <f t="shared" si="118"/>
        <v>UHID-00538</v>
      </c>
      <c r="B539" s="19">
        <v>30</v>
      </c>
      <c r="C539" s="11" t="s">
        <v>18</v>
      </c>
      <c r="D539" s="13" t="s">
        <v>26</v>
      </c>
      <c r="E539" s="13" t="s">
        <v>1</v>
      </c>
      <c r="F539" s="16">
        <v>46199.109860659701</v>
      </c>
      <c r="G539" s="5">
        <v>46199</v>
      </c>
      <c r="H539" s="2">
        <v>46201.373648182896</v>
      </c>
      <c r="I539" s="23">
        <v>46201</v>
      </c>
      <c r="J539" s="24">
        <f t="shared" si="112"/>
        <v>46201.232807836699</v>
      </c>
      <c r="K539" s="24">
        <f t="shared" si="113"/>
        <v>0.37364818289643154</v>
      </c>
      <c r="L539" s="29">
        <f t="shared" si="119"/>
        <v>46200</v>
      </c>
      <c r="M539" s="27" t="str">
        <f t="shared" si="114"/>
        <v>TPA Approval Delay</v>
      </c>
      <c r="N539" s="31">
        <f t="shared" si="115"/>
        <v>2</v>
      </c>
      <c r="O539" s="27"/>
      <c r="Q539" s="8">
        <v>0.80956809094806736</v>
      </c>
      <c r="R539" s="8" t="str">
        <f t="shared" si="116"/>
        <v>Major Delay</v>
      </c>
      <c r="S539" s="33">
        <v>3.3801683088062018</v>
      </c>
      <c r="T539" t="s">
        <v>31</v>
      </c>
      <c r="U539" s="3">
        <v>0</v>
      </c>
      <c r="V539" s="3" t="str">
        <f t="shared" si="120"/>
        <v>Normal</v>
      </c>
      <c r="W539" s="3" t="s">
        <v>51</v>
      </c>
      <c r="X539" s="32">
        <f t="shared" si="117"/>
        <v>0.14084034619736485</v>
      </c>
      <c r="Z539" s="38">
        <f t="shared" si="121"/>
        <v>1.5840346197364852E-2</v>
      </c>
      <c r="AC539" s="36">
        <v>0.125</v>
      </c>
      <c r="AL539" t="str">
        <f t="shared" si="122"/>
        <v>TPA Approval Delay</v>
      </c>
      <c r="AM539" t="str">
        <f t="shared" si="123"/>
        <v>No</v>
      </c>
      <c r="AN539" t="str">
        <f t="shared" si="124"/>
        <v>Elective</v>
      </c>
      <c r="AO539" t="str">
        <f t="shared" si="125"/>
        <v>General Ward</v>
      </c>
    </row>
    <row r="540" spans="1:41" x14ac:dyDescent="0.3">
      <c r="A540" s="21" t="str">
        <f t="shared" si="118"/>
        <v>UHID-00539</v>
      </c>
      <c r="B540" s="19">
        <v>53</v>
      </c>
      <c r="C540" s="11" t="s">
        <v>18</v>
      </c>
      <c r="D540" s="13" t="s">
        <v>27</v>
      </c>
      <c r="E540" s="13" t="s">
        <v>1</v>
      </c>
      <c r="F540" s="16">
        <v>46197.951166585597</v>
      </c>
      <c r="G540" s="5">
        <v>46197</v>
      </c>
      <c r="H540" s="2">
        <v>46200.713761620398</v>
      </c>
      <c r="I540" s="23">
        <v>46200</v>
      </c>
      <c r="J540" s="24">
        <f t="shared" si="112"/>
        <v>46200.666523079708</v>
      </c>
      <c r="K540" s="24">
        <f t="shared" si="113"/>
        <v>0.71376162039814517</v>
      </c>
      <c r="L540" s="29">
        <f t="shared" si="119"/>
        <v>46199</v>
      </c>
      <c r="M540" s="27" t="str">
        <f t="shared" si="114"/>
        <v>Normal</v>
      </c>
      <c r="N540" s="31">
        <f t="shared" si="115"/>
        <v>3</v>
      </c>
      <c r="O540" s="27"/>
      <c r="Q540" s="8">
        <v>0.30146709497948965</v>
      </c>
      <c r="R540" s="8" t="str">
        <f t="shared" si="116"/>
        <v>On Time</v>
      </c>
      <c r="S540" s="33">
        <v>1.1337249765333055</v>
      </c>
      <c r="T540" t="s">
        <v>30</v>
      </c>
      <c r="U540" s="3">
        <v>0</v>
      </c>
      <c r="V540" s="3" t="str">
        <f t="shared" si="120"/>
        <v/>
      </c>
      <c r="W540" s="3" t="s">
        <v>51</v>
      </c>
      <c r="X540" s="32">
        <f t="shared" si="117"/>
        <v>4.7238540690159425E-2</v>
      </c>
      <c r="Z540" s="38">
        <f t="shared" si="121"/>
        <v>0</v>
      </c>
      <c r="AC540" s="36">
        <v>0.125</v>
      </c>
      <c r="AL540" t="str">
        <f t="shared" si="122"/>
        <v>Normal</v>
      </c>
      <c r="AM540" t="str">
        <f t="shared" si="123"/>
        <v>No</v>
      </c>
      <c r="AN540" t="str">
        <f t="shared" si="124"/>
        <v>Elective</v>
      </c>
      <c r="AO540" t="str">
        <f t="shared" si="125"/>
        <v>General Ward</v>
      </c>
    </row>
    <row r="541" spans="1:41" x14ac:dyDescent="0.3">
      <c r="A541" s="21" t="str">
        <f t="shared" si="118"/>
        <v>UHID-00540</v>
      </c>
      <c r="B541" s="19">
        <v>62</v>
      </c>
      <c r="C541" s="11" t="s">
        <v>18</v>
      </c>
      <c r="D541" s="13" t="s">
        <v>28</v>
      </c>
      <c r="E541" s="13" t="s">
        <v>1</v>
      </c>
      <c r="F541" s="16">
        <v>46197.904196215299</v>
      </c>
      <c r="G541" s="5">
        <v>46197</v>
      </c>
      <c r="H541" s="2">
        <v>46201.590170428201</v>
      </c>
      <c r="I541" s="23">
        <v>46201</v>
      </c>
      <c r="J541" s="24">
        <f t="shared" si="112"/>
        <v>46201.476304685712</v>
      </c>
      <c r="K541" s="24">
        <f t="shared" si="113"/>
        <v>0.59017042820050847</v>
      </c>
      <c r="L541" s="29">
        <f t="shared" si="119"/>
        <v>46200</v>
      </c>
      <c r="M541" s="27" t="str">
        <f t="shared" si="114"/>
        <v>Doctor Round Delay/Report Delay</v>
      </c>
      <c r="N541" s="31">
        <f t="shared" si="115"/>
        <v>4</v>
      </c>
      <c r="O541" s="27"/>
      <c r="Q541" s="8">
        <v>0.96712134294373908</v>
      </c>
      <c r="R541" s="8" t="str">
        <f t="shared" si="116"/>
        <v>Minor Delay</v>
      </c>
      <c r="S541" s="33">
        <v>2.7327778197217021</v>
      </c>
      <c r="T541" t="s">
        <v>31</v>
      </c>
      <c r="U541" s="3">
        <v>0</v>
      </c>
      <c r="V541" s="3" t="str">
        <f t="shared" si="120"/>
        <v>Normal</v>
      </c>
      <c r="W541" s="3" t="s">
        <v>51</v>
      </c>
      <c r="X541" s="32">
        <f t="shared" si="117"/>
        <v>0.11386574248899706</v>
      </c>
      <c r="Z541" s="38">
        <f t="shared" si="121"/>
        <v>0</v>
      </c>
      <c r="AC541" s="36">
        <v>0.125</v>
      </c>
      <c r="AL541" t="str">
        <f t="shared" si="122"/>
        <v>Doctor Round Delay/Report Delay</v>
      </c>
      <c r="AM541" t="str">
        <f t="shared" si="123"/>
        <v>No</v>
      </c>
      <c r="AN541" t="str">
        <f t="shared" si="124"/>
        <v>Emergency</v>
      </c>
      <c r="AO541" t="str">
        <f t="shared" si="125"/>
        <v>HDU</v>
      </c>
    </row>
    <row r="542" spans="1:41" x14ac:dyDescent="0.3">
      <c r="A542" s="21" t="str">
        <f t="shared" si="118"/>
        <v>UHID-00541</v>
      </c>
      <c r="B542" s="19">
        <v>40</v>
      </c>
      <c r="C542" s="11" t="s">
        <v>18</v>
      </c>
      <c r="D542" s="13" t="s">
        <v>26</v>
      </c>
      <c r="E542" s="13" t="s">
        <v>1</v>
      </c>
      <c r="F542" s="16">
        <v>46194.924586412002</v>
      </c>
      <c r="G542" s="5">
        <v>46194</v>
      </c>
      <c r="H542" s="2">
        <v>46201.519546597199</v>
      </c>
      <c r="I542" s="23">
        <v>46201</v>
      </c>
      <c r="J542" s="24">
        <f t="shared" si="112"/>
        <v>46201.376935959146</v>
      </c>
      <c r="K542" s="24">
        <f t="shared" si="113"/>
        <v>0.51954659719922347</v>
      </c>
      <c r="L542" s="29">
        <f t="shared" si="119"/>
        <v>46200</v>
      </c>
      <c r="M542" s="27" t="str">
        <f t="shared" si="114"/>
        <v>TPA Approval Delay</v>
      </c>
      <c r="N542" s="31">
        <f t="shared" si="115"/>
        <v>7</v>
      </c>
      <c r="O542" s="27"/>
      <c r="Q542" s="8">
        <v>0.78808985386214314</v>
      </c>
      <c r="R542" s="8" t="str">
        <f t="shared" si="116"/>
        <v>Major Delay</v>
      </c>
      <c r="S542" s="33">
        <v>3.4226553133050523</v>
      </c>
      <c r="T542" t="s">
        <v>31</v>
      </c>
      <c r="U542" s="3">
        <v>0</v>
      </c>
      <c r="V542" s="3" t="str">
        <f t="shared" si="120"/>
        <v>Normal</v>
      </c>
      <c r="W542" s="3" t="s">
        <v>51</v>
      </c>
      <c r="X542" s="32">
        <f t="shared" si="117"/>
        <v>0.14261063805315644</v>
      </c>
      <c r="Z542" s="38">
        <f t="shared" si="121"/>
        <v>1.7610638053156435E-2</v>
      </c>
      <c r="AC542" s="36">
        <v>0.125</v>
      </c>
      <c r="AL542" t="str">
        <f t="shared" si="122"/>
        <v>TPA Approval Delay</v>
      </c>
      <c r="AM542" t="str">
        <f t="shared" si="123"/>
        <v>No</v>
      </c>
      <c r="AN542" t="str">
        <f t="shared" si="124"/>
        <v>Emergency</v>
      </c>
      <c r="AO542" t="str">
        <f t="shared" si="125"/>
        <v>ICU</v>
      </c>
    </row>
    <row r="543" spans="1:41" x14ac:dyDescent="0.3">
      <c r="A543" s="21" t="str">
        <f t="shared" si="118"/>
        <v>UHID-00542</v>
      </c>
      <c r="B543" s="19">
        <v>68</v>
      </c>
      <c r="C543" s="11" t="s">
        <v>17</v>
      </c>
      <c r="D543" s="13" t="s">
        <v>27</v>
      </c>
      <c r="E543" s="13" t="s">
        <v>1</v>
      </c>
      <c r="F543" s="16">
        <v>46200.939332291702</v>
      </c>
      <c r="G543" s="5">
        <v>46200</v>
      </c>
      <c r="H543" s="2">
        <v>46201.766834606497</v>
      </c>
      <c r="I543" s="23">
        <v>46201</v>
      </c>
      <c r="J543" s="24">
        <f t="shared" si="112"/>
        <v>46201.700038218187</v>
      </c>
      <c r="K543" s="24">
        <f t="shared" si="113"/>
        <v>0.76683460649655899</v>
      </c>
      <c r="L543" s="29">
        <f t="shared" si="119"/>
        <v>46200</v>
      </c>
      <c r="M543" s="27" t="str">
        <f t="shared" si="114"/>
        <v>Normal</v>
      </c>
      <c r="N543" s="31">
        <f t="shared" si="115"/>
        <v>1</v>
      </c>
      <c r="O543" s="27"/>
      <c r="Q543" s="8">
        <v>0.33893606010008404</v>
      </c>
      <c r="R543" s="8" t="str">
        <f t="shared" si="116"/>
        <v>On Time</v>
      </c>
      <c r="S543" s="33">
        <v>1.6031133194234539</v>
      </c>
      <c r="T543" t="s">
        <v>30</v>
      </c>
      <c r="U543" s="3">
        <v>0</v>
      </c>
      <c r="V543" s="3" t="str">
        <f t="shared" si="120"/>
        <v/>
      </c>
      <c r="W543" s="3" t="s">
        <v>51</v>
      </c>
      <c r="X543" s="32">
        <f t="shared" si="117"/>
        <v>6.6796388309739996E-2</v>
      </c>
      <c r="Z543" s="38">
        <f t="shared" si="121"/>
        <v>0</v>
      </c>
      <c r="AC543" s="36">
        <v>0.125</v>
      </c>
      <c r="AL543" t="str">
        <f t="shared" si="122"/>
        <v>Normal</v>
      </c>
      <c r="AM543" t="str">
        <f t="shared" si="123"/>
        <v>No</v>
      </c>
      <c r="AN543" t="str">
        <f t="shared" si="124"/>
        <v>Elective</v>
      </c>
      <c r="AO543" t="str">
        <f t="shared" si="125"/>
        <v>General Ward</v>
      </c>
    </row>
    <row r="544" spans="1:41" x14ac:dyDescent="0.3">
      <c r="A544" s="21" t="str">
        <f t="shared" si="118"/>
        <v>UHID-00543</v>
      </c>
      <c r="B544" s="19">
        <v>80</v>
      </c>
      <c r="C544" s="11" t="s">
        <v>17</v>
      </c>
      <c r="D544" s="13" t="s">
        <v>26</v>
      </c>
      <c r="E544" s="13" t="s">
        <v>1</v>
      </c>
      <c r="F544" s="16">
        <v>46194.619744583302</v>
      </c>
      <c r="G544" s="5">
        <v>46194</v>
      </c>
      <c r="H544" s="2">
        <v>46200.615360995398</v>
      </c>
      <c r="I544" s="23">
        <v>46200</v>
      </c>
      <c r="J544" s="24">
        <f t="shared" si="112"/>
        <v>46200.197731339373</v>
      </c>
      <c r="K544" s="24">
        <f t="shared" si="113"/>
        <v>0.61536099539807765</v>
      </c>
      <c r="L544" s="29">
        <f t="shared" si="119"/>
        <v>46199</v>
      </c>
      <c r="M544" s="27" t="str">
        <f t="shared" si="114"/>
        <v>Health Deterioration/TPA Approval Delay</v>
      </c>
      <c r="N544" s="31">
        <f t="shared" si="115"/>
        <v>6</v>
      </c>
      <c r="O544" s="27"/>
      <c r="Q544" s="8">
        <v>0.63178484477025121</v>
      </c>
      <c r="R544" s="8" t="str">
        <f t="shared" si="116"/>
        <v>Critical Delay</v>
      </c>
      <c r="S544" s="33">
        <v>3.023111744553733</v>
      </c>
      <c r="T544" t="s">
        <v>31</v>
      </c>
      <c r="U544" s="3">
        <v>7</v>
      </c>
      <c r="V544" s="3" t="str">
        <f t="shared" si="120"/>
        <v>Normal</v>
      </c>
      <c r="W544" s="3" t="s">
        <v>52</v>
      </c>
      <c r="X544" s="32">
        <f t="shared" si="117"/>
        <v>0.41762965602538316</v>
      </c>
      <c r="Z544" s="38">
        <f t="shared" si="121"/>
        <v>0.29262965602538316</v>
      </c>
      <c r="AC544" s="36">
        <v>0.125</v>
      </c>
      <c r="AL544" t="str">
        <f t="shared" si="122"/>
        <v>Health Deterioration/TPA Approval Delay</v>
      </c>
      <c r="AM544" t="str">
        <f t="shared" si="123"/>
        <v>Yes</v>
      </c>
      <c r="AN544" t="str">
        <f t="shared" si="124"/>
        <v>Emergency</v>
      </c>
      <c r="AO544" t="str">
        <f t="shared" si="125"/>
        <v>HDU</v>
      </c>
    </row>
    <row r="545" spans="1:41" x14ac:dyDescent="0.3">
      <c r="A545" s="21" t="str">
        <f t="shared" si="118"/>
        <v>UHID-00544</v>
      </c>
      <c r="B545" s="19">
        <v>83</v>
      </c>
      <c r="C545" s="11" t="s">
        <v>18</v>
      </c>
      <c r="D545" s="13" t="s">
        <v>27</v>
      </c>
      <c r="E545" s="13" t="s">
        <v>1</v>
      </c>
      <c r="F545" s="16">
        <v>46198.7943925</v>
      </c>
      <c r="G545" s="5">
        <v>46198</v>
      </c>
      <c r="H545" s="2">
        <v>46202.668944398101</v>
      </c>
      <c r="I545" s="23">
        <v>46202</v>
      </c>
      <c r="J545" s="24">
        <f t="shared" si="112"/>
        <v>46202.477698392751</v>
      </c>
      <c r="K545" s="24">
        <f t="shared" si="113"/>
        <v>0.6689443981013028</v>
      </c>
      <c r="L545" s="29">
        <f t="shared" si="119"/>
        <v>46201</v>
      </c>
      <c r="M545" s="27" t="str">
        <f t="shared" si="114"/>
        <v>Medication Change</v>
      </c>
      <c r="N545" s="31">
        <f t="shared" si="115"/>
        <v>4</v>
      </c>
      <c r="O545" s="27"/>
      <c r="Q545" s="8">
        <v>0.19399788765657577</v>
      </c>
      <c r="R545" s="8" t="str">
        <f t="shared" si="116"/>
        <v>Major Delay</v>
      </c>
      <c r="S545" s="33">
        <v>1.5899041284851192</v>
      </c>
      <c r="T545" t="s">
        <v>30</v>
      </c>
      <c r="U545" s="3">
        <v>3</v>
      </c>
      <c r="V545" s="3" t="str">
        <f t="shared" si="120"/>
        <v/>
      </c>
      <c r="W545" s="3" t="s">
        <v>50</v>
      </c>
      <c r="X545" s="32">
        <f t="shared" si="117"/>
        <v>0.19124600534996716</v>
      </c>
      <c r="Z545" s="38">
        <f t="shared" si="121"/>
        <v>6.6246005349967163E-2</v>
      </c>
      <c r="AC545" s="36">
        <v>0.125</v>
      </c>
      <c r="AL545" t="str">
        <f t="shared" si="122"/>
        <v>Medication Change</v>
      </c>
      <c r="AM545" t="str">
        <f t="shared" si="123"/>
        <v>No</v>
      </c>
      <c r="AN545" t="str">
        <f t="shared" si="124"/>
        <v>Elective</v>
      </c>
      <c r="AO545" t="str">
        <f t="shared" si="125"/>
        <v>HDU</v>
      </c>
    </row>
    <row r="546" spans="1:41" x14ac:dyDescent="0.3">
      <c r="A546" s="21" t="str">
        <f t="shared" si="118"/>
        <v>UHID-00545</v>
      </c>
      <c r="B546" s="19">
        <v>59</v>
      </c>
      <c r="C546" s="11" t="s">
        <v>17</v>
      </c>
      <c r="D546" s="13" t="s">
        <v>28</v>
      </c>
      <c r="E546" s="13" t="s">
        <v>1</v>
      </c>
      <c r="F546" s="16">
        <v>46198.8734261227</v>
      </c>
      <c r="G546" s="5">
        <v>46198</v>
      </c>
      <c r="H546" s="2">
        <v>46202.6005203241</v>
      </c>
      <c r="I546" s="23">
        <v>46202</v>
      </c>
      <c r="J546" s="24">
        <f t="shared" si="112"/>
        <v>46202.432606270915</v>
      </c>
      <c r="K546" s="24">
        <f t="shared" si="113"/>
        <v>0.60052032410021638</v>
      </c>
      <c r="L546" s="29">
        <f t="shared" si="119"/>
        <v>46201</v>
      </c>
      <c r="M546" s="27" t="str">
        <f t="shared" si="114"/>
        <v>Medication Change</v>
      </c>
      <c r="N546" s="31">
        <f t="shared" si="115"/>
        <v>4</v>
      </c>
      <c r="O546" s="27"/>
      <c r="Q546" s="8">
        <v>0.9751503466286362</v>
      </c>
      <c r="R546" s="8" t="str">
        <f t="shared" si="116"/>
        <v>Major Delay</v>
      </c>
      <c r="S546" s="33">
        <v>2.0299372764005397</v>
      </c>
      <c r="T546" t="s">
        <v>31</v>
      </c>
      <c r="U546" s="3">
        <v>2</v>
      </c>
      <c r="V546" s="3" t="str">
        <f t="shared" si="120"/>
        <v>Normal</v>
      </c>
      <c r="W546" s="3" t="s">
        <v>50</v>
      </c>
      <c r="X546" s="32">
        <f t="shared" si="117"/>
        <v>0.16791405318508623</v>
      </c>
      <c r="Z546" s="38">
        <f t="shared" si="121"/>
        <v>4.2914053185086232E-2</v>
      </c>
      <c r="AC546" s="36">
        <v>0.125</v>
      </c>
      <c r="AL546" t="str">
        <f t="shared" si="122"/>
        <v>Medication Change</v>
      </c>
      <c r="AM546" t="str">
        <f t="shared" si="123"/>
        <v>No</v>
      </c>
      <c r="AN546" t="str">
        <f t="shared" si="124"/>
        <v>Emergency</v>
      </c>
      <c r="AO546" t="str">
        <f t="shared" si="125"/>
        <v>HDU</v>
      </c>
    </row>
    <row r="547" spans="1:41" x14ac:dyDescent="0.3">
      <c r="A547" s="21" t="str">
        <f t="shared" si="118"/>
        <v>UHID-00546</v>
      </c>
      <c r="B547" s="19">
        <v>77</v>
      </c>
      <c r="C547" s="11" t="s">
        <v>18</v>
      </c>
      <c r="D547" s="13" t="s">
        <v>26</v>
      </c>
      <c r="E547" s="13" t="s">
        <v>1</v>
      </c>
      <c r="F547" s="16">
        <v>46196.621931076399</v>
      </c>
      <c r="G547" s="5">
        <v>46196</v>
      </c>
      <c r="H547" s="2">
        <v>46202.676524189803</v>
      </c>
      <c r="I547" s="23">
        <v>46202</v>
      </c>
      <c r="J547" s="24">
        <f t="shared" si="112"/>
        <v>46202.4374613033</v>
      </c>
      <c r="K547" s="24">
        <f t="shared" si="113"/>
        <v>0.67652418980287621</v>
      </c>
      <c r="L547" s="29">
        <f t="shared" si="119"/>
        <v>46201</v>
      </c>
      <c r="M547" s="27" t="str">
        <f t="shared" si="114"/>
        <v>Health Deterioration/TPA Approval Delay</v>
      </c>
      <c r="N547" s="31">
        <f t="shared" si="115"/>
        <v>6</v>
      </c>
      <c r="O547" s="27"/>
      <c r="Q547" s="8">
        <v>0.72849313790296233</v>
      </c>
      <c r="R547" s="8" t="str">
        <f t="shared" si="116"/>
        <v>Critical Delay</v>
      </c>
      <c r="S547" s="33">
        <v>3.7375092760511914</v>
      </c>
      <c r="T547" t="s">
        <v>31</v>
      </c>
      <c r="U547" s="3">
        <v>2</v>
      </c>
      <c r="V547" s="3" t="str">
        <f t="shared" si="120"/>
        <v>Normal</v>
      </c>
      <c r="W547" s="3" t="s">
        <v>50</v>
      </c>
      <c r="X547" s="32">
        <f t="shared" si="117"/>
        <v>0.23906288650323404</v>
      </c>
      <c r="Z547" s="38">
        <f t="shared" si="121"/>
        <v>0.11406288650323404</v>
      </c>
      <c r="AC547" s="36">
        <v>0.125</v>
      </c>
      <c r="AL547" t="str">
        <f t="shared" si="122"/>
        <v>Health Deterioration/TPA Approval Delay</v>
      </c>
      <c r="AM547" t="str">
        <f t="shared" si="123"/>
        <v>Yes</v>
      </c>
      <c r="AN547" t="str">
        <f t="shared" si="124"/>
        <v>Emergency</v>
      </c>
      <c r="AO547" t="str">
        <f t="shared" si="125"/>
        <v>HDU</v>
      </c>
    </row>
    <row r="548" spans="1:41" x14ac:dyDescent="0.3">
      <c r="A548" s="21" t="str">
        <f t="shared" si="118"/>
        <v>UHID-00547</v>
      </c>
      <c r="B548" s="19">
        <v>72</v>
      </c>
      <c r="C548" s="11" t="s">
        <v>17</v>
      </c>
      <c r="D548" s="13" t="s">
        <v>28</v>
      </c>
      <c r="E548" s="13" t="s">
        <v>1</v>
      </c>
      <c r="F548" s="16">
        <v>46196.559381006897</v>
      </c>
      <c r="G548" s="5">
        <v>46196</v>
      </c>
      <c r="H548" s="2">
        <v>46202.332030451398</v>
      </c>
      <c r="I548" s="23">
        <v>46202</v>
      </c>
      <c r="J548" s="24">
        <f t="shared" si="112"/>
        <v>46202.117051469162</v>
      </c>
      <c r="K548" s="24">
        <f t="shared" si="113"/>
        <v>0.33203045139816822</v>
      </c>
      <c r="L548" s="29">
        <f t="shared" si="119"/>
        <v>46201</v>
      </c>
      <c r="M548" s="27" t="str">
        <f t="shared" si="114"/>
        <v>Health Deterioration</v>
      </c>
      <c r="N548" s="31">
        <f t="shared" si="115"/>
        <v>6</v>
      </c>
      <c r="O548" s="27"/>
      <c r="Q548" s="8">
        <v>0.92728684646749304</v>
      </c>
      <c r="R548" s="8" t="str">
        <f t="shared" si="116"/>
        <v>Critical Delay</v>
      </c>
      <c r="S548" s="33">
        <v>2.1594955736003891</v>
      </c>
      <c r="T548" t="s">
        <v>31</v>
      </c>
      <c r="U548" s="3">
        <v>3</v>
      </c>
      <c r="V548" s="3" t="str">
        <f t="shared" si="120"/>
        <v>Normal</v>
      </c>
      <c r="W548" s="3" t="s">
        <v>50</v>
      </c>
      <c r="X548" s="32">
        <f t="shared" si="117"/>
        <v>0.21497898223606171</v>
      </c>
      <c r="Z548" s="38">
        <f t="shared" si="121"/>
        <v>8.9978982236061711E-2</v>
      </c>
      <c r="AC548" s="36">
        <v>0.125</v>
      </c>
      <c r="AL548" t="str">
        <f t="shared" si="122"/>
        <v>Health Deterioration</v>
      </c>
      <c r="AM548" t="str">
        <f t="shared" si="123"/>
        <v>Yes</v>
      </c>
      <c r="AN548" t="str">
        <f t="shared" si="124"/>
        <v>Elective</v>
      </c>
      <c r="AO548" t="str">
        <f t="shared" si="125"/>
        <v>HDU</v>
      </c>
    </row>
    <row r="549" spans="1:41" x14ac:dyDescent="0.3">
      <c r="A549" s="21" t="str">
        <f t="shared" si="118"/>
        <v>UHID-00548</v>
      </c>
      <c r="B549" s="19">
        <v>72</v>
      </c>
      <c r="C549" s="11" t="s">
        <v>18</v>
      </c>
      <c r="D549" s="13" t="s">
        <v>26</v>
      </c>
      <c r="E549" s="13" t="s">
        <v>1</v>
      </c>
      <c r="F549" s="16">
        <v>46198.913345740701</v>
      </c>
      <c r="G549" s="5">
        <v>46198</v>
      </c>
      <c r="H549" s="2">
        <v>46202.7132512963</v>
      </c>
      <c r="I549" s="23">
        <v>46202</v>
      </c>
      <c r="J549" s="24">
        <f t="shared" si="112"/>
        <v>46202.571407014926</v>
      </c>
      <c r="K549" s="24">
        <f t="shared" si="113"/>
        <v>0.71325129629985895</v>
      </c>
      <c r="L549" s="29">
        <f t="shared" si="119"/>
        <v>46201</v>
      </c>
      <c r="M549" s="27" t="str">
        <f t="shared" si="114"/>
        <v>TPA Approval Delay</v>
      </c>
      <c r="N549" s="31">
        <f t="shared" si="115"/>
        <v>4</v>
      </c>
      <c r="O549" s="27"/>
      <c r="Q549" s="8">
        <v>0.69377749700693836</v>
      </c>
      <c r="R549" s="8" t="str">
        <f t="shared" si="116"/>
        <v>Major Delay</v>
      </c>
      <c r="S549" s="33">
        <v>3.404262753010415</v>
      </c>
      <c r="T549" t="s">
        <v>31</v>
      </c>
      <c r="U549" s="3">
        <v>0</v>
      </c>
      <c r="V549" s="3" t="str">
        <f t="shared" si="120"/>
        <v>Normal</v>
      </c>
      <c r="W549" s="3" t="s">
        <v>51</v>
      </c>
      <c r="X549" s="32">
        <f t="shared" si="117"/>
        <v>0.14184428137377836</v>
      </c>
      <c r="Z549" s="38">
        <f t="shared" si="121"/>
        <v>1.6844281373778358E-2</v>
      </c>
      <c r="AC549" s="36">
        <v>0.125</v>
      </c>
      <c r="AL549" t="str">
        <f t="shared" si="122"/>
        <v>TPA Approval Delay</v>
      </c>
      <c r="AM549" t="str">
        <f t="shared" si="123"/>
        <v>No</v>
      </c>
      <c r="AN549" t="str">
        <f t="shared" si="124"/>
        <v>Elective</v>
      </c>
      <c r="AO549" t="str">
        <f t="shared" si="125"/>
        <v>HDU</v>
      </c>
    </row>
    <row r="550" spans="1:41" x14ac:dyDescent="0.3">
      <c r="A550" s="21" t="str">
        <f t="shared" si="118"/>
        <v>UHID-00549</v>
      </c>
      <c r="B550" s="19">
        <v>87</v>
      </c>
      <c r="C550" s="11" t="s">
        <v>18</v>
      </c>
      <c r="D550" s="13" t="s">
        <v>27</v>
      </c>
      <c r="E550" s="13" t="s">
        <v>1</v>
      </c>
      <c r="F550" s="16">
        <v>46192.428306087997</v>
      </c>
      <c r="G550" s="5">
        <v>46192</v>
      </c>
      <c r="H550" s="2">
        <v>46202.621325995402</v>
      </c>
      <c r="I550" s="23">
        <v>46202</v>
      </c>
      <c r="J550" s="24">
        <f t="shared" si="112"/>
        <v>46202.443609794856</v>
      </c>
      <c r="K550" s="24">
        <f t="shared" si="113"/>
        <v>0.62132599540200317</v>
      </c>
      <c r="L550" s="29">
        <f t="shared" si="119"/>
        <v>46201</v>
      </c>
      <c r="M550" s="27" t="str">
        <f t="shared" si="114"/>
        <v>Medication Change</v>
      </c>
      <c r="N550" s="31">
        <f t="shared" si="115"/>
        <v>10</v>
      </c>
      <c r="O550" s="27"/>
      <c r="Q550" s="8">
        <v>0.39049571941741401</v>
      </c>
      <c r="R550" s="8" t="str">
        <f t="shared" si="116"/>
        <v>Major Delay</v>
      </c>
      <c r="S550" s="33">
        <v>1.26518881311103</v>
      </c>
      <c r="T550" t="s">
        <v>31</v>
      </c>
      <c r="U550" s="3">
        <v>3</v>
      </c>
      <c r="V550" s="3" t="str">
        <f t="shared" si="120"/>
        <v>Normal</v>
      </c>
      <c r="W550" s="3" t="s">
        <v>50</v>
      </c>
      <c r="X550" s="32">
        <f t="shared" si="117"/>
        <v>0.1777162005455466</v>
      </c>
      <c r="Z550" s="38">
        <f t="shared" si="121"/>
        <v>5.2716200545546599E-2</v>
      </c>
      <c r="AC550" s="36">
        <v>0.125</v>
      </c>
      <c r="AL550" t="str">
        <f t="shared" si="122"/>
        <v>Medication Change</v>
      </c>
      <c r="AM550" t="str">
        <f t="shared" si="123"/>
        <v>No</v>
      </c>
      <c r="AN550" t="str">
        <f t="shared" si="124"/>
        <v>Emergency</v>
      </c>
      <c r="AO550" t="str">
        <f t="shared" si="125"/>
        <v>ICU</v>
      </c>
    </row>
    <row r="551" spans="1:41" x14ac:dyDescent="0.3">
      <c r="A551" s="21" t="str">
        <f t="shared" si="118"/>
        <v>UHID-00550</v>
      </c>
      <c r="B551" s="19">
        <v>78</v>
      </c>
      <c r="C551" s="11" t="s">
        <v>17</v>
      </c>
      <c r="D551" s="13" t="s">
        <v>27</v>
      </c>
      <c r="E551" s="13" t="s">
        <v>1</v>
      </c>
      <c r="F551" s="16">
        <v>46193.719125821801</v>
      </c>
      <c r="G551" s="5">
        <v>46193</v>
      </c>
      <c r="H551" s="2">
        <v>46203.664518865698</v>
      </c>
      <c r="I551" s="23">
        <v>46203</v>
      </c>
      <c r="J551" s="24">
        <f t="shared" si="112"/>
        <v>46203.588138162231</v>
      </c>
      <c r="K551" s="24">
        <f t="shared" si="113"/>
        <v>0.66451886569848284</v>
      </c>
      <c r="L551" s="29">
        <f t="shared" si="119"/>
        <v>46202</v>
      </c>
      <c r="M551" s="27" t="str">
        <f t="shared" si="114"/>
        <v>Normal</v>
      </c>
      <c r="N551" s="31">
        <f t="shared" si="115"/>
        <v>10</v>
      </c>
      <c r="O551" s="27"/>
      <c r="Q551" s="8">
        <v>0.31559883897203822</v>
      </c>
      <c r="R551" s="8" t="str">
        <f t="shared" si="116"/>
        <v>On Time</v>
      </c>
      <c r="S551" s="33">
        <v>1.8331368831484594</v>
      </c>
      <c r="T551" t="s">
        <v>30</v>
      </c>
      <c r="U551" s="3">
        <v>0</v>
      </c>
      <c r="V551" s="3" t="str">
        <f t="shared" si="120"/>
        <v/>
      </c>
      <c r="W551" s="3" t="s">
        <v>51</v>
      </c>
      <c r="X551" s="32">
        <f t="shared" si="117"/>
        <v>7.6380703467293642E-2</v>
      </c>
      <c r="Z551" s="38">
        <f t="shared" si="121"/>
        <v>0</v>
      </c>
      <c r="AC551" s="36">
        <v>0.125</v>
      </c>
      <c r="AL551" t="str">
        <f t="shared" si="122"/>
        <v>Normal</v>
      </c>
      <c r="AM551" t="str">
        <f t="shared" si="123"/>
        <v>No</v>
      </c>
      <c r="AN551" t="str">
        <f t="shared" si="124"/>
        <v>Emergency</v>
      </c>
      <c r="AO551" t="str">
        <f t="shared" si="125"/>
        <v>ICU</v>
      </c>
    </row>
    <row r="552" spans="1:41" x14ac:dyDescent="0.3">
      <c r="A552" s="21" t="str">
        <f t="shared" si="118"/>
        <v>UHID-00551</v>
      </c>
      <c r="B552" s="19">
        <v>71</v>
      </c>
      <c r="C552" s="11" t="s">
        <v>17</v>
      </c>
      <c r="D552" s="13" t="s">
        <v>27</v>
      </c>
      <c r="E552" s="13" t="s">
        <v>1</v>
      </c>
      <c r="F552" s="16">
        <v>46195.068660879602</v>
      </c>
      <c r="G552" s="5">
        <v>46195</v>
      </c>
      <c r="H552" s="2">
        <v>46203.753507083296</v>
      </c>
      <c r="I552" s="23">
        <v>46203</v>
      </c>
      <c r="J552" s="24">
        <f t="shared" si="112"/>
        <v>46203.266171637741</v>
      </c>
      <c r="K552" s="24">
        <f t="shared" si="113"/>
        <v>0.75350708329642657</v>
      </c>
      <c r="L552" s="29">
        <f t="shared" si="119"/>
        <v>46202</v>
      </c>
      <c r="M552" s="27" t="str">
        <f t="shared" si="114"/>
        <v>Health Deterioration</v>
      </c>
      <c r="N552" s="31">
        <f t="shared" si="115"/>
        <v>8</v>
      </c>
      <c r="O552" s="27"/>
      <c r="Q552" s="8">
        <v>0.14541037407507196</v>
      </c>
      <c r="R552" s="8" t="str">
        <f t="shared" si="116"/>
        <v>Critical Delay</v>
      </c>
      <c r="S552" s="33">
        <v>1.69605069340772</v>
      </c>
      <c r="T552" t="s">
        <v>30</v>
      </c>
      <c r="U552" s="3">
        <v>10</v>
      </c>
      <c r="V552" s="3" t="str">
        <f t="shared" si="120"/>
        <v/>
      </c>
      <c r="W552" s="3" t="s">
        <v>52</v>
      </c>
      <c r="X552" s="32">
        <f t="shared" si="117"/>
        <v>0.48733544555580011</v>
      </c>
      <c r="Z552" s="38">
        <f t="shared" si="121"/>
        <v>0.36233544555580011</v>
      </c>
      <c r="AC552" s="36">
        <v>0.125</v>
      </c>
      <c r="AL552" t="str">
        <f t="shared" si="122"/>
        <v>Health Deterioration</v>
      </c>
      <c r="AM552" t="str">
        <f t="shared" si="123"/>
        <v>Yes</v>
      </c>
      <c r="AN552" t="str">
        <f t="shared" si="124"/>
        <v>Emergency</v>
      </c>
      <c r="AO552" t="str">
        <f t="shared" si="125"/>
        <v>ICU</v>
      </c>
    </row>
    <row r="553" spans="1:41" x14ac:dyDescent="0.3">
      <c r="A553" s="21" t="str">
        <f t="shared" si="118"/>
        <v>UHID-00552</v>
      </c>
      <c r="B553" s="19">
        <v>82</v>
      </c>
      <c r="C553" s="11" t="s">
        <v>17</v>
      </c>
      <c r="D553" s="13" t="s">
        <v>27</v>
      </c>
      <c r="E553" s="13" t="s">
        <v>1</v>
      </c>
      <c r="F553" s="16">
        <v>46199.795079837997</v>
      </c>
      <c r="G553" s="5">
        <v>46199</v>
      </c>
      <c r="H553" s="2">
        <v>46203.800786631902</v>
      </c>
      <c r="I553" s="23">
        <v>46203</v>
      </c>
      <c r="J553" s="24">
        <f t="shared" si="112"/>
        <v>46203.666705138981</v>
      </c>
      <c r="K553" s="24">
        <f t="shared" si="113"/>
        <v>0.80078663190215593</v>
      </c>
      <c r="L553" s="29">
        <f t="shared" si="119"/>
        <v>46202</v>
      </c>
      <c r="M553" s="27" t="str">
        <f t="shared" si="114"/>
        <v>Medication Change</v>
      </c>
      <c r="N553" s="31">
        <f t="shared" si="115"/>
        <v>4</v>
      </c>
      <c r="O553" s="27"/>
      <c r="Q553" s="8">
        <v>0.40891973071275078</v>
      </c>
      <c r="R553" s="8" t="str">
        <f t="shared" si="116"/>
        <v>Major Delay</v>
      </c>
      <c r="S553" s="33">
        <v>1.217955830021364</v>
      </c>
      <c r="T553" t="s">
        <v>31</v>
      </c>
      <c r="U553" s="3">
        <v>2</v>
      </c>
      <c r="V553" s="3" t="str">
        <f t="shared" si="120"/>
        <v>Normal</v>
      </c>
      <c r="W553" s="3" t="s">
        <v>50</v>
      </c>
      <c r="X553" s="32">
        <f t="shared" si="117"/>
        <v>0.13408149292081362</v>
      </c>
      <c r="Z553" s="38">
        <f t="shared" si="121"/>
        <v>9.0814929208136164E-3</v>
      </c>
      <c r="AC553" s="36">
        <v>0.125</v>
      </c>
      <c r="AL553" t="str">
        <f t="shared" si="122"/>
        <v>Medication Change</v>
      </c>
      <c r="AM553" t="str">
        <f t="shared" si="123"/>
        <v>No</v>
      </c>
      <c r="AN553" t="str">
        <f t="shared" si="124"/>
        <v>Elective</v>
      </c>
      <c r="AO553" t="str">
        <f t="shared" si="125"/>
        <v>HDU</v>
      </c>
    </row>
    <row r="554" spans="1:41" x14ac:dyDescent="0.3">
      <c r="A554" s="21" t="str">
        <f t="shared" si="118"/>
        <v>UHID-00553</v>
      </c>
      <c r="B554" s="19">
        <v>76</v>
      </c>
      <c r="C554" s="11" t="s">
        <v>17</v>
      </c>
      <c r="D554" s="13" t="s">
        <v>28</v>
      </c>
      <c r="E554" s="13" t="s">
        <v>1</v>
      </c>
      <c r="F554" s="16">
        <v>46192.400018263899</v>
      </c>
      <c r="G554" s="5">
        <v>46192</v>
      </c>
      <c r="H554" s="2">
        <v>46203.196574143498</v>
      </c>
      <c r="I554" s="23">
        <v>46203</v>
      </c>
      <c r="J554" s="24">
        <f t="shared" si="112"/>
        <v>46203.108100671234</v>
      </c>
      <c r="K554" s="24">
        <f t="shared" si="113"/>
        <v>0.1965741434978554</v>
      </c>
      <c r="L554" s="29">
        <f t="shared" si="119"/>
        <v>46202</v>
      </c>
      <c r="M554" s="27" t="str">
        <f t="shared" si="114"/>
        <v>Doctor Round Delay/Report Delay</v>
      </c>
      <c r="N554" s="31">
        <f t="shared" si="115"/>
        <v>11</v>
      </c>
      <c r="O554" s="27"/>
      <c r="Q554" s="8">
        <v>0.93278105527017452</v>
      </c>
      <c r="R554" s="8" t="str">
        <f t="shared" si="116"/>
        <v>Minor Delay</v>
      </c>
      <c r="S554" s="33">
        <v>2.1233633343584914</v>
      </c>
      <c r="T554" t="s">
        <v>31</v>
      </c>
      <c r="U554" s="3">
        <v>0</v>
      </c>
      <c r="V554" s="3" t="str">
        <f t="shared" si="120"/>
        <v>Normal</v>
      </c>
      <c r="W554" s="3" t="s">
        <v>51</v>
      </c>
      <c r="X554" s="32">
        <f t="shared" si="117"/>
        <v>8.8473472264013253E-2</v>
      </c>
      <c r="Z554" s="38">
        <f t="shared" si="121"/>
        <v>0</v>
      </c>
      <c r="AC554" s="36">
        <v>0.125</v>
      </c>
      <c r="AL554" t="str">
        <f t="shared" si="122"/>
        <v>Doctor Round Delay/Report Delay</v>
      </c>
      <c r="AM554" t="str">
        <f t="shared" si="123"/>
        <v>Yes</v>
      </c>
      <c r="AN554" t="str">
        <f t="shared" si="124"/>
        <v>Elective</v>
      </c>
      <c r="AO554" t="str">
        <f t="shared" si="125"/>
        <v>ICU</v>
      </c>
    </row>
    <row r="555" spans="1:41" x14ac:dyDescent="0.3">
      <c r="A555" s="21" t="str">
        <f t="shared" si="118"/>
        <v>UHID-00554</v>
      </c>
      <c r="B555" s="19">
        <v>23</v>
      </c>
      <c r="C555" s="11" t="s">
        <v>18</v>
      </c>
      <c r="D555" s="13" t="s">
        <v>27</v>
      </c>
      <c r="E555" s="13" t="s">
        <v>1</v>
      </c>
      <c r="F555" s="16">
        <v>46199.843321759261</v>
      </c>
      <c r="G555" s="5">
        <v>46199</v>
      </c>
      <c r="H555" s="2">
        <v>46203.669557881898</v>
      </c>
      <c r="I555" s="23">
        <v>46203</v>
      </c>
      <c r="J555" s="24">
        <f t="shared" si="112"/>
        <v>46203.611163414309</v>
      </c>
      <c r="K555" s="24">
        <f t="shared" si="113"/>
        <v>0.66955788189807208</v>
      </c>
      <c r="L555" s="29">
        <f t="shared" si="119"/>
        <v>46202</v>
      </c>
      <c r="M555" s="27" t="str">
        <f t="shared" si="114"/>
        <v>Normal</v>
      </c>
      <c r="N555" s="31">
        <f t="shared" si="115"/>
        <v>4</v>
      </c>
      <c r="O555" s="27"/>
      <c r="Q555" s="8">
        <v>0.11273712232607547</v>
      </c>
      <c r="R555" s="8" t="str">
        <f t="shared" si="116"/>
        <v>On Time</v>
      </c>
      <c r="S555" s="33">
        <v>1.40146722212389</v>
      </c>
      <c r="T555" t="s">
        <v>30</v>
      </c>
      <c r="U555" s="3">
        <v>0</v>
      </c>
      <c r="V555" s="3" t="str">
        <f t="shared" si="120"/>
        <v/>
      </c>
      <c r="W555" s="3" t="s">
        <v>51</v>
      </c>
      <c r="X555" s="32">
        <f t="shared" si="117"/>
        <v>5.8394467589096166E-2</v>
      </c>
      <c r="Z555" s="38">
        <f t="shared" si="121"/>
        <v>0</v>
      </c>
      <c r="AC555" s="36">
        <v>0.125</v>
      </c>
      <c r="AL555" t="str">
        <f t="shared" si="122"/>
        <v>Normal</v>
      </c>
      <c r="AM555" t="str">
        <f t="shared" si="123"/>
        <v>No</v>
      </c>
      <c r="AN555" t="str">
        <f t="shared" si="124"/>
        <v>Elective</v>
      </c>
      <c r="AO555" t="str">
        <f t="shared" si="125"/>
        <v>HDU</v>
      </c>
    </row>
    <row r="556" spans="1:41" x14ac:dyDescent="0.3">
      <c r="A556" s="21" t="str">
        <f t="shared" si="118"/>
        <v>UHID-00555</v>
      </c>
      <c r="B556" s="19">
        <v>48</v>
      </c>
      <c r="C556" s="11" t="s">
        <v>18</v>
      </c>
      <c r="D556" s="13" t="s">
        <v>26</v>
      </c>
      <c r="E556" s="13" t="s">
        <v>1</v>
      </c>
      <c r="F556" s="16">
        <v>46200.441920474499</v>
      </c>
      <c r="G556" s="5">
        <v>46200</v>
      </c>
      <c r="H556" s="2">
        <v>46203.683235949102</v>
      </c>
      <c r="I556" s="23">
        <v>46203</v>
      </c>
      <c r="J556" s="24">
        <f t="shared" si="112"/>
        <v>46203.365117881782</v>
      </c>
      <c r="K556" s="24">
        <f t="shared" si="113"/>
        <v>0.68323594910179963</v>
      </c>
      <c r="L556" s="29">
        <f t="shared" si="119"/>
        <v>46202</v>
      </c>
      <c r="M556" s="27" t="str">
        <f t="shared" si="114"/>
        <v>Health Deterioration/TPA Approval Delay</v>
      </c>
      <c r="N556" s="31">
        <f t="shared" si="115"/>
        <v>3</v>
      </c>
      <c r="O556" s="27"/>
      <c r="Q556" s="8">
        <v>0.71731570746352602</v>
      </c>
      <c r="R556" s="8" t="str">
        <f t="shared" si="116"/>
        <v>Critical Delay</v>
      </c>
      <c r="S556" s="33">
        <v>3.6348336157370138</v>
      </c>
      <c r="T556" t="s">
        <v>31</v>
      </c>
      <c r="U556" s="3">
        <v>4</v>
      </c>
      <c r="V556" s="3" t="str">
        <f t="shared" si="120"/>
        <v>Normal</v>
      </c>
      <c r="W556" s="3" t="s">
        <v>50</v>
      </c>
      <c r="X556" s="32">
        <f t="shared" si="117"/>
        <v>0.31811806732002879</v>
      </c>
      <c r="Z556" s="38">
        <f t="shared" si="121"/>
        <v>0.19311806732002879</v>
      </c>
      <c r="AC556" s="36">
        <v>0.125</v>
      </c>
      <c r="AL556" t="str">
        <f t="shared" si="122"/>
        <v>Health Deterioration/TPA Approval Delay</v>
      </c>
      <c r="AM556" t="str">
        <f t="shared" si="123"/>
        <v>No</v>
      </c>
      <c r="AN556" t="str">
        <f t="shared" si="124"/>
        <v>Emergency</v>
      </c>
      <c r="AO556" t="str">
        <f t="shared" si="125"/>
        <v>General Ward</v>
      </c>
    </row>
    <row r="557" spans="1:41" x14ac:dyDescent="0.3">
      <c r="A557" s="21" t="str">
        <f t="shared" si="118"/>
        <v>UHID-00556</v>
      </c>
      <c r="B557" s="19">
        <v>27</v>
      </c>
      <c r="C557" s="11" t="s">
        <v>18</v>
      </c>
      <c r="D557" s="13" t="s">
        <v>28</v>
      </c>
      <c r="E557" s="13" t="s">
        <v>1</v>
      </c>
      <c r="F557" s="16">
        <v>46202.161598275503</v>
      </c>
      <c r="G557" s="5">
        <v>46202</v>
      </c>
      <c r="H557" s="2">
        <v>46203.667406481502</v>
      </c>
      <c r="I557" s="23">
        <v>46203</v>
      </c>
      <c r="J557" s="24">
        <f t="shared" si="112"/>
        <v>46203.572265496805</v>
      </c>
      <c r="K557" s="24">
        <f t="shared" si="113"/>
        <v>0.66740648150152992</v>
      </c>
      <c r="L557" s="29">
        <f t="shared" si="119"/>
        <v>46202</v>
      </c>
      <c r="M557" s="27" t="str">
        <f t="shared" si="114"/>
        <v>Doctor Round Delay/Report Delay</v>
      </c>
      <c r="N557" s="31">
        <f t="shared" si="115"/>
        <v>1</v>
      </c>
      <c r="O557" s="27"/>
      <c r="Q557" s="8">
        <v>0.94406137170834137</v>
      </c>
      <c r="R557" s="8" t="str">
        <f t="shared" si="116"/>
        <v>Minor Delay</v>
      </c>
      <c r="S557" s="33">
        <v>2.2833836326859127</v>
      </c>
      <c r="T557" t="s">
        <v>31</v>
      </c>
      <c r="U557" s="3">
        <v>0</v>
      </c>
      <c r="V557" s="3" t="str">
        <f t="shared" si="120"/>
        <v>Normal</v>
      </c>
      <c r="W557" s="3" t="s">
        <v>51</v>
      </c>
      <c r="X557" s="32">
        <f t="shared" si="117"/>
        <v>9.5140984696627129E-2</v>
      </c>
      <c r="Z557" s="38">
        <f t="shared" si="121"/>
        <v>0</v>
      </c>
      <c r="AC557" s="36">
        <v>0.125</v>
      </c>
      <c r="AL557" t="str">
        <f t="shared" si="122"/>
        <v>Doctor Round Delay/Report Delay</v>
      </c>
      <c r="AM557" t="str">
        <f t="shared" si="123"/>
        <v>No</v>
      </c>
      <c r="AN557" t="str">
        <f t="shared" si="124"/>
        <v>Elective</v>
      </c>
      <c r="AO557" t="str">
        <f t="shared" si="125"/>
        <v>General Ward</v>
      </c>
    </row>
    <row r="558" spans="1:41" x14ac:dyDescent="0.3">
      <c r="A558" s="21" t="str">
        <f t="shared" si="118"/>
        <v>UHID-00557</v>
      </c>
      <c r="B558" s="19">
        <v>65</v>
      </c>
      <c r="C558" s="11" t="s">
        <v>18</v>
      </c>
      <c r="D558" s="13" t="s">
        <v>27</v>
      </c>
      <c r="E558" s="13" t="s">
        <v>1</v>
      </c>
      <c r="F558" s="16">
        <v>46200.837376030096</v>
      </c>
      <c r="G558" s="5">
        <v>46200</v>
      </c>
      <c r="H558" s="2">
        <v>46203.775925729198</v>
      </c>
      <c r="I558" s="23">
        <v>46203</v>
      </c>
      <c r="J558" s="24">
        <f t="shared" si="112"/>
        <v>46203.710931306225</v>
      </c>
      <c r="K558" s="24">
        <f t="shared" si="113"/>
        <v>0.77592572919820668</v>
      </c>
      <c r="L558" s="29">
        <f t="shared" si="119"/>
        <v>46202</v>
      </c>
      <c r="M558" s="27" t="str">
        <f t="shared" si="114"/>
        <v>Normal</v>
      </c>
      <c r="N558" s="31">
        <f t="shared" si="115"/>
        <v>3</v>
      </c>
      <c r="O558" s="27"/>
      <c r="Q558" s="8">
        <v>7.0964648193572843E-2</v>
      </c>
      <c r="R558" s="8" t="str">
        <f t="shared" si="116"/>
        <v>On Time</v>
      </c>
      <c r="S558" s="33">
        <v>1.5598661512957608</v>
      </c>
      <c r="T558" t="s">
        <v>30</v>
      </c>
      <c r="U558" s="3">
        <v>0</v>
      </c>
      <c r="V558" s="3" t="str">
        <f t="shared" si="120"/>
        <v/>
      </c>
      <c r="W558" s="3" t="s">
        <v>51</v>
      </c>
      <c r="X558" s="32">
        <f t="shared" si="117"/>
        <v>6.4994422973541077E-2</v>
      </c>
      <c r="Z558" s="38">
        <f t="shared" si="121"/>
        <v>0</v>
      </c>
      <c r="AC558" s="36">
        <v>0.125</v>
      </c>
      <c r="AL558" t="str">
        <f t="shared" si="122"/>
        <v>Normal</v>
      </c>
      <c r="AM558" t="str">
        <f t="shared" si="123"/>
        <v>No</v>
      </c>
      <c r="AN558" t="str">
        <f t="shared" si="124"/>
        <v>Elective</v>
      </c>
      <c r="AO558" t="str">
        <f t="shared" si="125"/>
        <v>General Ward</v>
      </c>
    </row>
    <row r="559" spans="1:41" x14ac:dyDescent="0.3">
      <c r="A559" s="21" t="str">
        <f t="shared" si="118"/>
        <v>UHID-00558</v>
      </c>
      <c r="B559" s="18">
        <v>43</v>
      </c>
      <c r="C559" s="10" t="s">
        <v>18</v>
      </c>
      <c r="D559" s="13" t="s">
        <v>28</v>
      </c>
      <c r="E559" s="13" t="s">
        <v>4</v>
      </c>
      <c r="F559" s="15">
        <v>46170.7361236574</v>
      </c>
      <c r="G559" s="4">
        <v>46170</v>
      </c>
      <c r="H559" s="1">
        <v>46174.641717083301</v>
      </c>
      <c r="I559" s="22">
        <v>46174</v>
      </c>
      <c r="J559" s="24">
        <f t="shared" si="112"/>
        <v>46174.527788318024</v>
      </c>
      <c r="K559" s="24">
        <f t="shared" si="113"/>
        <v>0.64171708330104593</v>
      </c>
      <c r="L559" s="29">
        <f t="shared" si="119"/>
        <v>46173</v>
      </c>
      <c r="M559" s="27" t="str">
        <f t="shared" si="114"/>
        <v>Doctor Round Delay/Report Delay</v>
      </c>
      <c r="N559" s="31">
        <f t="shared" si="115"/>
        <v>4</v>
      </c>
      <c r="O559" s="27"/>
      <c r="Q559" s="8">
        <v>0.96855053630511589</v>
      </c>
      <c r="R559" s="8" t="str">
        <f t="shared" si="116"/>
        <v>Minor Delay</v>
      </c>
      <c r="S559" s="33">
        <v>2.7342903665657534</v>
      </c>
      <c r="T559" t="s">
        <v>31</v>
      </c>
      <c r="U559" s="3">
        <v>0</v>
      </c>
      <c r="V559" s="3" t="str">
        <f t="shared" si="120"/>
        <v>Normal</v>
      </c>
      <c r="W559" s="3" t="s">
        <v>51</v>
      </c>
      <c r="X559" s="32">
        <f t="shared" si="117"/>
        <v>0.11392876527679618</v>
      </c>
      <c r="Z559" s="38">
        <f t="shared" si="121"/>
        <v>0</v>
      </c>
      <c r="AC559" s="36">
        <v>0.125</v>
      </c>
      <c r="AL559" t="str">
        <f t="shared" si="122"/>
        <v>Doctor Round Delay/Report Delay</v>
      </c>
      <c r="AM559" t="str">
        <f t="shared" si="123"/>
        <v>No</v>
      </c>
      <c r="AN559" t="str">
        <f t="shared" si="124"/>
        <v>Elective</v>
      </c>
      <c r="AO559" t="str">
        <f t="shared" si="125"/>
        <v>HDU</v>
      </c>
    </row>
    <row r="560" spans="1:41" x14ac:dyDescent="0.3">
      <c r="A560" s="21" t="str">
        <f t="shared" si="118"/>
        <v>UHID-00559</v>
      </c>
      <c r="B560" s="18">
        <v>57</v>
      </c>
      <c r="C560" s="10" t="s">
        <v>17</v>
      </c>
      <c r="D560" s="13" t="s">
        <v>26</v>
      </c>
      <c r="E560" s="13" t="s">
        <v>4</v>
      </c>
      <c r="F560" s="15">
        <v>46170.754858425898</v>
      </c>
      <c r="G560" s="4">
        <v>46170</v>
      </c>
      <c r="H560" s="1">
        <v>46175.536945416701</v>
      </c>
      <c r="I560" s="22">
        <v>46175</v>
      </c>
      <c r="J560" s="24">
        <f t="shared" si="112"/>
        <v>46175.397343745812</v>
      </c>
      <c r="K560" s="24">
        <f t="shared" si="113"/>
        <v>0.53694541670120088</v>
      </c>
      <c r="L560" s="29">
        <f t="shared" si="119"/>
        <v>46174</v>
      </c>
      <c r="M560" s="27" t="str">
        <f t="shared" si="114"/>
        <v>TPA Approval Delay</v>
      </c>
      <c r="N560" s="31">
        <f t="shared" si="115"/>
        <v>5</v>
      </c>
      <c r="O560" s="27"/>
      <c r="Q560" s="8">
        <v>0.72040779066955007</v>
      </c>
      <c r="R560" s="8" t="str">
        <f t="shared" si="116"/>
        <v>Major Delay</v>
      </c>
      <c r="S560" s="33">
        <v>3.3504401012999061</v>
      </c>
      <c r="T560" t="s">
        <v>31</v>
      </c>
      <c r="U560" s="3">
        <v>0</v>
      </c>
      <c r="V560" s="3" t="str">
        <f t="shared" si="120"/>
        <v>Normal</v>
      </c>
      <c r="W560" s="3" t="s">
        <v>51</v>
      </c>
      <c r="X560" s="32">
        <f t="shared" si="117"/>
        <v>0.13960167088953312</v>
      </c>
      <c r="Z560" s="38">
        <f t="shared" si="121"/>
        <v>1.4601670889533125E-2</v>
      </c>
      <c r="AC560" s="36">
        <v>0.125</v>
      </c>
      <c r="AL560" t="str">
        <f t="shared" si="122"/>
        <v>TPA Approval Delay</v>
      </c>
      <c r="AM560" t="str">
        <f t="shared" si="123"/>
        <v>No</v>
      </c>
      <c r="AN560" t="str">
        <f t="shared" si="124"/>
        <v>Elective</v>
      </c>
      <c r="AO560" t="str">
        <f t="shared" si="125"/>
        <v>HDU</v>
      </c>
    </row>
    <row r="561" spans="1:41" x14ac:dyDescent="0.3">
      <c r="A561" s="21" t="str">
        <f t="shared" si="118"/>
        <v>UHID-00560</v>
      </c>
      <c r="B561" s="18">
        <v>48</v>
      </c>
      <c r="C561" s="10" t="s">
        <v>18</v>
      </c>
      <c r="D561" s="13" t="s">
        <v>27</v>
      </c>
      <c r="E561" s="13" t="s">
        <v>4</v>
      </c>
      <c r="F561" s="15">
        <v>46173.563889317098</v>
      </c>
      <c r="G561" s="4">
        <v>46173</v>
      </c>
      <c r="H561" s="1">
        <v>46175.777209849497</v>
      </c>
      <c r="I561" s="22">
        <v>46175</v>
      </c>
      <c r="J561" s="24">
        <f t="shared" si="112"/>
        <v>46175.497193182222</v>
      </c>
      <c r="K561" s="24">
        <f t="shared" si="113"/>
        <v>0.77720984949701233</v>
      </c>
      <c r="L561" s="29">
        <f t="shared" si="119"/>
        <v>46174</v>
      </c>
      <c r="M561" s="27" t="str">
        <f t="shared" si="114"/>
        <v>Health Deterioration</v>
      </c>
      <c r="N561" s="31">
        <f t="shared" si="115"/>
        <v>2</v>
      </c>
      <c r="O561" s="27"/>
      <c r="Q561" s="8">
        <v>0.44741124450600878</v>
      </c>
      <c r="R561" s="8" t="str">
        <f t="shared" si="116"/>
        <v>Critical Delay</v>
      </c>
      <c r="S561" s="33">
        <v>1.7204000145376337</v>
      </c>
      <c r="T561" t="s">
        <v>31</v>
      </c>
      <c r="U561" s="3">
        <v>5</v>
      </c>
      <c r="V561" s="3" t="str">
        <f t="shared" si="120"/>
        <v>Normal</v>
      </c>
      <c r="W561" s="3" t="s">
        <v>52</v>
      </c>
      <c r="X561" s="32">
        <f t="shared" si="117"/>
        <v>0.28001666727504926</v>
      </c>
      <c r="Z561" s="38">
        <f t="shared" si="121"/>
        <v>0.15501666727504926</v>
      </c>
      <c r="AC561" s="36">
        <v>0.125</v>
      </c>
      <c r="AL561" t="str">
        <f t="shared" si="122"/>
        <v>Health Deterioration</v>
      </c>
      <c r="AM561" t="str">
        <f t="shared" si="123"/>
        <v>No</v>
      </c>
      <c r="AN561" t="str">
        <f t="shared" si="124"/>
        <v>Emergency</v>
      </c>
      <c r="AO561" t="str">
        <f t="shared" si="125"/>
        <v>General Ward</v>
      </c>
    </row>
    <row r="562" spans="1:41" x14ac:dyDescent="0.3">
      <c r="A562" s="21" t="str">
        <f t="shared" si="118"/>
        <v>UHID-00561</v>
      </c>
      <c r="B562" s="18">
        <v>28</v>
      </c>
      <c r="C562" s="10" t="s">
        <v>17</v>
      </c>
      <c r="D562" s="13" t="s">
        <v>27</v>
      </c>
      <c r="E562" s="13" t="s">
        <v>4</v>
      </c>
      <c r="F562" s="15">
        <v>46173.670679548602</v>
      </c>
      <c r="G562" s="4">
        <v>46173</v>
      </c>
      <c r="H562" s="1">
        <v>46176.322956145799</v>
      </c>
      <c r="I562" s="22">
        <v>46176</v>
      </c>
      <c r="J562" s="24">
        <f t="shared" si="112"/>
        <v>46176.084135428144</v>
      </c>
      <c r="K562" s="24">
        <f t="shared" si="113"/>
        <v>0.32295614579925314</v>
      </c>
      <c r="L562" s="29">
        <f t="shared" si="119"/>
        <v>46175</v>
      </c>
      <c r="M562" s="27" t="str">
        <f t="shared" si="114"/>
        <v>Health Deterioration</v>
      </c>
      <c r="N562" s="31">
        <f t="shared" si="115"/>
        <v>3</v>
      </c>
      <c r="O562" s="27"/>
      <c r="Q562" s="8">
        <v>0.23064447903020513</v>
      </c>
      <c r="R562" s="8" t="str">
        <f t="shared" si="116"/>
        <v>Critical Delay</v>
      </c>
      <c r="S562" s="33">
        <v>1.7316972237764245</v>
      </c>
      <c r="T562" t="s">
        <v>30</v>
      </c>
      <c r="U562" s="3">
        <v>4</v>
      </c>
      <c r="V562" s="3" t="str">
        <f t="shared" si="120"/>
        <v/>
      </c>
      <c r="W562" s="3" t="s">
        <v>50</v>
      </c>
      <c r="X562" s="32">
        <f t="shared" si="117"/>
        <v>0.23882071765547153</v>
      </c>
      <c r="Z562" s="38">
        <f t="shared" si="121"/>
        <v>0.11382071765547153</v>
      </c>
      <c r="AC562" s="36">
        <v>0.125</v>
      </c>
      <c r="AL562" t="str">
        <f t="shared" si="122"/>
        <v>Health Deterioration</v>
      </c>
      <c r="AM562" t="str">
        <f t="shared" si="123"/>
        <v>No</v>
      </c>
      <c r="AN562" t="str">
        <f t="shared" si="124"/>
        <v>Emergency</v>
      </c>
      <c r="AO562" t="str">
        <f t="shared" si="125"/>
        <v>General Ward</v>
      </c>
    </row>
    <row r="563" spans="1:41" x14ac:dyDescent="0.3">
      <c r="A563" s="21" t="str">
        <f t="shared" si="118"/>
        <v>UHID-00562</v>
      </c>
      <c r="B563" s="18">
        <v>64</v>
      </c>
      <c r="C563" s="10" t="s">
        <v>17</v>
      </c>
      <c r="D563" s="13" t="s">
        <v>27</v>
      </c>
      <c r="E563" s="13" t="s">
        <v>4</v>
      </c>
      <c r="F563" s="15">
        <v>46160.700356898102</v>
      </c>
      <c r="G563" s="4">
        <v>46160</v>
      </c>
      <c r="H563" s="1">
        <v>46176.427311863401</v>
      </c>
      <c r="I563" s="22">
        <v>46176</v>
      </c>
      <c r="J563" s="24">
        <f t="shared" si="112"/>
        <v>46176.222300306916</v>
      </c>
      <c r="K563" s="24">
        <f t="shared" si="113"/>
        <v>0.42731186340097338</v>
      </c>
      <c r="L563" s="29">
        <f t="shared" si="119"/>
        <v>46175</v>
      </c>
      <c r="M563" s="27" t="str">
        <f t="shared" si="114"/>
        <v>Medication Change</v>
      </c>
      <c r="N563" s="31">
        <f t="shared" si="115"/>
        <v>16</v>
      </c>
      <c r="O563" s="27"/>
      <c r="Q563" s="8">
        <v>0.40762833495790129</v>
      </c>
      <c r="R563" s="8" t="str">
        <f t="shared" si="116"/>
        <v>Major Delay</v>
      </c>
      <c r="S563" s="33">
        <v>1.9202773557111148</v>
      </c>
      <c r="T563" t="s">
        <v>31</v>
      </c>
      <c r="U563" s="3">
        <v>3</v>
      </c>
      <c r="V563" s="3" t="str">
        <f t="shared" si="120"/>
        <v>Normal</v>
      </c>
      <c r="W563" s="3" t="s">
        <v>50</v>
      </c>
      <c r="X563" s="32">
        <f t="shared" si="117"/>
        <v>0.20501155648526037</v>
      </c>
      <c r="Z563" s="38">
        <f t="shared" si="121"/>
        <v>8.0011556485260371E-2</v>
      </c>
      <c r="AC563" s="36">
        <v>0.125</v>
      </c>
      <c r="AL563" t="str">
        <f t="shared" si="122"/>
        <v>Medication Change</v>
      </c>
      <c r="AM563" t="str">
        <f t="shared" si="123"/>
        <v>Yes</v>
      </c>
      <c r="AN563" t="str">
        <f t="shared" si="124"/>
        <v>Emergency</v>
      </c>
      <c r="AO563" t="str">
        <f t="shared" si="125"/>
        <v>ICU</v>
      </c>
    </row>
    <row r="564" spans="1:41" x14ac:dyDescent="0.3">
      <c r="A564" s="21" t="str">
        <f t="shared" si="118"/>
        <v>UHID-00563</v>
      </c>
      <c r="B564" s="18">
        <v>39</v>
      </c>
      <c r="C564" s="10" t="s">
        <v>17</v>
      </c>
      <c r="D564" s="13" t="s">
        <v>27</v>
      </c>
      <c r="E564" s="13" t="s">
        <v>4</v>
      </c>
      <c r="F564" s="15">
        <v>46174.842073749998</v>
      </c>
      <c r="G564" s="4">
        <v>46174</v>
      </c>
      <c r="H564" s="1">
        <v>46176.548676134298</v>
      </c>
      <c r="I564" s="22">
        <v>46176</v>
      </c>
      <c r="J564" s="24">
        <f t="shared" si="112"/>
        <v>46176.48190664671</v>
      </c>
      <c r="K564" s="24">
        <f t="shared" si="113"/>
        <v>0.5486761342981481</v>
      </c>
      <c r="L564" s="29">
        <f t="shared" si="119"/>
        <v>46175</v>
      </c>
      <c r="M564" s="27" t="str">
        <f t="shared" si="114"/>
        <v>Normal</v>
      </c>
      <c r="N564" s="31">
        <f t="shared" si="115"/>
        <v>2</v>
      </c>
      <c r="O564" s="27"/>
      <c r="Q564" s="8">
        <v>0.45207089433832215</v>
      </c>
      <c r="R564" s="8" t="str">
        <f t="shared" si="116"/>
        <v>On Time</v>
      </c>
      <c r="S564" s="33">
        <v>1.6024677021729767</v>
      </c>
      <c r="T564" t="s">
        <v>31</v>
      </c>
      <c r="U564" s="3">
        <v>0</v>
      </c>
      <c r="V564" s="3" t="str">
        <f t="shared" si="120"/>
        <v>Normal</v>
      </c>
      <c r="W564" s="3" t="s">
        <v>51</v>
      </c>
      <c r="X564" s="32">
        <f t="shared" si="117"/>
        <v>6.6769487588317133E-2</v>
      </c>
      <c r="Z564" s="38">
        <f t="shared" si="121"/>
        <v>0</v>
      </c>
      <c r="AC564" s="36">
        <v>0.125</v>
      </c>
      <c r="AL564" t="str">
        <f t="shared" si="122"/>
        <v>Normal</v>
      </c>
      <c r="AM564" t="str">
        <f t="shared" si="123"/>
        <v>No</v>
      </c>
      <c r="AN564" t="str">
        <f t="shared" si="124"/>
        <v>Elective</v>
      </c>
      <c r="AO564" t="str">
        <f t="shared" si="125"/>
        <v>General Ward</v>
      </c>
    </row>
    <row r="565" spans="1:41" x14ac:dyDescent="0.3">
      <c r="A565" s="21" t="str">
        <f t="shared" si="118"/>
        <v>UHID-00564</v>
      </c>
      <c r="B565" s="18">
        <v>32</v>
      </c>
      <c r="C565" s="10" t="s">
        <v>18</v>
      </c>
      <c r="D565" s="13" t="s">
        <v>27</v>
      </c>
      <c r="E565" s="13" t="s">
        <v>4</v>
      </c>
      <c r="F565" s="15">
        <v>46169.671888229197</v>
      </c>
      <c r="G565" s="4">
        <v>46169</v>
      </c>
      <c r="H565" s="1">
        <v>46176.468909259303</v>
      </c>
      <c r="I565" s="22">
        <v>46176</v>
      </c>
      <c r="J565" s="24">
        <f t="shared" si="112"/>
        <v>46176.424015646917</v>
      </c>
      <c r="K565" s="24">
        <f t="shared" si="113"/>
        <v>0.46890925930347294</v>
      </c>
      <c r="L565" s="29">
        <f t="shared" si="119"/>
        <v>46175</v>
      </c>
      <c r="M565" s="27" t="str">
        <f t="shared" si="114"/>
        <v>Normal</v>
      </c>
      <c r="N565" s="31">
        <f t="shared" si="115"/>
        <v>7</v>
      </c>
      <c r="O565" s="27"/>
      <c r="Q565" s="8">
        <v>8.2721424500549423E-2</v>
      </c>
      <c r="R565" s="8" t="str">
        <f t="shared" si="116"/>
        <v>On Time</v>
      </c>
      <c r="S565" s="33">
        <v>1.0774466972792056</v>
      </c>
      <c r="T565" t="s">
        <v>30</v>
      </c>
      <c r="U565" s="3">
        <v>0</v>
      </c>
      <c r="V565" s="3" t="str">
        <f t="shared" si="120"/>
        <v/>
      </c>
      <c r="W565" s="3" t="s">
        <v>51</v>
      </c>
      <c r="X565" s="32">
        <f t="shared" si="117"/>
        <v>4.4893612386658788E-2</v>
      </c>
      <c r="Z565" s="38">
        <f t="shared" si="121"/>
        <v>0</v>
      </c>
      <c r="AC565" s="36">
        <v>0.125</v>
      </c>
      <c r="AL565" t="str">
        <f t="shared" si="122"/>
        <v>Normal</v>
      </c>
      <c r="AM565" t="str">
        <f t="shared" si="123"/>
        <v>No</v>
      </c>
      <c r="AN565" t="str">
        <f t="shared" si="124"/>
        <v>Emergency</v>
      </c>
      <c r="AO565" t="str">
        <f t="shared" si="125"/>
        <v>ICU</v>
      </c>
    </row>
    <row r="566" spans="1:41" x14ac:dyDescent="0.3">
      <c r="A566" s="21" t="str">
        <f t="shared" si="118"/>
        <v>UHID-00565</v>
      </c>
      <c r="B566" s="18">
        <v>30</v>
      </c>
      <c r="C566" s="10" t="s">
        <v>18</v>
      </c>
      <c r="D566" s="13" t="s">
        <v>27</v>
      </c>
      <c r="E566" s="13" t="s">
        <v>4</v>
      </c>
      <c r="F566" s="15">
        <v>46173.504863483802</v>
      </c>
      <c r="G566" s="4">
        <v>46173</v>
      </c>
      <c r="H566" s="1">
        <v>46176.237960069397</v>
      </c>
      <c r="I566" s="22">
        <v>46176</v>
      </c>
      <c r="J566" s="24">
        <f t="shared" si="112"/>
        <v>46176.195821841451</v>
      </c>
      <c r="K566" s="24">
        <f t="shared" si="113"/>
        <v>0.23796006939664949</v>
      </c>
      <c r="L566" s="29">
        <f t="shared" si="119"/>
        <v>46175</v>
      </c>
      <c r="M566" s="27" t="str">
        <f t="shared" si="114"/>
        <v>Normal</v>
      </c>
      <c r="N566" s="31">
        <f t="shared" si="115"/>
        <v>3</v>
      </c>
      <c r="O566" s="27"/>
      <c r="Q566" s="8">
        <v>1.2743143215302011E-2</v>
      </c>
      <c r="R566" s="8" t="str">
        <f t="shared" si="116"/>
        <v>On Time</v>
      </c>
      <c r="S566" s="33">
        <v>1.0113174707138068</v>
      </c>
      <c r="T566" t="s">
        <v>30</v>
      </c>
      <c r="U566" s="3">
        <v>0</v>
      </c>
      <c r="V566" s="3" t="str">
        <f t="shared" si="120"/>
        <v/>
      </c>
      <c r="W566" s="3" t="s">
        <v>51</v>
      </c>
      <c r="X566" s="32">
        <f t="shared" si="117"/>
        <v>4.2138227945542894E-2</v>
      </c>
      <c r="Z566" s="38">
        <f t="shared" si="121"/>
        <v>0</v>
      </c>
      <c r="AC566" s="36">
        <v>0.125</v>
      </c>
      <c r="AL566" t="str">
        <f t="shared" si="122"/>
        <v>Normal</v>
      </c>
      <c r="AM566" t="str">
        <f t="shared" si="123"/>
        <v>No</v>
      </c>
      <c r="AN566" t="str">
        <f t="shared" si="124"/>
        <v>Elective</v>
      </c>
      <c r="AO566" t="str">
        <f t="shared" si="125"/>
        <v>General Ward</v>
      </c>
    </row>
    <row r="567" spans="1:41" x14ac:dyDescent="0.3">
      <c r="A567" s="21" t="str">
        <f t="shared" si="118"/>
        <v>UHID-00566</v>
      </c>
      <c r="B567" s="18">
        <v>73</v>
      </c>
      <c r="C567" s="10" t="s">
        <v>18</v>
      </c>
      <c r="D567" s="13" t="s">
        <v>26</v>
      </c>
      <c r="E567" s="13" t="s">
        <v>4</v>
      </c>
      <c r="F567" s="15">
        <v>46174.686923761597</v>
      </c>
      <c r="G567" s="4">
        <v>46174</v>
      </c>
      <c r="H567" s="1">
        <v>46177.488932430599</v>
      </c>
      <c r="I567" s="22">
        <v>46177</v>
      </c>
      <c r="J567" s="24">
        <f t="shared" si="112"/>
        <v>46177.362098401129</v>
      </c>
      <c r="K567" s="24">
        <f t="shared" si="113"/>
        <v>0.48893243059865199</v>
      </c>
      <c r="L567" s="29">
        <f t="shared" si="119"/>
        <v>46176</v>
      </c>
      <c r="M567" s="27" t="str">
        <f t="shared" si="114"/>
        <v>TPA Approval Delay</v>
      </c>
      <c r="N567" s="31">
        <f t="shared" si="115"/>
        <v>3</v>
      </c>
      <c r="O567" s="27"/>
      <c r="Q567" s="8">
        <v>0.57296727563634631</v>
      </c>
      <c r="R567" s="8" t="str">
        <f t="shared" si="116"/>
        <v>Major Delay</v>
      </c>
      <c r="S567" s="33">
        <v>3.044016707266155</v>
      </c>
      <c r="T567" t="s">
        <v>31</v>
      </c>
      <c r="U567" s="3">
        <v>0</v>
      </c>
      <c r="V567" s="3" t="str">
        <f t="shared" si="120"/>
        <v>Normal</v>
      </c>
      <c r="W567" s="3" t="s">
        <v>51</v>
      </c>
      <c r="X567" s="32">
        <f t="shared" si="117"/>
        <v>0.12683402947004652</v>
      </c>
      <c r="Z567" s="38">
        <f t="shared" si="121"/>
        <v>1.8340294700465165E-3</v>
      </c>
      <c r="AC567" s="36">
        <v>0.125</v>
      </c>
      <c r="AL567" t="str">
        <f t="shared" si="122"/>
        <v>TPA Approval Delay</v>
      </c>
      <c r="AM567" t="str">
        <f t="shared" si="123"/>
        <v>No</v>
      </c>
      <c r="AN567" t="str">
        <f t="shared" si="124"/>
        <v>Elective</v>
      </c>
      <c r="AO567" t="str">
        <f t="shared" si="125"/>
        <v>General Ward</v>
      </c>
    </row>
    <row r="568" spans="1:41" x14ac:dyDescent="0.3">
      <c r="A568" s="21" t="str">
        <f t="shared" si="118"/>
        <v>UHID-00567</v>
      </c>
      <c r="B568" s="18">
        <v>20</v>
      </c>
      <c r="C568" s="10" t="s">
        <v>18</v>
      </c>
      <c r="D568" s="13" t="s">
        <v>27</v>
      </c>
      <c r="E568" s="13" t="s">
        <v>4</v>
      </c>
      <c r="F568" s="15">
        <v>46178.706178333297</v>
      </c>
      <c r="G568" s="4">
        <v>46178</v>
      </c>
      <c r="H568" s="1">
        <v>46178.877943391199</v>
      </c>
      <c r="I568" s="22">
        <v>46178</v>
      </c>
      <c r="J568" s="24">
        <f t="shared" si="112"/>
        <v>46178.836051709332</v>
      </c>
      <c r="K568" s="24">
        <f t="shared" si="113"/>
        <v>0.87794339119864162</v>
      </c>
      <c r="L568" s="29">
        <f t="shared" si="119"/>
        <v>46177</v>
      </c>
      <c r="M568" s="27" t="str">
        <f t="shared" si="114"/>
        <v>Normal</v>
      </c>
      <c r="N568" s="31">
        <f t="shared" si="115"/>
        <v>0</v>
      </c>
      <c r="O568" s="27"/>
      <c r="Q568" s="8">
        <v>0.36813101933621695</v>
      </c>
      <c r="R568" s="8" t="str">
        <f t="shared" si="116"/>
        <v>On Time</v>
      </c>
      <c r="S568" s="33">
        <v>1.005400364892066</v>
      </c>
      <c r="T568" t="s">
        <v>31</v>
      </c>
      <c r="U568" s="3">
        <v>0</v>
      </c>
      <c r="V568" s="3" t="str">
        <f t="shared" si="120"/>
        <v>Normal</v>
      </c>
      <c r="W568" s="3" t="s">
        <v>51</v>
      </c>
      <c r="X568" s="32">
        <f t="shared" si="117"/>
        <v>4.1891681867127772E-2</v>
      </c>
      <c r="Z568" s="38">
        <f t="shared" si="121"/>
        <v>0</v>
      </c>
      <c r="AC568" s="36">
        <v>0.125</v>
      </c>
      <c r="AL568" t="str">
        <f t="shared" si="122"/>
        <v>Normal</v>
      </c>
      <c r="AM568" t="str">
        <f t="shared" si="123"/>
        <v>No</v>
      </c>
      <c r="AN568" t="str">
        <f t="shared" si="124"/>
        <v>Elective</v>
      </c>
      <c r="AO568" t="str">
        <f t="shared" si="125"/>
        <v>General Ward</v>
      </c>
    </row>
    <row r="569" spans="1:41" x14ac:dyDescent="0.3">
      <c r="A569" s="21" t="str">
        <f t="shared" si="118"/>
        <v>UHID-00568</v>
      </c>
      <c r="B569" s="18">
        <v>49</v>
      </c>
      <c r="C569" s="10" t="s">
        <v>17</v>
      </c>
      <c r="D569" s="13" t="s">
        <v>27</v>
      </c>
      <c r="E569" s="13" t="s">
        <v>4</v>
      </c>
      <c r="F569" s="15">
        <v>46177.732687164404</v>
      </c>
      <c r="G569" s="4">
        <v>46177</v>
      </c>
      <c r="H569" s="1">
        <v>46179.540333564801</v>
      </c>
      <c r="I569" s="22">
        <v>46179</v>
      </c>
      <c r="J569" s="24">
        <f t="shared" si="112"/>
        <v>46179.481856385581</v>
      </c>
      <c r="K569" s="24">
        <f t="shared" si="113"/>
        <v>0.54033356480067596</v>
      </c>
      <c r="L569" s="29">
        <f t="shared" si="119"/>
        <v>46178</v>
      </c>
      <c r="M569" s="27" t="str">
        <f t="shared" si="114"/>
        <v>Normal</v>
      </c>
      <c r="N569" s="31">
        <f t="shared" si="115"/>
        <v>2</v>
      </c>
      <c r="O569" s="27"/>
      <c r="Q569" s="8">
        <v>0.4334375132449142</v>
      </c>
      <c r="R569" s="8" t="str">
        <f t="shared" si="116"/>
        <v>On Time</v>
      </c>
      <c r="S569" s="33">
        <v>1.4034523012705602</v>
      </c>
      <c r="T569" t="s">
        <v>31</v>
      </c>
      <c r="U569" s="3">
        <v>0</v>
      </c>
      <c r="V569" s="3" t="str">
        <f t="shared" si="120"/>
        <v>Normal</v>
      </c>
      <c r="W569" s="3" t="s">
        <v>51</v>
      </c>
      <c r="X569" s="32">
        <f t="shared" si="117"/>
        <v>5.8477179220062681E-2</v>
      </c>
      <c r="Z569" s="38">
        <f t="shared" si="121"/>
        <v>0</v>
      </c>
      <c r="AC569" s="36">
        <v>0.125</v>
      </c>
      <c r="AL569" t="str">
        <f t="shared" si="122"/>
        <v>Normal</v>
      </c>
      <c r="AM569" t="str">
        <f t="shared" si="123"/>
        <v>No</v>
      </c>
      <c r="AN569" t="str">
        <f t="shared" si="124"/>
        <v>Elective</v>
      </c>
      <c r="AO569" t="str">
        <f t="shared" si="125"/>
        <v>General Ward</v>
      </c>
    </row>
    <row r="570" spans="1:41" x14ac:dyDescent="0.3">
      <c r="A570" s="21" t="str">
        <f t="shared" si="118"/>
        <v>UHID-00569</v>
      </c>
      <c r="B570" s="18">
        <v>28</v>
      </c>
      <c r="C570" s="10" t="s">
        <v>17</v>
      </c>
      <c r="D570" s="13" t="s">
        <v>28</v>
      </c>
      <c r="E570" s="13" t="s">
        <v>4</v>
      </c>
      <c r="F570" s="15">
        <v>46177.786249155099</v>
      </c>
      <c r="G570" s="4">
        <v>46177</v>
      </c>
      <c r="H570" s="1">
        <v>46179.609817094897</v>
      </c>
      <c r="I570" s="22">
        <v>46179</v>
      </c>
      <c r="J570" s="24">
        <f t="shared" si="112"/>
        <v>46179.515416399758</v>
      </c>
      <c r="K570" s="24">
        <f t="shared" si="113"/>
        <v>0.60981709489715286</v>
      </c>
      <c r="L570" s="29">
        <f t="shared" si="119"/>
        <v>46178</v>
      </c>
      <c r="M570" s="27" t="str">
        <f t="shared" si="114"/>
        <v>Doctor Round Delay/Report Delay</v>
      </c>
      <c r="N570" s="31">
        <f t="shared" si="115"/>
        <v>2</v>
      </c>
      <c r="O570" s="27"/>
      <c r="Q570" s="8">
        <v>0.95684880123032234</v>
      </c>
      <c r="R570" s="8" t="str">
        <f t="shared" si="116"/>
        <v>Minor Delay</v>
      </c>
      <c r="S570" s="33">
        <v>2.2656166834046498</v>
      </c>
      <c r="T570" t="s">
        <v>31</v>
      </c>
      <c r="U570" s="3">
        <v>0</v>
      </c>
      <c r="V570" s="3" t="str">
        <f t="shared" si="120"/>
        <v>Normal</v>
      </c>
      <c r="W570" s="3" t="s">
        <v>51</v>
      </c>
      <c r="X570" s="32">
        <f t="shared" si="117"/>
        <v>9.4400695139484014E-2</v>
      </c>
      <c r="Z570" s="38">
        <f t="shared" si="121"/>
        <v>0</v>
      </c>
      <c r="AC570" s="36">
        <v>0.125</v>
      </c>
      <c r="AL570" t="str">
        <f t="shared" si="122"/>
        <v>Doctor Round Delay/Report Delay</v>
      </c>
      <c r="AM570" t="str">
        <f t="shared" si="123"/>
        <v>No</v>
      </c>
      <c r="AN570" t="str">
        <f t="shared" si="124"/>
        <v>Elective</v>
      </c>
      <c r="AO570" t="str">
        <f t="shared" si="125"/>
        <v>General Ward</v>
      </c>
    </row>
    <row r="571" spans="1:41" x14ac:dyDescent="0.3">
      <c r="A571" s="21" t="str">
        <f t="shared" si="118"/>
        <v>UHID-00570</v>
      </c>
      <c r="B571" s="18">
        <v>58</v>
      </c>
      <c r="C571" s="10" t="s">
        <v>17</v>
      </c>
      <c r="D571" s="13" t="s">
        <v>26</v>
      </c>
      <c r="E571" s="13" t="s">
        <v>4</v>
      </c>
      <c r="F571" s="15">
        <v>46173.544928009302</v>
      </c>
      <c r="G571" s="4">
        <v>46173</v>
      </c>
      <c r="H571" s="1">
        <v>46179.633015497697</v>
      </c>
      <c r="I571" s="22">
        <v>46179</v>
      </c>
      <c r="J571" s="24">
        <f t="shared" si="112"/>
        <v>46179.401895477393</v>
      </c>
      <c r="K571" s="24">
        <f t="shared" si="113"/>
        <v>0.63301549769676058</v>
      </c>
      <c r="L571" s="29">
        <f t="shared" si="119"/>
        <v>46178</v>
      </c>
      <c r="M571" s="27" t="str">
        <f t="shared" si="114"/>
        <v>Health Deterioration/TPA Approval Delay</v>
      </c>
      <c r="N571" s="31">
        <f t="shared" si="115"/>
        <v>6</v>
      </c>
      <c r="O571" s="27"/>
      <c r="Q571" s="8">
        <v>0.51335084869997272</v>
      </c>
      <c r="R571" s="8" t="str">
        <f t="shared" si="116"/>
        <v>Critical Delay</v>
      </c>
      <c r="S571" s="33">
        <v>3.5468804873224404</v>
      </c>
      <c r="T571" t="s">
        <v>31</v>
      </c>
      <c r="U571" s="3">
        <v>2</v>
      </c>
      <c r="V571" s="3" t="str">
        <f t="shared" si="120"/>
        <v>Normal</v>
      </c>
      <c r="W571" s="3" t="s">
        <v>50</v>
      </c>
      <c r="X571" s="32">
        <f t="shared" si="117"/>
        <v>0.23112002030393342</v>
      </c>
      <c r="Z571" s="38">
        <f t="shared" si="121"/>
        <v>0.10612002030393342</v>
      </c>
      <c r="AC571" s="36">
        <v>0.125</v>
      </c>
      <c r="AL571" t="str">
        <f t="shared" si="122"/>
        <v>Health Deterioration/TPA Approval Delay</v>
      </c>
      <c r="AM571" t="str">
        <f t="shared" si="123"/>
        <v>No</v>
      </c>
      <c r="AN571" t="str">
        <f t="shared" si="124"/>
        <v>Emergency</v>
      </c>
      <c r="AO571" t="str">
        <f t="shared" si="125"/>
        <v>HDU</v>
      </c>
    </row>
    <row r="572" spans="1:41" x14ac:dyDescent="0.3">
      <c r="A572" s="21" t="str">
        <f t="shared" si="118"/>
        <v>UHID-00571</v>
      </c>
      <c r="B572" s="18">
        <v>33</v>
      </c>
      <c r="C572" s="10" t="s">
        <v>18</v>
      </c>
      <c r="D572" s="13" t="s">
        <v>27</v>
      </c>
      <c r="E572" s="13" t="s">
        <v>4</v>
      </c>
      <c r="F572" s="15">
        <v>46172.9808352662</v>
      </c>
      <c r="G572" s="4">
        <v>46172</v>
      </c>
      <c r="H572" s="1">
        <v>46179.556296493101</v>
      </c>
      <c r="I572" s="22">
        <v>46179</v>
      </c>
      <c r="J572" s="24">
        <f t="shared" si="112"/>
        <v>46179.475881199302</v>
      </c>
      <c r="K572" s="24">
        <f t="shared" si="113"/>
        <v>0.55629649310139939</v>
      </c>
      <c r="L572" s="29">
        <f t="shared" si="119"/>
        <v>46178</v>
      </c>
      <c r="M572" s="27" t="str">
        <f t="shared" si="114"/>
        <v>Normal</v>
      </c>
      <c r="N572" s="31">
        <f t="shared" si="115"/>
        <v>7</v>
      </c>
      <c r="O572" s="27"/>
      <c r="Q572" s="8">
        <v>0.23821193357882131</v>
      </c>
      <c r="R572" s="8" t="str">
        <f t="shared" si="116"/>
        <v>On Time</v>
      </c>
      <c r="S572" s="33">
        <v>1.9299670512793698</v>
      </c>
      <c r="T572" t="s">
        <v>30</v>
      </c>
      <c r="U572" s="3">
        <v>0</v>
      </c>
      <c r="V572" s="3" t="str">
        <f t="shared" si="120"/>
        <v/>
      </c>
      <c r="W572" s="3" t="s">
        <v>51</v>
      </c>
      <c r="X572" s="32">
        <f t="shared" si="117"/>
        <v>8.0415293799887877E-2</v>
      </c>
      <c r="Z572" s="38">
        <f t="shared" si="121"/>
        <v>0</v>
      </c>
      <c r="AC572" s="36">
        <v>0.125</v>
      </c>
      <c r="AL572" t="str">
        <f t="shared" si="122"/>
        <v>Normal</v>
      </c>
      <c r="AM572" t="str">
        <f t="shared" si="123"/>
        <v>No</v>
      </c>
      <c r="AN572" t="str">
        <f t="shared" si="124"/>
        <v>Emergency</v>
      </c>
      <c r="AO572" t="str">
        <f t="shared" si="125"/>
        <v>ICU</v>
      </c>
    </row>
    <row r="573" spans="1:41" x14ac:dyDescent="0.3">
      <c r="A573" s="21" t="str">
        <f t="shared" si="118"/>
        <v>UHID-00572</v>
      </c>
      <c r="B573" s="18">
        <v>61</v>
      </c>
      <c r="C573" s="10" t="s">
        <v>18</v>
      </c>
      <c r="D573" s="13" t="s">
        <v>27</v>
      </c>
      <c r="E573" s="13" t="s">
        <v>4</v>
      </c>
      <c r="F573" s="15">
        <v>46179.413835671301</v>
      </c>
      <c r="G573" s="4">
        <v>46179</v>
      </c>
      <c r="H573" s="1">
        <v>46179.722417592602</v>
      </c>
      <c r="I573" s="22">
        <v>46179</v>
      </c>
      <c r="J573" s="24">
        <f t="shared" si="112"/>
        <v>46179.579145534939</v>
      </c>
      <c r="K573" s="24">
        <f t="shared" si="113"/>
        <v>0.72241759260214167</v>
      </c>
      <c r="L573" s="29">
        <f t="shared" si="119"/>
        <v>46178</v>
      </c>
      <c r="M573" s="27" t="str">
        <f t="shared" si="114"/>
        <v>Medication Change</v>
      </c>
      <c r="N573" s="31">
        <f t="shared" si="115"/>
        <v>0</v>
      </c>
      <c r="O573" s="27"/>
      <c r="Q573" s="8">
        <v>0.3911023895126241</v>
      </c>
      <c r="R573" s="8" t="str">
        <f t="shared" si="116"/>
        <v>Major Delay</v>
      </c>
      <c r="S573" s="33">
        <v>1.4385293839218729</v>
      </c>
      <c r="T573" t="s">
        <v>31</v>
      </c>
      <c r="U573" s="3">
        <v>2</v>
      </c>
      <c r="V573" s="3" t="str">
        <f t="shared" si="120"/>
        <v>Normal</v>
      </c>
      <c r="W573" s="3" t="s">
        <v>50</v>
      </c>
      <c r="X573" s="32">
        <f t="shared" si="117"/>
        <v>0.14327205766312545</v>
      </c>
      <c r="Z573" s="38">
        <f t="shared" si="121"/>
        <v>1.8272057663125452E-2</v>
      </c>
      <c r="AC573" s="36">
        <v>0.125</v>
      </c>
      <c r="AL573" t="str">
        <f t="shared" si="122"/>
        <v>Medication Change</v>
      </c>
      <c r="AM573" t="str">
        <f t="shared" si="123"/>
        <v>No</v>
      </c>
      <c r="AN573" t="str">
        <f t="shared" si="124"/>
        <v>Elective</v>
      </c>
      <c r="AO573" t="str">
        <f t="shared" si="125"/>
        <v>General Ward</v>
      </c>
    </row>
    <row r="574" spans="1:41" x14ac:dyDescent="0.3">
      <c r="A574" s="21" t="str">
        <f t="shared" si="118"/>
        <v>UHID-00573</v>
      </c>
      <c r="B574" s="18">
        <v>24</v>
      </c>
      <c r="C574" s="10" t="s">
        <v>18</v>
      </c>
      <c r="D574" s="13" t="s">
        <v>26</v>
      </c>
      <c r="E574" s="13" t="s">
        <v>4</v>
      </c>
      <c r="F574" s="15">
        <v>46177.867066886603</v>
      </c>
      <c r="G574" s="4">
        <v>46177</v>
      </c>
      <c r="H574" s="1">
        <v>46179.754890173601</v>
      </c>
      <c r="I574" s="22">
        <v>46179</v>
      </c>
      <c r="J574" s="24">
        <f t="shared" si="112"/>
        <v>46179.615015738833</v>
      </c>
      <c r="K574" s="24">
        <f t="shared" si="113"/>
        <v>0.75489017360087018</v>
      </c>
      <c r="L574" s="29">
        <f t="shared" si="119"/>
        <v>46178</v>
      </c>
      <c r="M574" s="27" t="str">
        <f t="shared" si="114"/>
        <v>TPA Approval Delay</v>
      </c>
      <c r="N574" s="31">
        <f t="shared" si="115"/>
        <v>2</v>
      </c>
      <c r="O574" s="27"/>
      <c r="Q574" s="8">
        <v>0.61803537784162288</v>
      </c>
      <c r="R574" s="8" t="str">
        <f t="shared" si="116"/>
        <v>Major Delay</v>
      </c>
      <c r="S574" s="33">
        <v>3.3569864345146985</v>
      </c>
      <c r="T574" t="s">
        <v>31</v>
      </c>
      <c r="U574" s="3">
        <v>0</v>
      </c>
      <c r="V574" s="3" t="str">
        <f t="shared" si="120"/>
        <v>Normal</v>
      </c>
      <c r="W574" s="3" t="s">
        <v>51</v>
      </c>
      <c r="X574" s="32">
        <f t="shared" si="117"/>
        <v>0.13987443476798944</v>
      </c>
      <c r="Z574" s="38">
        <f t="shared" si="121"/>
        <v>1.4874434767989442E-2</v>
      </c>
      <c r="AC574" s="36">
        <v>0.125</v>
      </c>
      <c r="AL574" t="str">
        <f t="shared" si="122"/>
        <v>TPA Approval Delay</v>
      </c>
      <c r="AM574" t="str">
        <f t="shared" si="123"/>
        <v>No</v>
      </c>
      <c r="AN574" t="str">
        <f t="shared" si="124"/>
        <v>Elective</v>
      </c>
      <c r="AO574" t="str">
        <f t="shared" si="125"/>
        <v>General Ward</v>
      </c>
    </row>
    <row r="575" spans="1:41" x14ac:dyDescent="0.3">
      <c r="A575" s="21" t="str">
        <f t="shared" si="118"/>
        <v>UHID-00574</v>
      </c>
      <c r="B575" s="18">
        <v>35</v>
      </c>
      <c r="C575" s="10" t="s">
        <v>17</v>
      </c>
      <c r="D575" s="13" t="s">
        <v>27</v>
      </c>
      <c r="E575" s="13" t="s">
        <v>4</v>
      </c>
      <c r="F575" s="15">
        <v>46179.563323402799</v>
      </c>
      <c r="G575" s="4">
        <v>46179</v>
      </c>
      <c r="H575" s="1">
        <v>46179.834298344897</v>
      </c>
      <c r="I575" s="22">
        <v>46179</v>
      </c>
      <c r="J575" s="24">
        <f t="shared" si="112"/>
        <v>46179.783665330433</v>
      </c>
      <c r="K575" s="24">
        <f t="shared" si="113"/>
        <v>0.83429834489652421</v>
      </c>
      <c r="L575" s="29">
        <f t="shared" si="119"/>
        <v>46178</v>
      </c>
      <c r="M575" s="27" t="str">
        <f t="shared" si="114"/>
        <v>Normal</v>
      </c>
      <c r="N575" s="31">
        <f t="shared" si="115"/>
        <v>0</v>
      </c>
      <c r="O575" s="27"/>
      <c r="Q575" s="8">
        <v>5.7954096243959308E-2</v>
      </c>
      <c r="R575" s="8" t="str">
        <f t="shared" si="116"/>
        <v>On Time</v>
      </c>
      <c r="S575" s="33">
        <v>1.2151923471156567</v>
      </c>
      <c r="T575" t="s">
        <v>30</v>
      </c>
      <c r="U575" s="3">
        <v>0</v>
      </c>
      <c r="V575" s="3" t="str">
        <f t="shared" si="120"/>
        <v/>
      </c>
      <c r="W575" s="3" t="s">
        <v>51</v>
      </c>
      <c r="X575" s="32">
        <f t="shared" si="117"/>
        <v>5.0633014463528525E-2</v>
      </c>
      <c r="Z575" s="38">
        <f t="shared" si="121"/>
        <v>0</v>
      </c>
      <c r="AC575" s="36">
        <v>0.125</v>
      </c>
      <c r="AL575" t="str">
        <f t="shared" si="122"/>
        <v>Normal</v>
      </c>
      <c r="AM575" t="str">
        <f t="shared" si="123"/>
        <v>No</v>
      </c>
      <c r="AN575" t="str">
        <f t="shared" si="124"/>
        <v>Elective</v>
      </c>
      <c r="AO575" t="str">
        <f t="shared" si="125"/>
        <v>General Ward</v>
      </c>
    </row>
    <row r="576" spans="1:41" x14ac:dyDescent="0.3">
      <c r="A576" s="21" t="str">
        <f t="shared" si="118"/>
        <v>UHID-00575</v>
      </c>
      <c r="B576" s="18">
        <v>32</v>
      </c>
      <c r="C576" s="10" t="s">
        <v>18</v>
      </c>
      <c r="D576" s="13" t="s">
        <v>26</v>
      </c>
      <c r="E576" s="13" t="s">
        <v>4</v>
      </c>
      <c r="F576" s="15">
        <v>46177.758920914399</v>
      </c>
      <c r="G576" s="4">
        <v>46177</v>
      </c>
      <c r="H576" s="1">
        <v>46180.279239398202</v>
      </c>
      <c r="I576" s="22">
        <v>46180</v>
      </c>
      <c r="J576" s="24">
        <f t="shared" si="112"/>
        <v>46179.958108979125</v>
      </c>
      <c r="K576" s="24">
        <f t="shared" si="113"/>
        <v>0.27923939820175292</v>
      </c>
      <c r="L576" s="29">
        <f t="shared" si="119"/>
        <v>46179</v>
      </c>
      <c r="M576" s="27" t="str">
        <f t="shared" si="114"/>
        <v>Health Deterioration/TPA Approval Delay</v>
      </c>
      <c r="N576" s="31">
        <f t="shared" si="115"/>
        <v>3</v>
      </c>
      <c r="O576" s="27"/>
      <c r="Q576" s="8">
        <v>0.75971315472937873</v>
      </c>
      <c r="R576" s="8" t="str">
        <f t="shared" si="116"/>
        <v>Critical Delay</v>
      </c>
      <c r="S576" s="33">
        <v>3.7071300578110815</v>
      </c>
      <c r="T576" t="s">
        <v>31</v>
      </c>
      <c r="U576" s="3">
        <v>4</v>
      </c>
      <c r="V576" s="3" t="str">
        <f t="shared" si="120"/>
        <v>Normal</v>
      </c>
      <c r="W576" s="3" t="s">
        <v>50</v>
      </c>
      <c r="X576" s="32">
        <f t="shared" si="117"/>
        <v>0.32113041907723527</v>
      </c>
      <c r="Z576" s="38">
        <f t="shared" si="121"/>
        <v>0.19613041907723527</v>
      </c>
      <c r="AC576" s="36">
        <v>0.125</v>
      </c>
      <c r="AL576" t="str">
        <f t="shared" si="122"/>
        <v>Health Deterioration/TPA Approval Delay</v>
      </c>
      <c r="AM576" t="str">
        <f t="shared" si="123"/>
        <v>No</v>
      </c>
      <c r="AN576" t="str">
        <f t="shared" si="124"/>
        <v>Emergency</v>
      </c>
      <c r="AO576" t="str">
        <f t="shared" si="125"/>
        <v>General Ward</v>
      </c>
    </row>
    <row r="577" spans="1:41" x14ac:dyDescent="0.3">
      <c r="A577" s="21" t="str">
        <f t="shared" si="118"/>
        <v>UHID-00576</v>
      </c>
      <c r="B577" s="18">
        <v>39</v>
      </c>
      <c r="C577" s="10" t="s">
        <v>18</v>
      </c>
      <c r="D577" s="13" t="s">
        <v>26</v>
      </c>
      <c r="E577" s="13" t="s">
        <v>4</v>
      </c>
      <c r="F577" s="15">
        <v>46181.330371203701</v>
      </c>
      <c r="G577" s="4">
        <v>46181</v>
      </c>
      <c r="H577" s="1">
        <v>46181.714658194403</v>
      </c>
      <c r="I577" s="22">
        <v>46181</v>
      </c>
      <c r="J577" s="24">
        <f t="shared" si="112"/>
        <v>46181.579601847734</v>
      </c>
      <c r="K577" s="24">
        <f t="shared" si="113"/>
        <v>0.71465819440345513</v>
      </c>
      <c r="L577" s="29">
        <f t="shared" si="119"/>
        <v>46180</v>
      </c>
      <c r="M577" s="27" t="str">
        <f t="shared" si="114"/>
        <v>TPA Approval Delay</v>
      </c>
      <c r="N577" s="31">
        <f t="shared" si="115"/>
        <v>0</v>
      </c>
      <c r="O577" s="27"/>
      <c r="Q577" s="8">
        <v>0.68083841810998091</v>
      </c>
      <c r="R577" s="8" t="str">
        <f t="shared" si="116"/>
        <v>Major Delay</v>
      </c>
      <c r="S577" s="33">
        <v>3.2413523200653938</v>
      </c>
      <c r="T577" t="s">
        <v>31</v>
      </c>
      <c r="U577" s="3">
        <v>0</v>
      </c>
      <c r="V577" s="3" t="str">
        <f t="shared" si="120"/>
        <v>Normal</v>
      </c>
      <c r="W577" s="3" t="s">
        <v>51</v>
      </c>
      <c r="X577" s="32">
        <f t="shared" si="117"/>
        <v>0.13505634666944388</v>
      </c>
      <c r="Z577" s="38">
        <f t="shared" si="121"/>
        <v>1.0056346669443883E-2</v>
      </c>
      <c r="AC577" s="36">
        <v>0.125</v>
      </c>
      <c r="AL577" t="str">
        <f t="shared" si="122"/>
        <v>TPA Approval Delay</v>
      </c>
      <c r="AM577" t="str">
        <f t="shared" si="123"/>
        <v>No</v>
      </c>
      <c r="AN577" t="str">
        <f t="shared" si="124"/>
        <v>Elective</v>
      </c>
      <c r="AO577" t="str">
        <f t="shared" si="125"/>
        <v>General Ward</v>
      </c>
    </row>
    <row r="578" spans="1:41" x14ac:dyDescent="0.3">
      <c r="A578" s="21" t="str">
        <f t="shared" si="118"/>
        <v>UHID-00577</v>
      </c>
      <c r="B578" s="18">
        <v>64</v>
      </c>
      <c r="C578" s="10" t="s">
        <v>17</v>
      </c>
      <c r="D578" s="13" t="s">
        <v>27</v>
      </c>
      <c r="E578" s="13" t="s">
        <v>4</v>
      </c>
      <c r="F578" s="15">
        <v>46181.605069687503</v>
      </c>
      <c r="G578" s="4">
        <v>46181</v>
      </c>
      <c r="H578" s="1">
        <v>46181.8174656134</v>
      </c>
      <c r="I578" s="22">
        <v>46181</v>
      </c>
      <c r="J578" s="24">
        <f t="shared" ref="J578:J641" si="126">I578+K578-((S578+U578)/24)</f>
        <v>46181.747378475324</v>
      </c>
      <c r="K578" s="24">
        <f t="shared" ref="K578:K641" si="127">MOD(H578,1)</f>
        <v>0.81746561339969048</v>
      </c>
      <c r="L578" s="29">
        <f t="shared" si="119"/>
        <v>46180</v>
      </c>
      <c r="M578" s="27" t="str">
        <f t="shared" ref="M578:M641" si="128">IF(X578="","",IF(X578&lt;=TIME(2,0,0),"Normal",IF(X578&lt;=TIME(3,0,0),IF(D578="CASH","Bill Settlement Delay","Doctor Round Delay/Report Delay"),IF(X578&lt;=TIME(5,0,0),IF(D578="TPA","TPA Approval Delay","Medication Change"),IF(D578="TPA","Health Deterioration/TPA Approval Delay","Health Deterioration")))))</f>
        <v>Normal</v>
      </c>
      <c r="N578" s="31">
        <f t="shared" ref="N578:N641" si="129">I578-G578</f>
        <v>0</v>
      </c>
      <c r="O578" s="27"/>
      <c r="Q578" s="8">
        <v>0.48878415665500508</v>
      </c>
      <c r="R578" s="8" t="str">
        <f t="shared" ref="R578:R641" si="130">IF(X578="","",IF(X578&lt;=TIME(2,0,0),"On Time",IF(X578&lt;=TIME(3,0,0),"Minor Delay",IF(X578&lt;=TIME(5,0,0),"Major Delay","Critical Delay"))))</f>
        <v>On Time</v>
      </c>
      <c r="S578" s="33">
        <v>1.6820913137772613</v>
      </c>
      <c r="T578" t="s">
        <v>31</v>
      </c>
      <c r="U578" s="3">
        <v>0</v>
      </c>
      <c r="V578" s="3" t="str">
        <f t="shared" si="120"/>
        <v>Normal</v>
      </c>
      <c r="W578" s="3" t="s">
        <v>51</v>
      </c>
      <c r="X578" s="32">
        <f t="shared" ref="X578:X641" si="131">MOD(K578-J578,1)</f>
        <v>7.0087138075905386E-2</v>
      </c>
      <c r="Z578" s="38">
        <f t="shared" si="121"/>
        <v>0</v>
      </c>
      <c r="AC578" s="36">
        <v>0.125</v>
      </c>
      <c r="AL578" t="str">
        <f t="shared" si="122"/>
        <v>Normal</v>
      </c>
      <c r="AM578" t="str">
        <f t="shared" si="123"/>
        <v>No</v>
      </c>
      <c r="AN578" t="str">
        <f t="shared" si="124"/>
        <v>Elective</v>
      </c>
      <c r="AO578" t="str">
        <f t="shared" si="125"/>
        <v>General Ward</v>
      </c>
    </row>
    <row r="579" spans="1:41" x14ac:dyDescent="0.3">
      <c r="A579" s="21" t="str">
        <f t="shared" ref="A579:A642" si="132">"UHID-"&amp;TEXT(ROW(A579)-1,"00000")</f>
        <v>UHID-00578</v>
      </c>
      <c r="B579" s="18">
        <v>46</v>
      </c>
      <c r="C579" s="10" t="s">
        <v>17</v>
      </c>
      <c r="D579" s="13" t="s">
        <v>28</v>
      </c>
      <c r="E579" s="13" t="s">
        <v>4</v>
      </c>
      <c r="F579" s="15">
        <v>46178.614344838003</v>
      </c>
      <c r="G579" s="4">
        <v>46178</v>
      </c>
      <c r="H579" s="1">
        <v>46181.5753211458</v>
      </c>
      <c r="I579" s="22">
        <v>46181</v>
      </c>
      <c r="J579" s="24">
        <f t="shared" si="126"/>
        <v>46181.474778390584</v>
      </c>
      <c r="K579" s="24">
        <f t="shared" si="127"/>
        <v>0.57532114579953486</v>
      </c>
      <c r="L579" s="29">
        <f t="shared" ref="L579:L642" si="133">IF(J579&gt;MOD(H579,1),INT(H579)-1,INT(H579))</f>
        <v>46180</v>
      </c>
      <c r="M579" s="27" t="str">
        <f t="shared" si="128"/>
        <v>Doctor Round Delay/Report Delay</v>
      </c>
      <c r="N579" s="31">
        <f t="shared" si="129"/>
        <v>3</v>
      </c>
      <c r="O579" s="27"/>
      <c r="Q579" s="8">
        <v>0.8693733077312279</v>
      </c>
      <c r="R579" s="8" t="str">
        <f t="shared" si="130"/>
        <v>Minor Delay</v>
      </c>
      <c r="S579" s="33">
        <v>2.4130261250971499</v>
      </c>
      <c r="T579" t="s">
        <v>31</v>
      </c>
      <c r="U579" s="3">
        <v>0</v>
      </c>
      <c r="V579" s="3" t="str">
        <f t="shared" ref="V579:V642" si="134">IF(T579="NO","Normal","")</f>
        <v>Normal</v>
      </c>
      <c r="W579" s="3" t="s">
        <v>51</v>
      </c>
      <c r="X579" s="32">
        <f t="shared" si="131"/>
        <v>0.10054275521542877</v>
      </c>
      <c r="Z579" s="38">
        <f t="shared" ref="Z579:Z642" si="135">IF(X579 &gt; TIME(3,0,0), X579 - TIME(3,0,0), 0)</f>
        <v>0</v>
      </c>
      <c r="AC579" s="36">
        <v>0.125</v>
      </c>
      <c r="AL579" t="str">
        <f t="shared" ref="AL579:AL642" si="136">IF(X579="","",IF(X579&lt;=TIME(2,0,0),"Normal",IF(X579&lt;=TIME(3,0,0),IF(D579="CASH","Bill Settlement Delay","Doctor Round Delay/Report Delay"),IF(Z579&lt;=TIME(2,0,0),IF(D579="TPA","TPA Approval Delay","Medication Change"),IF(D579="TPA","Health Deterioration/TPA Approval Delay","Health Deterioration")))))</f>
        <v>Doctor Round Delay/Report Delay</v>
      </c>
      <c r="AM579" t="str">
        <f t="shared" ref="AM579:AM642" si="137">IF(OR(AND(B579&gt;65, R579="Critical Delay"), N579&gt;10), "Yes", "No")</f>
        <v>No</v>
      </c>
      <c r="AN579" t="str">
        <f t="shared" ref="AN579:AN642" si="138">IF(E579="Cardiology &amp; Cardiothoracic", IF(MOD(ROW(),10)&lt;3, "Emergency", "Elective"), IF(E579="Neurology &amp; Neurosurgery", IF(MOD(ROW(),10)&lt;4, "Emergency", "Elective"), IF(D579="COR", IF(MOD(ROW(),20)&lt;7, "Emergency", "Elective"), IF(OR(R579="Critical Delay", N579&gt;=7), "Emergency", "Elective"))))</f>
        <v>Elective</v>
      </c>
      <c r="AO579" t="str">
        <f t="shared" ref="AO579:AO642" si="139">IF(OR(N579&gt;6, AND(E579="Cardiology &amp; Cardiothoracic", MOD(ROW(),10)&lt;4), AND(E579="Neurology &amp; Neurosurgery", MOD(ROW(),10)&lt;6)), "ICU", IF(OR(N579&gt;3, AND(E579="Cardiology &amp; Cardiothoracic", MOD(ROW(),10)&lt;6), E579="Neurology &amp; Neurosurgery"), "HDU", "General Ward"))</f>
        <v>General Ward</v>
      </c>
    </row>
    <row r="580" spans="1:41" x14ac:dyDescent="0.3">
      <c r="A580" s="21" t="str">
        <f t="shared" si="132"/>
        <v>UHID-00579</v>
      </c>
      <c r="B580" s="18">
        <v>62</v>
      </c>
      <c r="C580" s="10" t="s">
        <v>18</v>
      </c>
      <c r="D580" s="13" t="s">
        <v>28</v>
      </c>
      <c r="E580" s="13" t="s">
        <v>4</v>
      </c>
      <c r="F580" s="15">
        <v>46177.837985891201</v>
      </c>
      <c r="G580" s="4">
        <v>46177</v>
      </c>
      <c r="H580" s="1">
        <v>46181.487209432897</v>
      </c>
      <c r="I580" s="22">
        <v>46181</v>
      </c>
      <c r="J580" s="24">
        <f t="shared" si="126"/>
        <v>46181.364096054531</v>
      </c>
      <c r="K580" s="24">
        <f t="shared" si="127"/>
        <v>0.4872094328966341</v>
      </c>
      <c r="L580" s="29">
        <f t="shared" si="133"/>
        <v>46180</v>
      </c>
      <c r="M580" s="27" t="str">
        <f t="shared" si="128"/>
        <v>Doctor Round Delay/Report Delay</v>
      </c>
      <c r="N580" s="31">
        <f t="shared" si="129"/>
        <v>4</v>
      </c>
      <c r="O580" s="27"/>
      <c r="Q580" s="8">
        <v>0.91266899733903206</v>
      </c>
      <c r="R580" s="8" t="str">
        <f t="shared" si="130"/>
        <v>Minor Delay</v>
      </c>
      <c r="S580" s="33">
        <v>2.9547210807669027</v>
      </c>
      <c r="T580" t="s">
        <v>31</v>
      </c>
      <c r="U580" s="3">
        <v>0</v>
      </c>
      <c r="V580" s="3" t="str">
        <f t="shared" si="134"/>
        <v>Normal</v>
      </c>
      <c r="W580" s="3" t="s">
        <v>51</v>
      </c>
      <c r="X580" s="32">
        <f t="shared" si="131"/>
        <v>0.12311337836581515</v>
      </c>
      <c r="Z580" s="38">
        <f t="shared" si="135"/>
        <v>0</v>
      </c>
      <c r="AC580" s="36">
        <v>0.125</v>
      </c>
      <c r="AL580" t="str">
        <f t="shared" si="136"/>
        <v>Doctor Round Delay/Report Delay</v>
      </c>
      <c r="AM580" t="str">
        <f t="shared" si="137"/>
        <v>No</v>
      </c>
      <c r="AN580" t="str">
        <f t="shared" si="138"/>
        <v>Emergency</v>
      </c>
      <c r="AO580" t="str">
        <f t="shared" si="139"/>
        <v>HDU</v>
      </c>
    </row>
    <row r="581" spans="1:41" x14ac:dyDescent="0.3">
      <c r="A581" s="21" t="str">
        <f t="shared" si="132"/>
        <v>UHID-00580</v>
      </c>
      <c r="B581" s="18">
        <v>33</v>
      </c>
      <c r="C581" s="10" t="s">
        <v>18</v>
      </c>
      <c r="D581" s="13" t="s">
        <v>27</v>
      </c>
      <c r="E581" s="13" t="s">
        <v>4</v>
      </c>
      <c r="F581" s="15">
        <v>46181.390924143503</v>
      </c>
      <c r="G581" s="4">
        <v>46181</v>
      </c>
      <c r="H581" s="1">
        <v>46181.625046284702</v>
      </c>
      <c r="I581" s="22">
        <v>46181</v>
      </c>
      <c r="J581" s="24">
        <f t="shared" si="126"/>
        <v>46181.552629694226</v>
      </c>
      <c r="K581" s="24">
        <f t="shared" si="127"/>
        <v>0.62504628470196621</v>
      </c>
      <c r="L581" s="29">
        <f t="shared" si="133"/>
        <v>46180</v>
      </c>
      <c r="M581" s="27" t="str">
        <f t="shared" si="128"/>
        <v>Normal</v>
      </c>
      <c r="N581" s="31">
        <f t="shared" si="129"/>
        <v>0</v>
      </c>
      <c r="O581" s="27"/>
      <c r="Q581" s="8">
        <v>0.4449837423698515</v>
      </c>
      <c r="R581" s="8" t="str">
        <f t="shared" si="130"/>
        <v>On Time</v>
      </c>
      <c r="S581" s="33">
        <v>1.7379981714106452</v>
      </c>
      <c r="T581" t="s">
        <v>31</v>
      </c>
      <c r="U581" s="3">
        <v>0</v>
      </c>
      <c r="V581" s="3" t="str">
        <f t="shared" si="134"/>
        <v>Normal</v>
      </c>
      <c r="W581" s="3" t="s">
        <v>51</v>
      </c>
      <c r="X581" s="32">
        <f t="shared" si="131"/>
        <v>7.2416590475768317E-2</v>
      </c>
      <c r="Z581" s="38">
        <f t="shared" si="135"/>
        <v>0</v>
      </c>
      <c r="AC581" s="36">
        <v>0.125</v>
      </c>
      <c r="AL581" t="str">
        <f t="shared" si="136"/>
        <v>Normal</v>
      </c>
      <c r="AM581" t="str">
        <f t="shared" si="137"/>
        <v>No</v>
      </c>
      <c r="AN581" t="str">
        <f t="shared" si="138"/>
        <v>Elective</v>
      </c>
      <c r="AO581" t="str">
        <f t="shared" si="139"/>
        <v>General Ward</v>
      </c>
    </row>
    <row r="582" spans="1:41" x14ac:dyDescent="0.3">
      <c r="A582" s="21" t="str">
        <f t="shared" si="132"/>
        <v>UHID-00581</v>
      </c>
      <c r="B582" s="18">
        <v>22</v>
      </c>
      <c r="C582" s="10" t="s">
        <v>18</v>
      </c>
      <c r="D582" s="13" t="s">
        <v>27</v>
      </c>
      <c r="E582" s="13" t="s">
        <v>4</v>
      </c>
      <c r="F582" s="15">
        <v>46181.443304178203</v>
      </c>
      <c r="G582" s="4">
        <v>46181</v>
      </c>
      <c r="H582" s="1">
        <v>46181.759163692099</v>
      </c>
      <c r="I582" s="22">
        <v>46181</v>
      </c>
      <c r="J582" s="24">
        <f t="shared" si="126"/>
        <v>46181.586453340104</v>
      </c>
      <c r="K582" s="24">
        <f t="shared" si="127"/>
        <v>0.75916369209880941</v>
      </c>
      <c r="L582" s="29">
        <f t="shared" si="133"/>
        <v>46180</v>
      </c>
      <c r="M582" s="27" t="str">
        <f t="shared" si="128"/>
        <v>Medication Change</v>
      </c>
      <c r="N582" s="31">
        <f t="shared" si="129"/>
        <v>0</v>
      </c>
      <c r="O582" s="27"/>
      <c r="Q582" s="8">
        <v>0.32285167893874456</v>
      </c>
      <c r="R582" s="8" t="str">
        <f t="shared" si="130"/>
        <v>Major Delay</v>
      </c>
      <c r="S582" s="33">
        <v>1.1450484478130978</v>
      </c>
      <c r="T582" t="s">
        <v>30</v>
      </c>
      <c r="U582" s="3">
        <v>3</v>
      </c>
      <c r="V582" s="3" t="str">
        <f t="shared" si="134"/>
        <v/>
      </c>
      <c r="W582" s="3" t="s">
        <v>50</v>
      </c>
      <c r="X582" s="32">
        <f t="shared" si="131"/>
        <v>0.17271035199519247</v>
      </c>
      <c r="Z582" s="38">
        <f t="shared" si="135"/>
        <v>4.7710351995192468E-2</v>
      </c>
      <c r="AC582" s="36">
        <v>0.125</v>
      </c>
      <c r="AL582" t="str">
        <f t="shared" si="136"/>
        <v>Medication Change</v>
      </c>
      <c r="AM582" t="str">
        <f t="shared" si="137"/>
        <v>No</v>
      </c>
      <c r="AN582" t="str">
        <f t="shared" si="138"/>
        <v>Elective</v>
      </c>
      <c r="AO582" t="str">
        <f t="shared" si="139"/>
        <v>General Ward</v>
      </c>
    </row>
    <row r="583" spans="1:41" x14ac:dyDescent="0.3">
      <c r="A583" s="21" t="str">
        <f t="shared" si="132"/>
        <v>UHID-00582</v>
      </c>
      <c r="B583" s="18">
        <v>32</v>
      </c>
      <c r="C583" s="10" t="s">
        <v>17</v>
      </c>
      <c r="D583" s="13" t="s">
        <v>27</v>
      </c>
      <c r="E583" s="13" t="s">
        <v>4</v>
      </c>
      <c r="F583" s="15">
        <v>46181.452416666703</v>
      </c>
      <c r="G583" s="4">
        <v>46181</v>
      </c>
      <c r="H583" s="1">
        <v>46181.757351736102</v>
      </c>
      <c r="I583" s="22">
        <v>46181</v>
      </c>
      <c r="J583" s="24">
        <f t="shared" si="126"/>
        <v>46181.695964431012</v>
      </c>
      <c r="K583" s="24">
        <f t="shared" si="127"/>
        <v>0.75735173610155471</v>
      </c>
      <c r="L583" s="29">
        <f t="shared" si="133"/>
        <v>46180</v>
      </c>
      <c r="M583" s="27" t="str">
        <f t="shared" si="128"/>
        <v>Normal</v>
      </c>
      <c r="N583" s="31">
        <f t="shared" si="129"/>
        <v>0</v>
      </c>
      <c r="O583" s="27"/>
      <c r="Q583" s="8">
        <v>0.37333082233538684</v>
      </c>
      <c r="R583" s="8" t="str">
        <f t="shared" si="130"/>
        <v>On Time</v>
      </c>
      <c r="S583" s="33">
        <v>1.4732953221090717</v>
      </c>
      <c r="T583" t="s">
        <v>31</v>
      </c>
      <c r="U583" s="3">
        <v>0</v>
      </c>
      <c r="V583" s="3" t="str">
        <f t="shared" si="134"/>
        <v>Normal</v>
      </c>
      <c r="W583" s="3" t="s">
        <v>51</v>
      </c>
      <c r="X583" s="32">
        <f t="shared" si="131"/>
        <v>6.138730508973822E-2</v>
      </c>
      <c r="Z583" s="38">
        <f t="shared" si="135"/>
        <v>0</v>
      </c>
      <c r="AC583" s="36">
        <v>0.125</v>
      </c>
      <c r="AL583" t="str">
        <f t="shared" si="136"/>
        <v>Normal</v>
      </c>
      <c r="AM583" t="str">
        <f t="shared" si="137"/>
        <v>No</v>
      </c>
      <c r="AN583" t="str">
        <f t="shared" si="138"/>
        <v>Elective</v>
      </c>
      <c r="AO583" t="str">
        <f t="shared" si="139"/>
        <v>General Ward</v>
      </c>
    </row>
    <row r="584" spans="1:41" x14ac:dyDescent="0.3">
      <c r="A584" s="21" t="str">
        <f t="shared" si="132"/>
        <v>UHID-00583</v>
      </c>
      <c r="B584" s="18">
        <v>35</v>
      </c>
      <c r="C584" s="10" t="s">
        <v>18</v>
      </c>
      <c r="D584" s="13" t="s">
        <v>26</v>
      </c>
      <c r="E584" s="13" t="s">
        <v>4</v>
      </c>
      <c r="F584" s="15">
        <v>46181.447591863398</v>
      </c>
      <c r="G584" s="4">
        <v>46181</v>
      </c>
      <c r="H584" s="1">
        <v>46181.758359629603</v>
      </c>
      <c r="I584" s="22">
        <v>46181</v>
      </c>
      <c r="J584" s="24">
        <f t="shared" si="126"/>
        <v>46181.592374880034</v>
      </c>
      <c r="K584" s="24">
        <f t="shared" si="127"/>
        <v>0.75835962960263714</v>
      </c>
      <c r="L584" s="29">
        <f t="shared" si="133"/>
        <v>46180</v>
      </c>
      <c r="M584" s="27" t="str">
        <f t="shared" si="128"/>
        <v>TPA Approval Delay</v>
      </c>
      <c r="N584" s="31">
        <f t="shared" si="129"/>
        <v>0</v>
      </c>
      <c r="O584" s="27"/>
      <c r="Q584" s="8">
        <v>0.57358173737667673</v>
      </c>
      <c r="R584" s="8" t="str">
        <f t="shared" si="130"/>
        <v>Major Delay</v>
      </c>
      <c r="S584" s="33">
        <v>3.9836339896027715</v>
      </c>
      <c r="T584" t="s">
        <v>31</v>
      </c>
      <c r="U584" s="3">
        <v>0</v>
      </c>
      <c r="V584" s="3" t="str">
        <f t="shared" si="134"/>
        <v>Normal</v>
      </c>
      <c r="W584" s="3" t="s">
        <v>51</v>
      </c>
      <c r="X584" s="32">
        <f t="shared" si="131"/>
        <v>0.16598474956845166</v>
      </c>
      <c r="Z584" s="38">
        <f t="shared" si="135"/>
        <v>4.0984749568451662E-2</v>
      </c>
      <c r="AC584" s="36">
        <v>0.125</v>
      </c>
      <c r="AL584" t="str">
        <f t="shared" si="136"/>
        <v>TPA Approval Delay</v>
      </c>
      <c r="AM584" t="str">
        <f t="shared" si="137"/>
        <v>No</v>
      </c>
      <c r="AN584" t="str">
        <f t="shared" si="138"/>
        <v>Elective</v>
      </c>
      <c r="AO584" t="str">
        <f t="shared" si="139"/>
        <v>General Ward</v>
      </c>
    </row>
    <row r="585" spans="1:41" x14ac:dyDescent="0.3">
      <c r="A585" s="21" t="str">
        <f t="shared" si="132"/>
        <v>UHID-00584</v>
      </c>
      <c r="B585" s="18">
        <v>36</v>
      </c>
      <c r="C585" s="10" t="s">
        <v>18</v>
      </c>
      <c r="D585" s="13" t="s">
        <v>27</v>
      </c>
      <c r="E585" s="13" t="s">
        <v>4</v>
      </c>
      <c r="F585" s="15">
        <v>46177.805159536998</v>
      </c>
      <c r="G585" s="4">
        <v>46177</v>
      </c>
      <c r="H585" s="1">
        <v>46182.4867621991</v>
      </c>
      <c r="I585" s="22">
        <v>46182</v>
      </c>
      <c r="J585" s="24">
        <f t="shared" si="126"/>
        <v>46182.286141770695</v>
      </c>
      <c r="K585" s="24">
        <f t="shared" si="127"/>
        <v>0.48676219909975771</v>
      </c>
      <c r="L585" s="29">
        <f t="shared" si="133"/>
        <v>46181</v>
      </c>
      <c r="M585" s="27" t="str">
        <f t="shared" si="128"/>
        <v>Medication Change</v>
      </c>
      <c r="N585" s="31">
        <f t="shared" si="129"/>
        <v>5</v>
      </c>
      <c r="O585" s="27"/>
      <c r="Q585" s="8">
        <v>6.6898939251050615E-2</v>
      </c>
      <c r="R585" s="8" t="str">
        <f t="shared" si="130"/>
        <v>Major Delay</v>
      </c>
      <c r="S585" s="33">
        <v>1.8148902816579744</v>
      </c>
      <c r="T585" t="s">
        <v>30</v>
      </c>
      <c r="U585" s="3">
        <v>3</v>
      </c>
      <c r="V585" s="3" t="str">
        <f t="shared" si="134"/>
        <v/>
      </c>
      <c r="W585" s="3" t="s">
        <v>50</v>
      </c>
      <c r="X585" s="32">
        <f t="shared" si="131"/>
        <v>0.20062042840436334</v>
      </c>
      <c r="Z585" s="38">
        <f t="shared" si="135"/>
        <v>7.5620428404363338E-2</v>
      </c>
      <c r="AC585" s="36">
        <v>0.125</v>
      </c>
      <c r="AL585" t="str">
        <f t="shared" si="136"/>
        <v>Medication Change</v>
      </c>
      <c r="AM585" t="str">
        <f t="shared" si="137"/>
        <v>No</v>
      </c>
      <c r="AN585" t="str">
        <f t="shared" si="138"/>
        <v>Elective</v>
      </c>
      <c r="AO585" t="str">
        <f t="shared" si="139"/>
        <v>HDU</v>
      </c>
    </row>
    <row r="586" spans="1:41" x14ac:dyDescent="0.3">
      <c r="A586" s="21" t="str">
        <f t="shared" si="132"/>
        <v>UHID-00585</v>
      </c>
      <c r="B586" s="18">
        <v>24</v>
      </c>
      <c r="C586" s="10" t="s">
        <v>17</v>
      </c>
      <c r="D586" s="13" t="s">
        <v>27</v>
      </c>
      <c r="E586" s="13" t="s">
        <v>4</v>
      </c>
      <c r="F586" s="15">
        <v>46180.716922974498</v>
      </c>
      <c r="G586" s="4">
        <v>46180</v>
      </c>
      <c r="H586" s="1">
        <v>46182.719470289398</v>
      </c>
      <c r="I586" s="22">
        <v>46182</v>
      </c>
      <c r="J586" s="24">
        <f t="shared" si="126"/>
        <v>46182.58465678936</v>
      </c>
      <c r="K586" s="24">
        <f t="shared" si="127"/>
        <v>0.71947028939757729</v>
      </c>
      <c r="L586" s="29">
        <f t="shared" si="133"/>
        <v>46181</v>
      </c>
      <c r="M586" s="27" t="str">
        <f t="shared" si="128"/>
        <v>Medication Change</v>
      </c>
      <c r="N586" s="31">
        <f t="shared" si="129"/>
        <v>2</v>
      </c>
      <c r="O586" s="27"/>
      <c r="Q586" s="8">
        <v>0.1717433969502804</v>
      </c>
      <c r="R586" s="8" t="str">
        <f t="shared" si="130"/>
        <v>Major Delay</v>
      </c>
      <c r="S586" s="33">
        <v>1.2355240009712918</v>
      </c>
      <c r="T586" t="s">
        <v>30</v>
      </c>
      <c r="U586" s="3">
        <v>2</v>
      </c>
      <c r="V586" s="3" t="str">
        <f t="shared" si="134"/>
        <v/>
      </c>
      <c r="W586" s="3" t="s">
        <v>50</v>
      </c>
      <c r="X586" s="32">
        <f t="shared" si="131"/>
        <v>0.13481350003712578</v>
      </c>
      <c r="Z586" s="38">
        <f t="shared" si="135"/>
        <v>9.8135000371257775E-3</v>
      </c>
      <c r="AC586" s="36">
        <v>0.125</v>
      </c>
      <c r="AL586" t="str">
        <f t="shared" si="136"/>
        <v>Medication Change</v>
      </c>
      <c r="AM586" t="str">
        <f t="shared" si="137"/>
        <v>No</v>
      </c>
      <c r="AN586" t="str">
        <f t="shared" si="138"/>
        <v>Elective</v>
      </c>
      <c r="AO586" t="str">
        <f t="shared" si="139"/>
        <v>General Ward</v>
      </c>
    </row>
    <row r="587" spans="1:41" x14ac:dyDescent="0.3">
      <c r="A587" s="21" t="str">
        <f t="shared" si="132"/>
        <v>UHID-00586</v>
      </c>
      <c r="B587" s="18">
        <v>48</v>
      </c>
      <c r="C587" s="10" t="s">
        <v>18</v>
      </c>
      <c r="D587" s="13" t="s">
        <v>26</v>
      </c>
      <c r="E587" s="13" t="s">
        <v>4</v>
      </c>
      <c r="F587" s="15">
        <v>46180.036744398101</v>
      </c>
      <c r="G587" s="4">
        <v>46180</v>
      </c>
      <c r="H587" s="1">
        <v>46182.501519699101</v>
      </c>
      <c r="I587" s="22">
        <v>46182</v>
      </c>
      <c r="J587" s="24">
        <f t="shared" si="126"/>
        <v>46182.348066385348</v>
      </c>
      <c r="K587" s="24">
        <f t="shared" si="127"/>
        <v>0.50151969910075422</v>
      </c>
      <c r="L587" s="29">
        <f t="shared" si="133"/>
        <v>46181</v>
      </c>
      <c r="M587" s="27" t="str">
        <f t="shared" si="128"/>
        <v>TPA Approval Delay</v>
      </c>
      <c r="N587" s="31">
        <f t="shared" si="129"/>
        <v>2</v>
      </c>
      <c r="O587" s="27"/>
      <c r="Q587" s="8">
        <v>0.73642471828639278</v>
      </c>
      <c r="R587" s="8" t="str">
        <f t="shared" si="130"/>
        <v>Major Delay</v>
      </c>
      <c r="S587" s="33">
        <v>3.6828795301490329</v>
      </c>
      <c r="T587" t="s">
        <v>31</v>
      </c>
      <c r="U587" s="3">
        <v>0</v>
      </c>
      <c r="V587" s="3" t="str">
        <f t="shared" si="134"/>
        <v>Normal</v>
      </c>
      <c r="W587" s="3" t="s">
        <v>51</v>
      </c>
      <c r="X587" s="32">
        <f t="shared" si="131"/>
        <v>0.15345331375283422</v>
      </c>
      <c r="Z587" s="38">
        <f t="shared" si="135"/>
        <v>2.8453313752834219E-2</v>
      </c>
      <c r="AC587" s="36">
        <v>0.125</v>
      </c>
      <c r="AL587" t="str">
        <f t="shared" si="136"/>
        <v>TPA Approval Delay</v>
      </c>
      <c r="AM587" t="str">
        <f t="shared" si="137"/>
        <v>No</v>
      </c>
      <c r="AN587" t="str">
        <f t="shared" si="138"/>
        <v>Elective</v>
      </c>
      <c r="AO587" t="str">
        <f t="shared" si="139"/>
        <v>General Ward</v>
      </c>
    </row>
    <row r="588" spans="1:41" x14ac:dyDescent="0.3">
      <c r="A588" s="21" t="str">
        <f t="shared" si="132"/>
        <v>UHID-00587</v>
      </c>
      <c r="B588" s="18">
        <v>25</v>
      </c>
      <c r="C588" s="10" t="s">
        <v>17</v>
      </c>
      <c r="D588" s="13" t="s">
        <v>26</v>
      </c>
      <c r="E588" s="13" t="s">
        <v>4</v>
      </c>
      <c r="F588" s="15">
        <v>46181.470448576401</v>
      </c>
      <c r="G588" s="4">
        <v>46181</v>
      </c>
      <c r="H588" s="1">
        <v>46182.588080798603</v>
      </c>
      <c r="I588" s="22">
        <v>46182</v>
      </c>
      <c r="J588" s="24">
        <f t="shared" si="126"/>
        <v>46182.447046142057</v>
      </c>
      <c r="K588" s="24">
        <f t="shared" si="127"/>
        <v>0.58808079860318685</v>
      </c>
      <c r="L588" s="29">
        <f t="shared" si="133"/>
        <v>46181</v>
      </c>
      <c r="M588" s="27" t="str">
        <f t="shared" si="128"/>
        <v>TPA Approval Delay</v>
      </c>
      <c r="N588" s="31">
        <f t="shared" si="129"/>
        <v>1</v>
      </c>
      <c r="O588" s="27"/>
      <c r="Q588" s="8">
        <v>0.76656006409291355</v>
      </c>
      <c r="R588" s="8" t="str">
        <f t="shared" si="130"/>
        <v>Major Delay</v>
      </c>
      <c r="S588" s="33">
        <v>3.384831757170268</v>
      </c>
      <c r="T588" t="s">
        <v>31</v>
      </c>
      <c r="U588" s="3">
        <v>0</v>
      </c>
      <c r="V588" s="3" t="str">
        <f t="shared" si="134"/>
        <v>Normal</v>
      </c>
      <c r="W588" s="3" t="s">
        <v>51</v>
      </c>
      <c r="X588" s="32">
        <f t="shared" si="131"/>
        <v>0.14103465654625325</v>
      </c>
      <c r="Z588" s="38">
        <f t="shared" si="135"/>
        <v>1.6034656546253245E-2</v>
      </c>
      <c r="AC588" s="36">
        <v>0.125</v>
      </c>
      <c r="AL588" t="str">
        <f t="shared" si="136"/>
        <v>TPA Approval Delay</v>
      </c>
      <c r="AM588" t="str">
        <f t="shared" si="137"/>
        <v>No</v>
      </c>
      <c r="AN588" t="str">
        <f t="shared" si="138"/>
        <v>Elective</v>
      </c>
      <c r="AO588" t="str">
        <f t="shared" si="139"/>
        <v>General Ward</v>
      </c>
    </row>
    <row r="589" spans="1:41" x14ac:dyDescent="0.3">
      <c r="A589" s="21" t="str">
        <f t="shared" si="132"/>
        <v>UHID-00588</v>
      </c>
      <c r="B589" s="18">
        <v>55</v>
      </c>
      <c r="C589" s="10" t="s">
        <v>17</v>
      </c>
      <c r="D589" s="13" t="s">
        <v>26</v>
      </c>
      <c r="E589" s="13" t="s">
        <v>4</v>
      </c>
      <c r="F589" s="15">
        <v>46177.717872233799</v>
      </c>
      <c r="G589" s="4">
        <v>46177</v>
      </c>
      <c r="H589" s="1">
        <v>46183.420198171298</v>
      </c>
      <c r="I589" s="22">
        <v>46183</v>
      </c>
      <c r="J589" s="24">
        <f t="shared" si="126"/>
        <v>46183.282298459017</v>
      </c>
      <c r="K589" s="24">
        <f t="shared" si="127"/>
        <v>0.42019817129767034</v>
      </c>
      <c r="L589" s="29">
        <f t="shared" si="133"/>
        <v>46182</v>
      </c>
      <c r="M589" s="27" t="str">
        <f t="shared" si="128"/>
        <v>TPA Approval Delay</v>
      </c>
      <c r="N589" s="31">
        <f t="shared" si="129"/>
        <v>6</v>
      </c>
      <c r="O589" s="27"/>
      <c r="Q589" s="8">
        <v>0.54458051408852559</v>
      </c>
      <c r="R589" s="8" t="str">
        <f t="shared" si="130"/>
        <v>Major Delay</v>
      </c>
      <c r="S589" s="33">
        <v>3.3095930947735916</v>
      </c>
      <c r="T589" t="s">
        <v>31</v>
      </c>
      <c r="U589" s="3">
        <v>0</v>
      </c>
      <c r="V589" s="3" t="str">
        <f t="shared" si="134"/>
        <v>Normal</v>
      </c>
      <c r="W589" s="3" t="s">
        <v>51</v>
      </c>
      <c r="X589" s="32">
        <f t="shared" si="131"/>
        <v>0.13789971228106879</v>
      </c>
      <c r="Z589" s="38">
        <f t="shared" si="135"/>
        <v>1.2899712281068787E-2</v>
      </c>
      <c r="AC589" s="36">
        <v>0.125</v>
      </c>
      <c r="AL589" t="str">
        <f t="shared" si="136"/>
        <v>TPA Approval Delay</v>
      </c>
      <c r="AM589" t="str">
        <f t="shared" si="137"/>
        <v>No</v>
      </c>
      <c r="AN589" t="str">
        <f t="shared" si="138"/>
        <v>Elective</v>
      </c>
      <c r="AO589" t="str">
        <f t="shared" si="139"/>
        <v>HDU</v>
      </c>
    </row>
    <row r="590" spans="1:41" x14ac:dyDescent="0.3">
      <c r="A590" s="21" t="str">
        <f t="shared" si="132"/>
        <v>UHID-00589</v>
      </c>
      <c r="B590" s="18">
        <v>50</v>
      </c>
      <c r="C590" s="10" t="s">
        <v>18</v>
      </c>
      <c r="D590" s="13" t="s">
        <v>26</v>
      </c>
      <c r="E590" s="13" t="s">
        <v>4</v>
      </c>
      <c r="F590" s="15">
        <v>46182.657672731497</v>
      </c>
      <c r="G590" s="4">
        <v>46182</v>
      </c>
      <c r="H590" s="1">
        <v>46184.626204305598</v>
      </c>
      <c r="I590" s="22">
        <v>46184</v>
      </c>
      <c r="J590" s="24">
        <f t="shared" si="126"/>
        <v>46184.465695930485</v>
      </c>
      <c r="K590" s="24">
        <f t="shared" si="127"/>
        <v>0.62620430559763918</v>
      </c>
      <c r="L590" s="29">
        <f t="shared" si="133"/>
        <v>46183</v>
      </c>
      <c r="M590" s="27" t="str">
        <f t="shared" si="128"/>
        <v>TPA Approval Delay</v>
      </c>
      <c r="N590" s="31">
        <f t="shared" si="129"/>
        <v>2</v>
      </c>
      <c r="O590" s="27"/>
      <c r="Q590" s="8">
        <v>0.76402936172825764</v>
      </c>
      <c r="R590" s="8" t="str">
        <f t="shared" si="130"/>
        <v>Major Delay</v>
      </c>
      <c r="S590" s="33">
        <v>3.8522010027774818</v>
      </c>
      <c r="T590" t="s">
        <v>31</v>
      </c>
      <c r="U590" s="3">
        <v>0</v>
      </c>
      <c r="V590" s="3" t="str">
        <f t="shared" si="134"/>
        <v>Normal</v>
      </c>
      <c r="W590" s="3" t="s">
        <v>51</v>
      </c>
      <c r="X590" s="32">
        <f t="shared" si="131"/>
        <v>0.16050837511284044</v>
      </c>
      <c r="Z590" s="38">
        <f t="shared" si="135"/>
        <v>3.550837511284044E-2</v>
      </c>
      <c r="AC590" s="36">
        <v>0.125</v>
      </c>
      <c r="AL590" t="str">
        <f t="shared" si="136"/>
        <v>TPA Approval Delay</v>
      </c>
      <c r="AM590" t="str">
        <f t="shared" si="137"/>
        <v>No</v>
      </c>
      <c r="AN590" t="str">
        <f t="shared" si="138"/>
        <v>Elective</v>
      </c>
      <c r="AO590" t="str">
        <f t="shared" si="139"/>
        <v>General Ward</v>
      </c>
    </row>
    <row r="591" spans="1:41" x14ac:dyDescent="0.3">
      <c r="A591" s="21" t="str">
        <f t="shared" si="132"/>
        <v>UHID-00590</v>
      </c>
      <c r="B591" s="18">
        <v>58</v>
      </c>
      <c r="C591" s="10" t="s">
        <v>18</v>
      </c>
      <c r="D591" s="13" t="s">
        <v>28</v>
      </c>
      <c r="E591" s="13" t="s">
        <v>4</v>
      </c>
      <c r="F591" s="15">
        <v>46180.753903483797</v>
      </c>
      <c r="G591" s="4">
        <v>46180</v>
      </c>
      <c r="H591" s="1">
        <v>46184.675080023102</v>
      </c>
      <c r="I591" s="22">
        <v>46184</v>
      </c>
      <c r="J591" s="24">
        <f t="shared" si="126"/>
        <v>46184.561478876873</v>
      </c>
      <c r="K591" s="24">
        <f t="shared" si="127"/>
        <v>0.67508002310205484</v>
      </c>
      <c r="L591" s="29">
        <f t="shared" si="133"/>
        <v>46183</v>
      </c>
      <c r="M591" s="27" t="str">
        <f t="shared" si="128"/>
        <v>Doctor Round Delay/Report Delay</v>
      </c>
      <c r="N591" s="31">
        <f t="shared" si="129"/>
        <v>4</v>
      </c>
      <c r="O591" s="27"/>
      <c r="Q591" s="8">
        <v>0.92572039484251667</v>
      </c>
      <c r="R591" s="8" t="str">
        <f t="shared" si="130"/>
        <v>Minor Delay</v>
      </c>
      <c r="S591" s="33">
        <v>2.7264275094506529</v>
      </c>
      <c r="T591" t="s">
        <v>31</v>
      </c>
      <c r="U591" s="3">
        <v>0</v>
      </c>
      <c r="V591" s="3" t="str">
        <f t="shared" si="134"/>
        <v>Normal</v>
      </c>
      <c r="W591" s="3" t="s">
        <v>51</v>
      </c>
      <c r="X591" s="32">
        <f t="shared" si="131"/>
        <v>0.11360114622948458</v>
      </c>
      <c r="Z591" s="38">
        <f t="shared" si="135"/>
        <v>0</v>
      </c>
      <c r="AC591" s="36">
        <v>0.125</v>
      </c>
      <c r="AL591" t="str">
        <f t="shared" si="136"/>
        <v>Doctor Round Delay/Report Delay</v>
      </c>
      <c r="AM591" t="str">
        <f t="shared" si="137"/>
        <v>No</v>
      </c>
      <c r="AN591" t="str">
        <f t="shared" si="138"/>
        <v>Elective</v>
      </c>
      <c r="AO591" t="str">
        <f t="shared" si="139"/>
        <v>HDU</v>
      </c>
    </row>
    <row r="592" spans="1:41" x14ac:dyDescent="0.3">
      <c r="A592" s="21" t="str">
        <f t="shared" si="132"/>
        <v>UHID-00591</v>
      </c>
      <c r="B592" s="18">
        <v>63</v>
      </c>
      <c r="C592" s="10" t="s">
        <v>18</v>
      </c>
      <c r="D592" s="13" t="s">
        <v>26</v>
      </c>
      <c r="E592" s="13" t="s">
        <v>4</v>
      </c>
      <c r="F592" s="15">
        <v>46184.608294583297</v>
      </c>
      <c r="G592" s="4">
        <v>46184</v>
      </c>
      <c r="H592" s="1">
        <v>46184.7867785532</v>
      </c>
      <c r="I592" s="22">
        <v>46184</v>
      </c>
      <c r="J592" s="24">
        <f t="shared" si="126"/>
        <v>46184.537553272952</v>
      </c>
      <c r="K592" s="24">
        <f t="shared" si="127"/>
        <v>0.78677855319983792</v>
      </c>
      <c r="L592" s="29">
        <f t="shared" si="133"/>
        <v>46183</v>
      </c>
      <c r="M592" s="27" t="str">
        <f t="shared" si="128"/>
        <v>Health Deterioration/TPA Approval Delay</v>
      </c>
      <c r="N592" s="31">
        <f t="shared" si="129"/>
        <v>0</v>
      </c>
      <c r="O592" s="27"/>
      <c r="Q592" s="8">
        <v>0.71927827248681708</v>
      </c>
      <c r="R592" s="8" t="str">
        <f t="shared" si="130"/>
        <v>Critical Delay</v>
      </c>
      <c r="S592" s="33">
        <v>3.981406726003561</v>
      </c>
      <c r="T592" t="s">
        <v>31</v>
      </c>
      <c r="U592" s="3">
        <v>2</v>
      </c>
      <c r="V592" s="3" t="str">
        <f t="shared" si="134"/>
        <v>Normal</v>
      </c>
      <c r="W592" s="3" t="s">
        <v>50</v>
      </c>
      <c r="X592" s="32">
        <f t="shared" si="131"/>
        <v>0.24922528024762869</v>
      </c>
      <c r="Z592" s="38">
        <f t="shared" si="135"/>
        <v>0.12422528024762869</v>
      </c>
      <c r="AC592" s="36">
        <v>0.125</v>
      </c>
      <c r="AL592" t="str">
        <f t="shared" si="136"/>
        <v>Health Deterioration/TPA Approval Delay</v>
      </c>
      <c r="AM592" t="str">
        <f t="shared" si="137"/>
        <v>No</v>
      </c>
      <c r="AN592" t="str">
        <f t="shared" si="138"/>
        <v>Emergency</v>
      </c>
      <c r="AO592" t="str">
        <f t="shared" si="139"/>
        <v>General Ward</v>
      </c>
    </row>
    <row r="593" spans="1:41" x14ac:dyDescent="0.3">
      <c r="A593" s="21" t="str">
        <f t="shared" si="132"/>
        <v>UHID-00592</v>
      </c>
      <c r="B593" s="18">
        <v>74</v>
      </c>
      <c r="C593" s="10" t="s">
        <v>18</v>
      </c>
      <c r="D593" s="13" t="s">
        <v>27</v>
      </c>
      <c r="E593" s="13" t="s">
        <v>4</v>
      </c>
      <c r="F593" s="15">
        <v>46180.8362575926</v>
      </c>
      <c r="G593" s="4">
        <v>46180</v>
      </c>
      <c r="H593" s="1">
        <v>46185.482684120398</v>
      </c>
      <c r="I593" s="22">
        <v>46185</v>
      </c>
      <c r="J593" s="24">
        <f t="shared" si="126"/>
        <v>46185.422143050891</v>
      </c>
      <c r="K593" s="24">
        <f t="shared" si="127"/>
        <v>0.48268412039760733</v>
      </c>
      <c r="L593" s="29">
        <f t="shared" si="133"/>
        <v>46184</v>
      </c>
      <c r="M593" s="27" t="str">
        <f t="shared" si="128"/>
        <v>Normal</v>
      </c>
      <c r="N593" s="31">
        <f t="shared" si="129"/>
        <v>5</v>
      </c>
      <c r="O593" s="27"/>
      <c r="Q593" s="8">
        <v>0.11498935018804746</v>
      </c>
      <c r="R593" s="8" t="str">
        <f t="shared" si="130"/>
        <v>On Time</v>
      </c>
      <c r="S593" s="33">
        <v>1.4529856681814284</v>
      </c>
      <c r="T593" t="s">
        <v>30</v>
      </c>
      <c r="U593" s="3">
        <v>0</v>
      </c>
      <c r="V593" s="3" t="str">
        <f t="shared" si="134"/>
        <v/>
      </c>
      <c r="W593" s="3" t="s">
        <v>51</v>
      </c>
      <c r="X593" s="32">
        <f t="shared" si="131"/>
        <v>6.0541069506143685E-2</v>
      </c>
      <c r="Z593" s="38">
        <f t="shared" si="135"/>
        <v>0</v>
      </c>
      <c r="AC593" s="36">
        <v>0.125</v>
      </c>
      <c r="AL593" t="str">
        <f t="shared" si="136"/>
        <v>Normal</v>
      </c>
      <c r="AM593" t="str">
        <f t="shared" si="137"/>
        <v>No</v>
      </c>
      <c r="AN593" t="str">
        <f t="shared" si="138"/>
        <v>Elective</v>
      </c>
      <c r="AO593" t="str">
        <f t="shared" si="139"/>
        <v>HDU</v>
      </c>
    </row>
    <row r="594" spans="1:41" x14ac:dyDescent="0.3">
      <c r="A594" s="21" t="str">
        <f t="shared" si="132"/>
        <v>UHID-00593</v>
      </c>
      <c r="B594" s="18">
        <v>53</v>
      </c>
      <c r="C594" s="10" t="s">
        <v>18</v>
      </c>
      <c r="D594" s="13" t="s">
        <v>27</v>
      </c>
      <c r="E594" s="13" t="s">
        <v>4</v>
      </c>
      <c r="F594" s="15">
        <v>46182.7910171412</v>
      </c>
      <c r="G594" s="4">
        <v>46182</v>
      </c>
      <c r="H594" s="1">
        <v>46185.544546863399</v>
      </c>
      <c r="I594" s="22">
        <v>46185</v>
      </c>
      <c r="J594" s="24">
        <f t="shared" si="126"/>
        <v>46185.50110382308</v>
      </c>
      <c r="K594" s="24">
        <f t="shared" si="127"/>
        <v>0.54454686339886393</v>
      </c>
      <c r="L594" s="29">
        <f t="shared" si="133"/>
        <v>46184</v>
      </c>
      <c r="M594" s="27" t="str">
        <f t="shared" si="128"/>
        <v>Normal</v>
      </c>
      <c r="N594" s="31">
        <f t="shared" si="129"/>
        <v>3</v>
      </c>
      <c r="O594" s="27"/>
      <c r="Q594" s="8">
        <v>0.4609614818489931</v>
      </c>
      <c r="R594" s="8" t="str">
        <f t="shared" si="130"/>
        <v>On Time</v>
      </c>
      <c r="S594" s="33">
        <v>1.0426329676271184</v>
      </c>
      <c r="T594" t="s">
        <v>31</v>
      </c>
      <c r="U594" s="3">
        <v>0</v>
      </c>
      <c r="V594" s="3" t="str">
        <f t="shared" si="134"/>
        <v>Normal</v>
      </c>
      <c r="W594" s="3" t="s">
        <v>51</v>
      </c>
      <c r="X594" s="32">
        <f t="shared" si="131"/>
        <v>4.3443040318379644E-2</v>
      </c>
      <c r="Z594" s="38">
        <f t="shared" si="135"/>
        <v>0</v>
      </c>
      <c r="AC594" s="36">
        <v>0.125</v>
      </c>
      <c r="AL594" t="str">
        <f t="shared" si="136"/>
        <v>Normal</v>
      </c>
      <c r="AM594" t="str">
        <f t="shared" si="137"/>
        <v>No</v>
      </c>
      <c r="AN594" t="str">
        <f t="shared" si="138"/>
        <v>Elective</v>
      </c>
      <c r="AO594" t="str">
        <f t="shared" si="139"/>
        <v>General Ward</v>
      </c>
    </row>
    <row r="595" spans="1:41" x14ac:dyDescent="0.3">
      <c r="A595" s="21" t="str">
        <f t="shared" si="132"/>
        <v>UHID-00594</v>
      </c>
      <c r="B595" s="18">
        <v>38</v>
      </c>
      <c r="C595" s="10" t="s">
        <v>17</v>
      </c>
      <c r="D595" s="13" t="s">
        <v>27</v>
      </c>
      <c r="E595" s="13" t="s">
        <v>4</v>
      </c>
      <c r="F595" s="15">
        <v>46183.802227280103</v>
      </c>
      <c r="G595" s="4">
        <v>46183</v>
      </c>
      <c r="H595" s="1">
        <v>46185.614011319398</v>
      </c>
      <c r="I595" s="22">
        <v>46185</v>
      </c>
      <c r="J595" s="24">
        <f t="shared" si="126"/>
        <v>46185.571537923191</v>
      </c>
      <c r="K595" s="24">
        <f t="shared" si="127"/>
        <v>0.61401131939783227</v>
      </c>
      <c r="L595" s="29">
        <f t="shared" si="133"/>
        <v>46184</v>
      </c>
      <c r="M595" s="27" t="str">
        <f t="shared" si="128"/>
        <v>Normal</v>
      </c>
      <c r="N595" s="31">
        <f t="shared" si="129"/>
        <v>2</v>
      </c>
      <c r="O595" s="27"/>
      <c r="Q595" s="8">
        <v>5.1382217371874983E-2</v>
      </c>
      <c r="R595" s="8" t="str">
        <f t="shared" si="130"/>
        <v>On Time</v>
      </c>
      <c r="S595" s="33">
        <v>1.0193615089166597</v>
      </c>
      <c r="T595" t="s">
        <v>30</v>
      </c>
      <c r="U595" s="3">
        <v>0</v>
      </c>
      <c r="V595" s="3" t="str">
        <f t="shared" si="134"/>
        <v/>
      </c>
      <c r="W595" s="3" t="s">
        <v>51</v>
      </c>
      <c r="X595" s="32">
        <f t="shared" si="131"/>
        <v>4.2473396206332836E-2</v>
      </c>
      <c r="Z595" s="38">
        <f t="shared" si="135"/>
        <v>0</v>
      </c>
      <c r="AC595" s="36">
        <v>0.125</v>
      </c>
      <c r="AL595" t="str">
        <f t="shared" si="136"/>
        <v>Normal</v>
      </c>
      <c r="AM595" t="str">
        <f t="shared" si="137"/>
        <v>No</v>
      </c>
      <c r="AN595" t="str">
        <f t="shared" si="138"/>
        <v>Elective</v>
      </c>
      <c r="AO595" t="str">
        <f t="shared" si="139"/>
        <v>General Ward</v>
      </c>
    </row>
    <row r="596" spans="1:41" x14ac:dyDescent="0.3">
      <c r="A596" s="21" t="str">
        <f t="shared" si="132"/>
        <v>UHID-00595</v>
      </c>
      <c r="B596" s="18">
        <v>29</v>
      </c>
      <c r="C596" s="10" t="s">
        <v>17</v>
      </c>
      <c r="D596" s="13" t="s">
        <v>27</v>
      </c>
      <c r="E596" s="13" t="s">
        <v>4</v>
      </c>
      <c r="F596" s="15">
        <v>46183.942491608803</v>
      </c>
      <c r="G596" s="4">
        <v>46183</v>
      </c>
      <c r="H596" s="1">
        <v>46185.495895231499</v>
      </c>
      <c r="I596" s="22">
        <v>46185</v>
      </c>
      <c r="J596" s="24">
        <f t="shared" si="126"/>
        <v>46185.417215175075</v>
      </c>
      <c r="K596" s="24">
        <f t="shared" si="127"/>
        <v>0.49589523149916204</v>
      </c>
      <c r="L596" s="29">
        <f t="shared" si="133"/>
        <v>46184</v>
      </c>
      <c r="M596" s="27" t="str">
        <f t="shared" si="128"/>
        <v>Normal</v>
      </c>
      <c r="N596" s="31">
        <f t="shared" si="129"/>
        <v>2</v>
      </c>
      <c r="O596" s="27"/>
      <c r="Q596" s="8">
        <v>0.16033858780404031</v>
      </c>
      <c r="R596" s="8" t="str">
        <f t="shared" si="130"/>
        <v>On Time</v>
      </c>
      <c r="S596" s="33">
        <v>1.8883213540959174</v>
      </c>
      <c r="T596" t="s">
        <v>30</v>
      </c>
      <c r="U596" s="3">
        <v>0</v>
      </c>
      <c r="V596" s="3" t="str">
        <f t="shared" si="134"/>
        <v/>
      </c>
      <c r="W596" s="3" t="s">
        <v>51</v>
      </c>
      <c r="X596" s="32">
        <f t="shared" si="131"/>
        <v>7.8680056423763745E-2</v>
      </c>
      <c r="Z596" s="38">
        <f t="shared" si="135"/>
        <v>0</v>
      </c>
      <c r="AC596" s="36">
        <v>0.125</v>
      </c>
      <c r="AL596" t="str">
        <f t="shared" si="136"/>
        <v>Normal</v>
      </c>
      <c r="AM596" t="str">
        <f t="shared" si="137"/>
        <v>No</v>
      </c>
      <c r="AN596" t="str">
        <f t="shared" si="138"/>
        <v>Elective</v>
      </c>
      <c r="AO596" t="str">
        <f t="shared" si="139"/>
        <v>General Ward</v>
      </c>
    </row>
    <row r="597" spans="1:41" x14ac:dyDescent="0.3">
      <c r="A597" s="21" t="str">
        <f t="shared" si="132"/>
        <v>UHID-00596</v>
      </c>
      <c r="B597" s="18">
        <v>32</v>
      </c>
      <c r="C597" s="10" t="s">
        <v>17</v>
      </c>
      <c r="D597" s="13" t="s">
        <v>27</v>
      </c>
      <c r="E597" s="13" t="s">
        <v>4</v>
      </c>
      <c r="F597" s="15">
        <v>46182.8062743056</v>
      </c>
      <c r="G597" s="4">
        <v>46182</v>
      </c>
      <c r="H597" s="1">
        <v>46184.568826030103</v>
      </c>
      <c r="I597" s="22">
        <v>46184</v>
      </c>
      <c r="J597" s="24">
        <f t="shared" si="126"/>
        <v>46184.516558433003</v>
      </c>
      <c r="K597" s="24">
        <f t="shared" si="127"/>
        <v>0.5688260301030823</v>
      </c>
      <c r="L597" s="29">
        <f t="shared" si="133"/>
        <v>46183</v>
      </c>
      <c r="M597" s="27" t="str">
        <f t="shared" si="128"/>
        <v>Normal</v>
      </c>
      <c r="N597" s="31">
        <f t="shared" si="129"/>
        <v>2</v>
      </c>
      <c r="O597" s="27"/>
      <c r="Q597" s="8">
        <v>0.12131485818537924</v>
      </c>
      <c r="R597" s="8" t="str">
        <f t="shared" si="130"/>
        <v>On Time</v>
      </c>
      <c r="S597" s="33">
        <v>1.2544223304494384</v>
      </c>
      <c r="T597" t="s">
        <v>30</v>
      </c>
      <c r="U597" s="3">
        <v>0</v>
      </c>
      <c r="V597" s="3" t="str">
        <f t="shared" si="134"/>
        <v/>
      </c>
      <c r="W597" s="3" t="s">
        <v>51</v>
      </c>
      <c r="X597" s="32">
        <f t="shared" si="131"/>
        <v>5.2267597100581042E-2</v>
      </c>
      <c r="Z597" s="38">
        <f t="shared" si="135"/>
        <v>0</v>
      </c>
      <c r="AC597" s="36">
        <v>0.125</v>
      </c>
      <c r="AL597" t="str">
        <f t="shared" si="136"/>
        <v>Normal</v>
      </c>
      <c r="AM597" t="str">
        <f t="shared" si="137"/>
        <v>No</v>
      </c>
      <c r="AN597" t="str">
        <f t="shared" si="138"/>
        <v>Elective</v>
      </c>
      <c r="AO597" t="str">
        <f t="shared" si="139"/>
        <v>General Ward</v>
      </c>
    </row>
    <row r="598" spans="1:41" x14ac:dyDescent="0.3">
      <c r="A598" s="21" t="str">
        <f t="shared" si="132"/>
        <v>UHID-00597</v>
      </c>
      <c r="B598" s="18">
        <v>28</v>
      </c>
      <c r="C598" s="10" t="s">
        <v>17</v>
      </c>
      <c r="D598" s="13" t="s">
        <v>26</v>
      </c>
      <c r="E598" s="13" t="s">
        <v>4</v>
      </c>
      <c r="F598" s="15">
        <v>46182.931609213003</v>
      </c>
      <c r="G598" s="4">
        <v>46182</v>
      </c>
      <c r="H598" s="1">
        <v>46185.228552488399</v>
      </c>
      <c r="I598" s="22">
        <v>46185</v>
      </c>
      <c r="J598" s="24">
        <f t="shared" si="126"/>
        <v>46185.100659572963</v>
      </c>
      <c r="K598" s="24">
        <f t="shared" si="127"/>
        <v>0.22855248839914566</v>
      </c>
      <c r="L598" s="29">
        <f t="shared" si="133"/>
        <v>46184</v>
      </c>
      <c r="M598" s="27" t="str">
        <f t="shared" si="128"/>
        <v>TPA Approval Delay</v>
      </c>
      <c r="N598" s="31">
        <f t="shared" si="129"/>
        <v>3</v>
      </c>
      <c r="O598" s="27"/>
      <c r="Q598" s="8">
        <v>0.64304602573477143</v>
      </c>
      <c r="R598" s="8" t="str">
        <f t="shared" si="130"/>
        <v>Major Delay</v>
      </c>
      <c r="S598" s="33">
        <v>3.0694299704930512</v>
      </c>
      <c r="T598" t="s">
        <v>31</v>
      </c>
      <c r="U598" s="3">
        <v>0</v>
      </c>
      <c r="V598" s="3" t="str">
        <f t="shared" si="134"/>
        <v>Normal</v>
      </c>
      <c r="W598" s="3" t="s">
        <v>51</v>
      </c>
      <c r="X598" s="32">
        <f t="shared" si="131"/>
        <v>0.12789291543595027</v>
      </c>
      <c r="Z598" s="38">
        <f t="shared" si="135"/>
        <v>2.8929154359502718E-3</v>
      </c>
      <c r="AC598" s="36">
        <v>0.125</v>
      </c>
      <c r="AL598" t="str">
        <f t="shared" si="136"/>
        <v>TPA Approval Delay</v>
      </c>
      <c r="AM598" t="str">
        <f t="shared" si="137"/>
        <v>No</v>
      </c>
      <c r="AN598" t="str">
        <f t="shared" si="138"/>
        <v>Elective</v>
      </c>
      <c r="AO598" t="str">
        <f t="shared" si="139"/>
        <v>General Ward</v>
      </c>
    </row>
    <row r="599" spans="1:41" x14ac:dyDescent="0.3">
      <c r="A599" s="21" t="str">
        <f t="shared" si="132"/>
        <v>UHID-00598</v>
      </c>
      <c r="B599" s="18">
        <v>55</v>
      </c>
      <c r="C599" s="10" t="s">
        <v>17</v>
      </c>
      <c r="D599" s="13" t="s">
        <v>26</v>
      </c>
      <c r="E599" s="13" t="s">
        <v>4</v>
      </c>
      <c r="F599" s="15">
        <v>46178.847036006897</v>
      </c>
      <c r="G599" s="4">
        <v>46178</v>
      </c>
      <c r="H599" s="1">
        <v>46185.473321365702</v>
      </c>
      <c r="I599" s="22">
        <v>46185</v>
      </c>
      <c r="J599" s="24">
        <f t="shared" si="126"/>
        <v>46185.333203080823</v>
      </c>
      <c r="K599" s="24">
        <f t="shared" si="127"/>
        <v>0.47332136570184957</v>
      </c>
      <c r="L599" s="29">
        <f t="shared" si="133"/>
        <v>46184</v>
      </c>
      <c r="M599" s="27" t="str">
        <f t="shared" si="128"/>
        <v>TPA Approval Delay</v>
      </c>
      <c r="N599" s="31">
        <f t="shared" si="129"/>
        <v>7</v>
      </c>
      <c r="O599" s="27"/>
      <c r="Q599" s="8">
        <v>0.59554358303503263</v>
      </c>
      <c r="R599" s="8" t="str">
        <f t="shared" si="130"/>
        <v>Major Delay</v>
      </c>
      <c r="S599" s="33">
        <v>3.3628388371358287</v>
      </c>
      <c r="T599" t="s">
        <v>31</v>
      </c>
      <c r="U599" s="3">
        <v>0</v>
      </c>
      <c r="V599" s="3" t="str">
        <f t="shared" si="134"/>
        <v>Normal</v>
      </c>
      <c r="W599" s="3" t="s">
        <v>51</v>
      </c>
      <c r="X599" s="32">
        <f t="shared" si="131"/>
        <v>0.14011828487855382</v>
      </c>
      <c r="Z599" s="38">
        <f t="shared" si="135"/>
        <v>1.5118284878553823E-2</v>
      </c>
      <c r="AC599" s="36">
        <v>0.125</v>
      </c>
      <c r="AL599" t="str">
        <f t="shared" si="136"/>
        <v>TPA Approval Delay</v>
      </c>
      <c r="AM599" t="str">
        <f t="shared" si="137"/>
        <v>No</v>
      </c>
      <c r="AN599" t="str">
        <f t="shared" si="138"/>
        <v>Emergency</v>
      </c>
      <c r="AO599" t="str">
        <f t="shared" si="139"/>
        <v>ICU</v>
      </c>
    </row>
    <row r="600" spans="1:41" x14ac:dyDescent="0.3">
      <c r="A600" s="21" t="str">
        <f t="shared" si="132"/>
        <v>UHID-00599</v>
      </c>
      <c r="B600" s="18">
        <v>28</v>
      </c>
      <c r="C600" s="10" t="s">
        <v>17</v>
      </c>
      <c r="D600" s="13" t="s">
        <v>26</v>
      </c>
      <c r="E600" s="13" t="s">
        <v>4</v>
      </c>
      <c r="F600" s="15">
        <v>46185.440327951401</v>
      </c>
      <c r="G600" s="4">
        <v>46185</v>
      </c>
      <c r="H600" s="1">
        <v>46185.652840219896</v>
      </c>
      <c r="I600" s="22">
        <v>46185</v>
      </c>
      <c r="J600" s="24">
        <f t="shared" si="126"/>
        <v>46185.521042290726</v>
      </c>
      <c r="K600" s="24">
        <f t="shared" si="127"/>
        <v>0.65284021989646135</v>
      </c>
      <c r="L600" s="29">
        <f t="shared" si="133"/>
        <v>46184</v>
      </c>
      <c r="M600" s="27" t="str">
        <f t="shared" si="128"/>
        <v>TPA Approval Delay</v>
      </c>
      <c r="N600" s="31">
        <f t="shared" si="129"/>
        <v>0</v>
      </c>
      <c r="O600" s="27"/>
      <c r="Q600" s="8">
        <v>0.57767110384570908</v>
      </c>
      <c r="R600" s="8" t="str">
        <f t="shared" si="130"/>
        <v>Major Delay</v>
      </c>
      <c r="S600" s="33">
        <v>3.1631503000872723</v>
      </c>
      <c r="T600" t="s">
        <v>31</v>
      </c>
      <c r="U600" s="3">
        <v>0</v>
      </c>
      <c r="V600" s="3" t="str">
        <f t="shared" si="134"/>
        <v>Normal</v>
      </c>
      <c r="W600" s="3" t="s">
        <v>51</v>
      </c>
      <c r="X600" s="32">
        <f t="shared" si="131"/>
        <v>0.13179792917071609</v>
      </c>
      <c r="Z600" s="38">
        <f t="shared" si="135"/>
        <v>6.7979291707160883E-3</v>
      </c>
      <c r="AC600" s="36">
        <v>0.125</v>
      </c>
      <c r="AL600" t="str">
        <f t="shared" si="136"/>
        <v>TPA Approval Delay</v>
      </c>
      <c r="AM600" t="str">
        <f t="shared" si="137"/>
        <v>No</v>
      </c>
      <c r="AN600" t="str">
        <f t="shared" si="138"/>
        <v>Elective</v>
      </c>
      <c r="AO600" t="str">
        <f t="shared" si="139"/>
        <v>General Ward</v>
      </c>
    </row>
    <row r="601" spans="1:41" x14ac:dyDescent="0.3">
      <c r="A601" s="21" t="str">
        <f t="shared" si="132"/>
        <v>UHID-00600</v>
      </c>
      <c r="B601" s="18">
        <v>49</v>
      </c>
      <c r="C601" s="10" t="s">
        <v>18</v>
      </c>
      <c r="D601" s="13" t="s">
        <v>28</v>
      </c>
      <c r="E601" s="13" t="s">
        <v>4</v>
      </c>
      <c r="F601" s="15">
        <v>46185.631062847198</v>
      </c>
      <c r="G601" s="4">
        <v>46185</v>
      </c>
      <c r="H601" s="1">
        <v>46185.843101851897</v>
      </c>
      <c r="I601" s="22">
        <v>46185</v>
      </c>
      <c r="J601" s="24">
        <f t="shared" si="126"/>
        <v>46185.658851274566</v>
      </c>
      <c r="K601" s="24">
        <f t="shared" si="127"/>
        <v>0.84310185189679032</v>
      </c>
      <c r="L601" s="29">
        <f t="shared" si="133"/>
        <v>46184</v>
      </c>
      <c r="M601" s="27" t="str">
        <f t="shared" si="128"/>
        <v>Medication Change</v>
      </c>
      <c r="N601" s="31">
        <f t="shared" si="129"/>
        <v>0</v>
      </c>
      <c r="O601" s="27"/>
      <c r="Q601" s="8">
        <v>0.88259705446854364</v>
      </c>
      <c r="R601" s="8" t="str">
        <f t="shared" si="130"/>
        <v>Major Delay</v>
      </c>
      <c r="S601" s="33">
        <v>2.4220138558601771</v>
      </c>
      <c r="T601" t="s">
        <v>31</v>
      </c>
      <c r="U601" s="3">
        <v>2</v>
      </c>
      <c r="V601" s="3" t="str">
        <f t="shared" si="134"/>
        <v>Normal</v>
      </c>
      <c r="W601" s="3" t="s">
        <v>50</v>
      </c>
      <c r="X601" s="32">
        <f t="shared" si="131"/>
        <v>0.18425057733111316</v>
      </c>
      <c r="Z601" s="38">
        <f t="shared" si="135"/>
        <v>5.9250577331113163E-2</v>
      </c>
      <c r="AC601" s="36">
        <v>0.125</v>
      </c>
      <c r="AL601" t="str">
        <f t="shared" si="136"/>
        <v>Medication Change</v>
      </c>
      <c r="AM601" t="str">
        <f t="shared" si="137"/>
        <v>No</v>
      </c>
      <c r="AN601" t="str">
        <f t="shared" si="138"/>
        <v>Emergency</v>
      </c>
      <c r="AO601" t="str">
        <f t="shared" si="139"/>
        <v>General Ward</v>
      </c>
    </row>
    <row r="602" spans="1:41" x14ac:dyDescent="0.3">
      <c r="A602" s="21" t="str">
        <f t="shared" si="132"/>
        <v>UHID-00601</v>
      </c>
      <c r="B602" s="18">
        <v>77</v>
      </c>
      <c r="C602" s="10" t="s">
        <v>17</v>
      </c>
      <c r="D602" s="13" t="s">
        <v>27</v>
      </c>
      <c r="E602" s="13" t="s">
        <v>4</v>
      </c>
      <c r="F602" s="15">
        <v>46181.863758518499</v>
      </c>
      <c r="G602" s="4">
        <v>46181</v>
      </c>
      <c r="H602" s="1">
        <v>46186.514202615697</v>
      </c>
      <c r="I602" s="22">
        <v>46186</v>
      </c>
      <c r="J602" s="24">
        <f t="shared" si="126"/>
        <v>46186.318140438161</v>
      </c>
      <c r="K602" s="24">
        <f t="shared" si="127"/>
        <v>0.51420261569728609</v>
      </c>
      <c r="L602" s="29">
        <f t="shared" si="133"/>
        <v>46185</v>
      </c>
      <c r="M602" s="27" t="str">
        <f t="shared" si="128"/>
        <v>Medication Change</v>
      </c>
      <c r="N602" s="31">
        <f t="shared" si="129"/>
        <v>5</v>
      </c>
      <c r="O602" s="27"/>
      <c r="Q602" s="8">
        <v>0.18959029710589337</v>
      </c>
      <c r="R602" s="8" t="str">
        <f t="shared" si="130"/>
        <v>Major Delay</v>
      </c>
      <c r="S602" s="33">
        <v>1.705492260841317</v>
      </c>
      <c r="T602" t="s">
        <v>30</v>
      </c>
      <c r="U602" s="3">
        <v>3</v>
      </c>
      <c r="V602" s="3" t="str">
        <f t="shared" si="134"/>
        <v/>
      </c>
      <c r="W602" s="3" t="s">
        <v>50</v>
      </c>
      <c r="X602" s="32">
        <f t="shared" si="131"/>
        <v>0.1960621775360778</v>
      </c>
      <c r="Z602" s="38">
        <f t="shared" si="135"/>
        <v>7.1062177536077797E-2</v>
      </c>
      <c r="AC602" s="36">
        <v>0.125</v>
      </c>
      <c r="AL602" t="str">
        <f t="shared" si="136"/>
        <v>Medication Change</v>
      </c>
      <c r="AM602" t="str">
        <f t="shared" si="137"/>
        <v>No</v>
      </c>
      <c r="AN602" t="str">
        <f t="shared" si="138"/>
        <v>Elective</v>
      </c>
      <c r="AO602" t="str">
        <f t="shared" si="139"/>
        <v>HDU</v>
      </c>
    </row>
    <row r="603" spans="1:41" x14ac:dyDescent="0.3">
      <c r="A603" s="21" t="str">
        <f t="shared" si="132"/>
        <v>UHID-00602</v>
      </c>
      <c r="B603" s="18">
        <v>37</v>
      </c>
      <c r="C603" s="10" t="s">
        <v>17</v>
      </c>
      <c r="D603" s="13" t="s">
        <v>27</v>
      </c>
      <c r="E603" s="13" t="s">
        <v>4</v>
      </c>
      <c r="F603" s="15">
        <v>46185.365996736102</v>
      </c>
      <c r="G603" s="4">
        <v>46185</v>
      </c>
      <c r="H603" s="1">
        <v>46186.703468425898</v>
      </c>
      <c r="I603" s="22">
        <v>46186</v>
      </c>
      <c r="J603" s="24">
        <f t="shared" si="126"/>
        <v>46186.637984135086</v>
      </c>
      <c r="K603" s="24">
        <f t="shared" si="127"/>
        <v>0.70346842589788139</v>
      </c>
      <c r="L603" s="29">
        <f t="shared" si="133"/>
        <v>46185</v>
      </c>
      <c r="M603" s="27" t="str">
        <f t="shared" si="128"/>
        <v>Normal</v>
      </c>
      <c r="N603" s="31">
        <f t="shared" si="129"/>
        <v>1</v>
      </c>
      <c r="O603" s="27"/>
      <c r="Q603" s="8">
        <v>7.9130005365438683E-3</v>
      </c>
      <c r="R603" s="8" t="str">
        <f t="shared" si="130"/>
        <v>On Time</v>
      </c>
      <c r="S603" s="33">
        <v>1.571622979502703</v>
      </c>
      <c r="T603" t="s">
        <v>30</v>
      </c>
      <c r="U603" s="3">
        <v>0</v>
      </c>
      <c r="V603" s="3" t="str">
        <f t="shared" si="134"/>
        <v/>
      </c>
      <c r="W603" s="3" t="s">
        <v>51</v>
      </c>
      <c r="X603" s="32">
        <f t="shared" si="131"/>
        <v>6.5484290811582468E-2</v>
      </c>
      <c r="Z603" s="38">
        <f t="shared" si="135"/>
        <v>0</v>
      </c>
      <c r="AC603" s="36">
        <v>0.125</v>
      </c>
      <c r="AL603" t="str">
        <f t="shared" si="136"/>
        <v>Normal</v>
      </c>
      <c r="AM603" t="str">
        <f t="shared" si="137"/>
        <v>No</v>
      </c>
      <c r="AN603" t="str">
        <f t="shared" si="138"/>
        <v>Elective</v>
      </c>
      <c r="AO603" t="str">
        <f t="shared" si="139"/>
        <v>General Ward</v>
      </c>
    </row>
    <row r="604" spans="1:41" x14ac:dyDescent="0.3">
      <c r="A604" s="21" t="str">
        <f t="shared" si="132"/>
        <v>UHID-00603</v>
      </c>
      <c r="B604" s="18">
        <v>56</v>
      </c>
      <c r="C604" s="10" t="s">
        <v>18</v>
      </c>
      <c r="D604" s="13" t="s">
        <v>26</v>
      </c>
      <c r="E604" s="13" t="s">
        <v>4</v>
      </c>
      <c r="F604" s="15">
        <v>46183.7167959375</v>
      </c>
      <c r="G604" s="4">
        <v>46183</v>
      </c>
      <c r="H604" s="1">
        <v>46186.457765173604</v>
      </c>
      <c r="I604" s="22">
        <v>46186</v>
      </c>
      <c r="J604" s="24">
        <f t="shared" si="126"/>
        <v>46185.904709219772</v>
      </c>
      <c r="K604" s="24">
        <f t="shared" si="127"/>
        <v>0.45776517360354774</v>
      </c>
      <c r="L604" s="29">
        <f t="shared" si="133"/>
        <v>46185</v>
      </c>
      <c r="M604" s="27" t="str">
        <f t="shared" si="128"/>
        <v>Health Deterioration/TPA Approval Delay</v>
      </c>
      <c r="N604" s="31">
        <f t="shared" si="129"/>
        <v>3</v>
      </c>
      <c r="O604" s="27"/>
      <c r="Q604" s="8">
        <v>0.69325826911006383</v>
      </c>
      <c r="R604" s="8" t="str">
        <f t="shared" si="130"/>
        <v>Critical Delay</v>
      </c>
      <c r="S604" s="33">
        <v>3.2733428919544885</v>
      </c>
      <c r="T604" t="s">
        <v>31</v>
      </c>
      <c r="U604" s="3">
        <v>10</v>
      </c>
      <c r="V604" s="3" t="str">
        <f t="shared" si="134"/>
        <v>Normal</v>
      </c>
      <c r="W604" s="3" t="s">
        <v>52</v>
      </c>
      <c r="X604" s="32">
        <f t="shared" si="131"/>
        <v>0.55305595383106265</v>
      </c>
      <c r="Z604" s="38">
        <f t="shared" si="135"/>
        <v>0.42805595383106265</v>
      </c>
      <c r="AC604" s="36">
        <v>0.125</v>
      </c>
      <c r="AL604" t="str">
        <f t="shared" si="136"/>
        <v>Health Deterioration/TPA Approval Delay</v>
      </c>
      <c r="AM604" t="str">
        <f t="shared" si="137"/>
        <v>No</v>
      </c>
      <c r="AN604" t="str">
        <f t="shared" si="138"/>
        <v>Emergency</v>
      </c>
      <c r="AO604" t="str">
        <f t="shared" si="139"/>
        <v>General Ward</v>
      </c>
    </row>
    <row r="605" spans="1:41" x14ac:dyDescent="0.3">
      <c r="A605" s="21" t="str">
        <f t="shared" si="132"/>
        <v>UHID-00604</v>
      </c>
      <c r="B605" s="18">
        <v>40</v>
      </c>
      <c r="C605" s="10" t="s">
        <v>18</v>
      </c>
      <c r="D605" s="13" t="s">
        <v>27</v>
      </c>
      <c r="E605" s="13" t="s">
        <v>4</v>
      </c>
      <c r="F605" s="15">
        <v>46183.806028148101</v>
      </c>
      <c r="G605" s="4">
        <v>46183</v>
      </c>
      <c r="H605" s="1">
        <v>46186.5299064352</v>
      </c>
      <c r="I605" s="22">
        <v>46186</v>
      </c>
      <c r="J605" s="24">
        <f t="shared" si="126"/>
        <v>46186.287572169858</v>
      </c>
      <c r="K605" s="24">
        <f t="shared" si="127"/>
        <v>0.52990643520024605</v>
      </c>
      <c r="L605" s="29">
        <f t="shared" si="133"/>
        <v>46185</v>
      </c>
      <c r="M605" s="27" t="str">
        <f t="shared" si="128"/>
        <v>Health Deterioration</v>
      </c>
      <c r="N605" s="31">
        <f t="shared" si="129"/>
        <v>3</v>
      </c>
      <c r="O605" s="27"/>
      <c r="Q605" s="8">
        <v>0.20818150440075123</v>
      </c>
      <c r="R605" s="8" t="str">
        <f t="shared" si="130"/>
        <v>Critical Delay</v>
      </c>
      <c r="S605" s="33">
        <v>1.8160223681838983</v>
      </c>
      <c r="T605" t="s">
        <v>30</v>
      </c>
      <c r="U605" s="3">
        <v>4</v>
      </c>
      <c r="V605" s="3" t="str">
        <f t="shared" si="134"/>
        <v/>
      </c>
      <c r="W605" s="3" t="s">
        <v>50</v>
      </c>
      <c r="X605" s="32">
        <f t="shared" si="131"/>
        <v>0.24233426534192404</v>
      </c>
      <c r="Z605" s="38">
        <f t="shared" si="135"/>
        <v>0.11733426534192404</v>
      </c>
      <c r="AC605" s="36">
        <v>0.125</v>
      </c>
      <c r="AL605" t="str">
        <f t="shared" si="136"/>
        <v>Health Deterioration</v>
      </c>
      <c r="AM605" t="str">
        <f t="shared" si="137"/>
        <v>No</v>
      </c>
      <c r="AN605" t="str">
        <f t="shared" si="138"/>
        <v>Emergency</v>
      </c>
      <c r="AO605" t="str">
        <f t="shared" si="139"/>
        <v>General Ward</v>
      </c>
    </row>
    <row r="606" spans="1:41" x14ac:dyDescent="0.3">
      <c r="A606" s="21" t="str">
        <f t="shared" si="132"/>
        <v>UHID-00605</v>
      </c>
      <c r="B606" s="18">
        <v>57</v>
      </c>
      <c r="C606" s="10" t="s">
        <v>18</v>
      </c>
      <c r="D606" s="13" t="s">
        <v>26</v>
      </c>
      <c r="E606" s="13" t="s">
        <v>4</v>
      </c>
      <c r="F606" s="15">
        <v>46180.703366423601</v>
      </c>
      <c r="G606" s="4">
        <v>46180</v>
      </c>
      <c r="H606" s="1">
        <v>46185.727326076398</v>
      </c>
      <c r="I606" s="22">
        <v>46185</v>
      </c>
      <c r="J606" s="24">
        <f t="shared" si="126"/>
        <v>46185.572944434607</v>
      </c>
      <c r="K606" s="24">
        <f t="shared" si="127"/>
        <v>0.7273260763977305</v>
      </c>
      <c r="L606" s="29">
        <f t="shared" si="133"/>
        <v>46184</v>
      </c>
      <c r="M606" s="27" t="str">
        <f t="shared" si="128"/>
        <v>TPA Approval Delay</v>
      </c>
      <c r="N606" s="31">
        <f t="shared" si="129"/>
        <v>5</v>
      </c>
      <c r="O606" s="27"/>
      <c r="Q606" s="8">
        <v>0.53673347115886716</v>
      </c>
      <c r="R606" s="8" t="str">
        <f t="shared" si="130"/>
        <v>Major Delay</v>
      </c>
      <c r="S606" s="33">
        <v>3.705159402987773</v>
      </c>
      <c r="T606" t="s">
        <v>31</v>
      </c>
      <c r="U606" s="3">
        <v>0</v>
      </c>
      <c r="V606" s="3" t="str">
        <f t="shared" si="134"/>
        <v>Normal</v>
      </c>
      <c r="W606" s="3" t="s">
        <v>51</v>
      </c>
      <c r="X606" s="32">
        <f t="shared" si="131"/>
        <v>0.15438164179067826</v>
      </c>
      <c r="Z606" s="38">
        <f t="shared" si="135"/>
        <v>2.9381641790678259E-2</v>
      </c>
      <c r="AC606" s="36">
        <v>0.125</v>
      </c>
      <c r="AL606" t="str">
        <f t="shared" si="136"/>
        <v>TPA Approval Delay</v>
      </c>
      <c r="AM606" t="str">
        <f t="shared" si="137"/>
        <v>No</v>
      </c>
      <c r="AN606" t="str">
        <f t="shared" si="138"/>
        <v>Elective</v>
      </c>
      <c r="AO606" t="str">
        <f t="shared" si="139"/>
        <v>HDU</v>
      </c>
    </row>
    <row r="607" spans="1:41" x14ac:dyDescent="0.3">
      <c r="A607" s="21" t="str">
        <f t="shared" si="132"/>
        <v>UHID-00606</v>
      </c>
      <c r="B607" s="18">
        <v>49</v>
      </c>
      <c r="C607" s="10" t="s">
        <v>17</v>
      </c>
      <c r="D607" s="13" t="s">
        <v>27</v>
      </c>
      <c r="E607" s="13" t="s">
        <v>4</v>
      </c>
      <c r="F607" s="15">
        <v>46182.723002106497</v>
      </c>
      <c r="G607" s="4">
        <v>46182</v>
      </c>
      <c r="H607" s="1">
        <v>46186.518123703703</v>
      </c>
      <c r="I607" s="22">
        <v>46186</v>
      </c>
      <c r="J607" s="24">
        <f t="shared" si="126"/>
        <v>46186.456149548758</v>
      </c>
      <c r="K607" s="24">
        <f t="shared" si="127"/>
        <v>0.51812370370316785</v>
      </c>
      <c r="L607" s="29">
        <f t="shared" si="133"/>
        <v>46185</v>
      </c>
      <c r="M607" s="27" t="str">
        <f t="shared" si="128"/>
        <v>Normal</v>
      </c>
      <c r="N607" s="31">
        <f t="shared" si="129"/>
        <v>4</v>
      </c>
      <c r="O607" s="27"/>
      <c r="Q607" s="8">
        <v>0.2388753551817604</v>
      </c>
      <c r="R607" s="8" t="str">
        <f t="shared" si="130"/>
        <v>On Time</v>
      </c>
      <c r="S607" s="33">
        <v>1.4873797187381173</v>
      </c>
      <c r="T607" t="s">
        <v>30</v>
      </c>
      <c r="U607" s="3">
        <v>0</v>
      </c>
      <c r="V607" s="3" t="str">
        <f t="shared" si="134"/>
        <v/>
      </c>
      <c r="W607" s="3" t="s">
        <v>51</v>
      </c>
      <c r="X607" s="32">
        <f t="shared" si="131"/>
        <v>6.1974154945346527E-2</v>
      </c>
      <c r="Z607" s="38">
        <f t="shared" si="135"/>
        <v>0</v>
      </c>
      <c r="AC607" s="36">
        <v>0.125</v>
      </c>
      <c r="AL607" t="str">
        <f t="shared" si="136"/>
        <v>Normal</v>
      </c>
      <c r="AM607" t="str">
        <f t="shared" si="137"/>
        <v>No</v>
      </c>
      <c r="AN607" t="str">
        <f t="shared" si="138"/>
        <v>Elective</v>
      </c>
      <c r="AO607" t="str">
        <f t="shared" si="139"/>
        <v>HDU</v>
      </c>
    </row>
    <row r="608" spans="1:41" x14ac:dyDescent="0.3">
      <c r="A608" s="21" t="str">
        <f t="shared" si="132"/>
        <v>UHID-00607</v>
      </c>
      <c r="B608" s="18">
        <v>46</v>
      </c>
      <c r="C608" s="10" t="s">
        <v>17</v>
      </c>
      <c r="D608" s="13" t="s">
        <v>26</v>
      </c>
      <c r="E608" s="13" t="s">
        <v>4</v>
      </c>
      <c r="F608" s="15">
        <v>46186.375837256899</v>
      </c>
      <c r="G608" s="4">
        <v>46186</v>
      </c>
      <c r="H608" s="1">
        <v>46186.599360046297</v>
      </c>
      <c r="I608" s="22">
        <v>46186</v>
      </c>
      <c r="J608" s="24">
        <f t="shared" si="126"/>
        <v>46186.442186140841</v>
      </c>
      <c r="K608" s="24">
        <f t="shared" si="127"/>
        <v>0.59936004629707895</v>
      </c>
      <c r="L608" s="29">
        <f t="shared" si="133"/>
        <v>46185</v>
      </c>
      <c r="M608" s="27" t="str">
        <f t="shared" si="128"/>
        <v>TPA Approval Delay</v>
      </c>
      <c r="N608" s="31">
        <f t="shared" si="129"/>
        <v>0</v>
      </c>
      <c r="O608" s="27"/>
      <c r="Q608" s="8">
        <v>0.76555767822275145</v>
      </c>
      <c r="R608" s="8" t="str">
        <f t="shared" si="130"/>
        <v>Major Delay</v>
      </c>
      <c r="S608" s="33">
        <v>3.7721737309160646</v>
      </c>
      <c r="T608" t="s">
        <v>31</v>
      </c>
      <c r="U608" s="3">
        <v>0</v>
      </c>
      <c r="V608" s="3" t="str">
        <f t="shared" si="134"/>
        <v>Normal</v>
      </c>
      <c r="W608" s="3" t="s">
        <v>51</v>
      </c>
      <c r="X608" s="32">
        <f t="shared" si="131"/>
        <v>0.15717390545614762</v>
      </c>
      <c r="Z608" s="38">
        <f t="shared" si="135"/>
        <v>3.2173905456147622E-2</v>
      </c>
      <c r="AC608" s="36">
        <v>0.125</v>
      </c>
      <c r="AL608" t="str">
        <f t="shared" si="136"/>
        <v>TPA Approval Delay</v>
      </c>
      <c r="AM608" t="str">
        <f t="shared" si="137"/>
        <v>No</v>
      </c>
      <c r="AN608" t="str">
        <f t="shared" si="138"/>
        <v>Elective</v>
      </c>
      <c r="AO608" t="str">
        <f t="shared" si="139"/>
        <v>General Ward</v>
      </c>
    </row>
    <row r="609" spans="1:41" x14ac:dyDescent="0.3">
      <c r="A609" s="21" t="str">
        <f t="shared" si="132"/>
        <v>UHID-00608</v>
      </c>
      <c r="B609" s="18">
        <v>30</v>
      </c>
      <c r="C609" s="10" t="s">
        <v>17</v>
      </c>
      <c r="D609" s="13" t="s">
        <v>26</v>
      </c>
      <c r="E609" s="13" t="s">
        <v>4</v>
      </c>
      <c r="F609" s="15">
        <v>46181.6947467477</v>
      </c>
      <c r="G609" s="4">
        <v>46181</v>
      </c>
      <c r="H609" s="1">
        <v>46186.587898229198</v>
      </c>
      <c r="I609" s="22">
        <v>46186</v>
      </c>
      <c r="J609" s="24">
        <f t="shared" si="126"/>
        <v>46186.325173809048</v>
      </c>
      <c r="K609" s="24">
        <f t="shared" si="127"/>
        <v>0.58789822919789003</v>
      </c>
      <c r="L609" s="29">
        <f t="shared" si="133"/>
        <v>46185</v>
      </c>
      <c r="M609" s="27" t="str">
        <f t="shared" si="128"/>
        <v>Health Deterioration/TPA Approval Delay</v>
      </c>
      <c r="N609" s="31">
        <f t="shared" si="129"/>
        <v>5</v>
      </c>
      <c r="O609" s="27"/>
      <c r="Q609" s="8">
        <v>0.75521848484320375</v>
      </c>
      <c r="R609" s="8" t="str">
        <f t="shared" si="130"/>
        <v>Critical Delay</v>
      </c>
      <c r="S609" s="33">
        <v>3.3053860835422064</v>
      </c>
      <c r="T609" t="s">
        <v>31</v>
      </c>
      <c r="U609" s="3">
        <v>3</v>
      </c>
      <c r="V609" s="3" t="str">
        <f t="shared" si="134"/>
        <v>Normal</v>
      </c>
      <c r="W609" s="3" t="s">
        <v>50</v>
      </c>
      <c r="X609" s="32">
        <f t="shared" si="131"/>
        <v>0.26272442015033448</v>
      </c>
      <c r="Z609" s="38">
        <f t="shared" si="135"/>
        <v>0.13772442015033448</v>
      </c>
      <c r="AC609" s="36">
        <v>0.125</v>
      </c>
      <c r="AL609" t="str">
        <f t="shared" si="136"/>
        <v>Health Deterioration/TPA Approval Delay</v>
      </c>
      <c r="AM609" t="str">
        <f t="shared" si="137"/>
        <v>No</v>
      </c>
      <c r="AN609" t="str">
        <f t="shared" si="138"/>
        <v>Emergency</v>
      </c>
      <c r="AO609" t="str">
        <f t="shared" si="139"/>
        <v>HDU</v>
      </c>
    </row>
    <row r="610" spans="1:41" x14ac:dyDescent="0.3">
      <c r="A610" s="21" t="str">
        <f t="shared" si="132"/>
        <v>UHID-00609</v>
      </c>
      <c r="B610" s="18">
        <v>50</v>
      </c>
      <c r="C610" s="10" t="s">
        <v>18</v>
      </c>
      <c r="D610" s="13" t="s">
        <v>28</v>
      </c>
      <c r="E610" s="13" t="s">
        <v>4</v>
      </c>
      <c r="F610" s="15">
        <v>46184.925378911998</v>
      </c>
      <c r="G610" s="4">
        <v>46184</v>
      </c>
      <c r="H610" s="1">
        <v>46187.479915034703</v>
      </c>
      <c r="I610" s="22">
        <v>46187</v>
      </c>
      <c r="J610" s="24">
        <f t="shared" si="126"/>
        <v>46187.237283486204</v>
      </c>
      <c r="K610" s="24">
        <f t="shared" si="127"/>
        <v>0.47991503470257157</v>
      </c>
      <c r="L610" s="29">
        <f t="shared" si="133"/>
        <v>46186</v>
      </c>
      <c r="M610" s="27" t="str">
        <f t="shared" si="128"/>
        <v>Health Deterioration</v>
      </c>
      <c r="N610" s="31">
        <f t="shared" si="129"/>
        <v>3</v>
      </c>
      <c r="O610" s="27"/>
      <c r="Q610" s="8">
        <v>0.90793628592415765</v>
      </c>
      <c r="R610" s="8" t="str">
        <f t="shared" si="130"/>
        <v>Critical Delay</v>
      </c>
      <c r="S610" s="33">
        <v>2.8231571639125721</v>
      </c>
      <c r="T610" t="s">
        <v>31</v>
      </c>
      <c r="U610" s="3">
        <v>3</v>
      </c>
      <c r="V610" s="3" t="str">
        <f t="shared" si="134"/>
        <v>Normal</v>
      </c>
      <c r="W610" s="3" t="s">
        <v>50</v>
      </c>
      <c r="X610" s="32">
        <f t="shared" si="131"/>
        <v>0.24263154849904822</v>
      </c>
      <c r="Z610" s="38">
        <f t="shared" si="135"/>
        <v>0.11763154849904822</v>
      </c>
      <c r="AC610" s="36">
        <v>0.125</v>
      </c>
      <c r="AL610" t="str">
        <f t="shared" si="136"/>
        <v>Health Deterioration</v>
      </c>
      <c r="AM610" t="str">
        <f t="shared" si="137"/>
        <v>No</v>
      </c>
      <c r="AN610" t="str">
        <f t="shared" si="138"/>
        <v>Elective</v>
      </c>
      <c r="AO610" t="str">
        <f t="shared" si="139"/>
        <v>General Ward</v>
      </c>
    </row>
    <row r="611" spans="1:41" x14ac:dyDescent="0.3">
      <c r="A611" s="21" t="str">
        <f t="shared" si="132"/>
        <v>UHID-00610</v>
      </c>
      <c r="B611" s="18">
        <v>53</v>
      </c>
      <c r="C611" s="10" t="s">
        <v>18</v>
      </c>
      <c r="D611" s="13" t="s">
        <v>26</v>
      </c>
      <c r="E611" s="13" t="s">
        <v>4</v>
      </c>
      <c r="F611" s="15">
        <v>46184.846237534701</v>
      </c>
      <c r="G611" s="4">
        <v>46184</v>
      </c>
      <c r="H611" s="1">
        <v>46187.535855729198</v>
      </c>
      <c r="I611" s="22">
        <v>46187</v>
      </c>
      <c r="J611" s="24">
        <f t="shared" si="126"/>
        <v>46187.082027639015</v>
      </c>
      <c r="K611" s="24">
        <f t="shared" si="127"/>
        <v>0.53585572919837432</v>
      </c>
      <c r="L611" s="29">
        <f t="shared" si="133"/>
        <v>46186</v>
      </c>
      <c r="M611" s="27" t="str">
        <f t="shared" si="128"/>
        <v>Health Deterioration/TPA Approval Delay</v>
      </c>
      <c r="N611" s="31">
        <f t="shared" si="129"/>
        <v>3</v>
      </c>
      <c r="O611" s="27"/>
      <c r="Q611" s="8">
        <v>0.66516479397635042</v>
      </c>
      <c r="R611" s="8" t="str">
        <f t="shared" si="130"/>
        <v>Critical Delay</v>
      </c>
      <c r="S611" s="33">
        <v>3.8918741644067691</v>
      </c>
      <c r="T611" t="s">
        <v>31</v>
      </c>
      <c r="U611" s="3">
        <v>7</v>
      </c>
      <c r="V611" s="3" t="str">
        <f t="shared" si="134"/>
        <v>Normal</v>
      </c>
      <c r="W611" s="3" t="s">
        <v>52</v>
      </c>
      <c r="X611" s="32">
        <f t="shared" si="131"/>
        <v>0.45382809018337866</v>
      </c>
      <c r="Z611" s="38">
        <f t="shared" si="135"/>
        <v>0.32882809018337866</v>
      </c>
      <c r="AC611" s="36">
        <v>0.125</v>
      </c>
      <c r="AL611" t="str">
        <f t="shared" si="136"/>
        <v>Health Deterioration/TPA Approval Delay</v>
      </c>
      <c r="AM611" t="str">
        <f t="shared" si="137"/>
        <v>No</v>
      </c>
      <c r="AN611" t="str">
        <f t="shared" si="138"/>
        <v>Emergency</v>
      </c>
      <c r="AO611" t="str">
        <f t="shared" si="139"/>
        <v>General Ward</v>
      </c>
    </row>
    <row r="612" spans="1:41" x14ac:dyDescent="0.3">
      <c r="A612" s="21" t="str">
        <f t="shared" si="132"/>
        <v>UHID-00611</v>
      </c>
      <c r="B612" s="18">
        <v>58</v>
      </c>
      <c r="C612" s="10" t="s">
        <v>18</v>
      </c>
      <c r="D612" s="13" t="s">
        <v>26</v>
      </c>
      <c r="E612" s="13" t="s">
        <v>4</v>
      </c>
      <c r="F612" s="15">
        <v>46184.640456238398</v>
      </c>
      <c r="G612" s="4">
        <v>46184</v>
      </c>
      <c r="H612" s="1">
        <v>46187.549975451402</v>
      </c>
      <c r="I612" s="22">
        <v>46187</v>
      </c>
      <c r="J612" s="24">
        <f t="shared" si="126"/>
        <v>46187.223134849293</v>
      </c>
      <c r="K612" s="24">
        <f t="shared" si="127"/>
        <v>0.54997545140213333</v>
      </c>
      <c r="L612" s="29">
        <f t="shared" si="133"/>
        <v>46186</v>
      </c>
      <c r="M612" s="27" t="str">
        <f t="shared" si="128"/>
        <v>Health Deterioration/TPA Approval Delay</v>
      </c>
      <c r="N612" s="31">
        <f t="shared" si="129"/>
        <v>3</v>
      </c>
      <c r="O612" s="27"/>
      <c r="Q612" s="8">
        <v>0.81430023801201323</v>
      </c>
      <c r="R612" s="8" t="str">
        <f t="shared" si="130"/>
        <v>Critical Delay</v>
      </c>
      <c r="S612" s="33">
        <v>3.8441744505438891</v>
      </c>
      <c r="T612" t="s">
        <v>31</v>
      </c>
      <c r="U612" s="3">
        <v>4</v>
      </c>
      <c r="V612" s="3" t="str">
        <f t="shared" si="134"/>
        <v>Normal</v>
      </c>
      <c r="W612" s="3" t="s">
        <v>50</v>
      </c>
      <c r="X612" s="32">
        <f t="shared" si="131"/>
        <v>0.32684060210885946</v>
      </c>
      <c r="Z612" s="38">
        <f t="shared" si="135"/>
        <v>0.20184060210885946</v>
      </c>
      <c r="AC612" s="36">
        <v>0.125</v>
      </c>
      <c r="AL612" t="str">
        <f t="shared" si="136"/>
        <v>Health Deterioration/TPA Approval Delay</v>
      </c>
      <c r="AM612" t="str">
        <f t="shared" si="137"/>
        <v>No</v>
      </c>
      <c r="AN612" t="str">
        <f t="shared" si="138"/>
        <v>Emergency</v>
      </c>
      <c r="AO612" t="str">
        <f t="shared" si="139"/>
        <v>General Ward</v>
      </c>
    </row>
    <row r="613" spans="1:41" x14ac:dyDescent="0.3">
      <c r="A613" s="21" t="str">
        <f t="shared" si="132"/>
        <v>UHID-00612</v>
      </c>
      <c r="B613" s="18">
        <v>50</v>
      </c>
      <c r="C613" s="10" t="s">
        <v>18</v>
      </c>
      <c r="D613" s="13" t="s">
        <v>27</v>
      </c>
      <c r="E613" s="13" t="s">
        <v>4</v>
      </c>
      <c r="F613" s="15">
        <v>46174.4389004861</v>
      </c>
      <c r="G613" s="4">
        <v>46174</v>
      </c>
      <c r="H613" s="1">
        <v>46187.450020821801</v>
      </c>
      <c r="I613" s="22">
        <v>46187</v>
      </c>
      <c r="J613" s="24">
        <f t="shared" si="126"/>
        <v>46187.289844242659</v>
      </c>
      <c r="K613" s="24">
        <f t="shared" si="127"/>
        <v>0.45002082180144498</v>
      </c>
      <c r="L613" s="29">
        <f t="shared" si="133"/>
        <v>46186</v>
      </c>
      <c r="M613" s="27" t="str">
        <f t="shared" si="128"/>
        <v>Medication Change</v>
      </c>
      <c r="N613" s="31">
        <f t="shared" si="129"/>
        <v>13</v>
      </c>
      <c r="O613" s="27"/>
      <c r="Q613" s="8">
        <v>7.9935084655984312E-2</v>
      </c>
      <c r="R613" s="8" t="str">
        <f t="shared" si="130"/>
        <v>Major Delay</v>
      </c>
      <c r="S613" s="33">
        <v>1.8442378993489386</v>
      </c>
      <c r="T613" t="s">
        <v>30</v>
      </c>
      <c r="U613" s="3">
        <v>2</v>
      </c>
      <c r="V613" s="3" t="str">
        <f t="shared" si="134"/>
        <v/>
      </c>
      <c r="W613" s="3" t="s">
        <v>50</v>
      </c>
      <c r="X613" s="32">
        <f t="shared" si="131"/>
        <v>0.16017657914198935</v>
      </c>
      <c r="Z613" s="38">
        <f t="shared" si="135"/>
        <v>3.517657914198935E-2</v>
      </c>
      <c r="AC613" s="36">
        <v>0.125</v>
      </c>
      <c r="AL613" t="str">
        <f t="shared" si="136"/>
        <v>Medication Change</v>
      </c>
      <c r="AM613" t="str">
        <f t="shared" si="137"/>
        <v>Yes</v>
      </c>
      <c r="AN613" t="str">
        <f t="shared" si="138"/>
        <v>Emergency</v>
      </c>
      <c r="AO613" t="str">
        <f t="shared" si="139"/>
        <v>ICU</v>
      </c>
    </row>
    <row r="614" spans="1:41" x14ac:dyDescent="0.3">
      <c r="A614" s="21" t="str">
        <f t="shared" si="132"/>
        <v>UHID-00613</v>
      </c>
      <c r="B614" s="18">
        <v>37</v>
      </c>
      <c r="C614" s="10" t="s">
        <v>17</v>
      </c>
      <c r="D614" s="13" t="s">
        <v>26</v>
      </c>
      <c r="E614" s="13" t="s">
        <v>4</v>
      </c>
      <c r="F614" s="15">
        <v>46185.759687881902</v>
      </c>
      <c r="G614" s="4">
        <v>46185</v>
      </c>
      <c r="H614" s="1">
        <v>46188.556557384298</v>
      </c>
      <c r="I614" s="22">
        <v>46188</v>
      </c>
      <c r="J614" s="24">
        <f t="shared" si="126"/>
        <v>46188.276642361649</v>
      </c>
      <c r="K614" s="24">
        <f t="shared" si="127"/>
        <v>0.55655738429777557</v>
      </c>
      <c r="L614" s="29">
        <f t="shared" si="133"/>
        <v>46187</v>
      </c>
      <c r="M614" s="27" t="str">
        <f t="shared" si="128"/>
        <v>Health Deterioration/TPA Approval Delay</v>
      </c>
      <c r="N614" s="31">
        <f t="shared" si="129"/>
        <v>3</v>
      </c>
      <c r="O614" s="27"/>
      <c r="Q614" s="8">
        <v>0.70664397668551104</v>
      </c>
      <c r="R614" s="8" t="str">
        <f t="shared" si="130"/>
        <v>Critical Delay</v>
      </c>
      <c r="S614" s="33">
        <v>3.7179605435707921</v>
      </c>
      <c r="T614" t="s">
        <v>31</v>
      </c>
      <c r="U614" s="3">
        <v>3</v>
      </c>
      <c r="V614" s="3" t="str">
        <f t="shared" si="134"/>
        <v>Normal</v>
      </c>
      <c r="W614" s="3" t="s">
        <v>50</v>
      </c>
      <c r="X614" s="32">
        <f t="shared" si="131"/>
        <v>0.27991502264922019</v>
      </c>
      <c r="Z614" s="38">
        <f t="shared" si="135"/>
        <v>0.15491502264922019</v>
      </c>
      <c r="AC614" s="36">
        <v>0.125</v>
      </c>
      <c r="AL614" t="str">
        <f t="shared" si="136"/>
        <v>Health Deterioration/TPA Approval Delay</v>
      </c>
      <c r="AM614" t="str">
        <f t="shared" si="137"/>
        <v>No</v>
      </c>
      <c r="AN614" t="str">
        <f t="shared" si="138"/>
        <v>Emergency</v>
      </c>
      <c r="AO614" t="str">
        <f t="shared" si="139"/>
        <v>General Ward</v>
      </c>
    </row>
    <row r="615" spans="1:41" x14ac:dyDescent="0.3">
      <c r="A615" s="21" t="str">
        <f t="shared" si="132"/>
        <v>UHID-00614</v>
      </c>
      <c r="B615" s="18">
        <v>69</v>
      </c>
      <c r="C615" s="10" t="s">
        <v>18</v>
      </c>
      <c r="D615" s="13" t="s">
        <v>27</v>
      </c>
      <c r="E615" s="13" t="s">
        <v>4</v>
      </c>
      <c r="F615" s="15">
        <v>46184.693585960602</v>
      </c>
      <c r="G615" s="4">
        <v>46184</v>
      </c>
      <c r="H615" s="1">
        <v>46188.480606354198</v>
      </c>
      <c r="I615" s="22">
        <v>46188</v>
      </c>
      <c r="J615" s="24">
        <f t="shared" si="126"/>
        <v>46188.326607978386</v>
      </c>
      <c r="K615" s="24">
        <f t="shared" si="127"/>
        <v>0.48060635419824393</v>
      </c>
      <c r="L615" s="29">
        <f t="shared" si="133"/>
        <v>46187</v>
      </c>
      <c r="M615" s="27" t="str">
        <f t="shared" si="128"/>
        <v>Medication Change</v>
      </c>
      <c r="N615" s="31">
        <f t="shared" si="129"/>
        <v>4</v>
      </c>
      <c r="O615" s="27"/>
      <c r="Q615" s="8">
        <v>0.24090926227830101</v>
      </c>
      <c r="R615" s="8" t="str">
        <f t="shared" si="130"/>
        <v>Major Delay</v>
      </c>
      <c r="S615" s="33">
        <v>1.6959610194157064</v>
      </c>
      <c r="T615" t="s">
        <v>30</v>
      </c>
      <c r="U615" s="3">
        <v>2</v>
      </c>
      <c r="V615" s="3" t="str">
        <f t="shared" si="134"/>
        <v/>
      </c>
      <c r="W615" s="3" t="s">
        <v>50</v>
      </c>
      <c r="X615" s="32">
        <f t="shared" si="131"/>
        <v>0.15399837581207976</v>
      </c>
      <c r="Z615" s="38">
        <f t="shared" si="135"/>
        <v>2.8998375812079757E-2</v>
      </c>
      <c r="AC615" s="36">
        <v>0.125</v>
      </c>
      <c r="AL615" t="str">
        <f t="shared" si="136"/>
        <v>Medication Change</v>
      </c>
      <c r="AM615" t="str">
        <f t="shared" si="137"/>
        <v>No</v>
      </c>
      <c r="AN615" t="str">
        <f t="shared" si="138"/>
        <v>Elective</v>
      </c>
      <c r="AO615" t="str">
        <f t="shared" si="139"/>
        <v>HDU</v>
      </c>
    </row>
    <row r="616" spans="1:41" x14ac:dyDescent="0.3">
      <c r="A616" s="21" t="str">
        <f t="shared" si="132"/>
        <v>UHID-00615</v>
      </c>
      <c r="B616" s="18">
        <v>31</v>
      </c>
      <c r="C616" s="10" t="s">
        <v>17</v>
      </c>
      <c r="D616" s="13" t="s">
        <v>26</v>
      </c>
      <c r="E616" s="13" t="s">
        <v>4</v>
      </c>
      <c r="F616" s="15">
        <v>46188.531940659697</v>
      </c>
      <c r="G616" s="4">
        <v>46188</v>
      </c>
      <c r="H616" s="1">
        <v>46188.7293529167</v>
      </c>
      <c r="I616" s="22">
        <v>46188</v>
      </c>
      <c r="J616" s="24">
        <f t="shared" si="126"/>
        <v>46188.435889833614</v>
      </c>
      <c r="K616" s="24">
        <f t="shared" si="127"/>
        <v>0.72935291670000879</v>
      </c>
      <c r="L616" s="29">
        <f t="shared" si="133"/>
        <v>46187</v>
      </c>
      <c r="M616" s="27" t="str">
        <f t="shared" si="128"/>
        <v>Health Deterioration/TPA Approval Delay</v>
      </c>
      <c r="N616" s="31">
        <f t="shared" si="129"/>
        <v>0</v>
      </c>
      <c r="O616" s="27"/>
      <c r="Q616" s="8">
        <v>0.6548563233950927</v>
      </c>
      <c r="R616" s="8" t="str">
        <f t="shared" si="130"/>
        <v>Critical Delay</v>
      </c>
      <c r="S616" s="33">
        <v>3.0431139940689773</v>
      </c>
      <c r="T616" t="s">
        <v>31</v>
      </c>
      <c r="U616" s="3">
        <v>4</v>
      </c>
      <c r="V616" s="3" t="str">
        <f t="shared" si="134"/>
        <v>Normal</v>
      </c>
      <c r="W616" s="3" t="s">
        <v>50</v>
      </c>
      <c r="X616" s="32">
        <f t="shared" si="131"/>
        <v>0.29346308308595326</v>
      </c>
      <c r="Z616" s="38">
        <f t="shared" si="135"/>
        <v>0.16846308308595326</v>
      </c>
      <c r="AC616" s="36">
        <v>0.125</v>
      </c>
      <c r="AL616" t="str">
        <f t="shared" si="136"/>
        <v>Health Deterioration/TPA Approval Delay</v>
      </c>
      <c r="AM616" t="str">
        <f t="shared" si="137"/>
        <v>No</v>
      </c>
      <c r="AN616" t="str">
        <f t="shared" si="138"/>
        <v>Emergency</v>
      </c>
      <c r="AO616" t="str">
        <f t="shared" si="139"/>
        <v>General Ward</v>
      </c>
    </row>
    <row r="617" spans="1:41" x14ac:dyDescent="0.3">
      <c r="A617" s="21" t="str">
        <f t="shared" si="132"/>
        <v>UHID-00616</v>
      </c>
      <c r="B617" s="18">
        <v>63</v>
      </c>
      <c r="C617" s="10" t="s">
        <v>18</v>
      </c>
      <c r="D617" s="13" t="s">
        <v>27</v>
      </c>
      <c r="E617" s="13" t="s">
        <v>4</v>
      </c>
      <c r="F617" s="15">
        <v>46184.725345567102</v>
      </c>
      <c r="G617" s="4">
        <v>46184</v>
      </c>
      <c r="H617" s="1">
        <v>46187.613235844903</v>
      </c>
      <c r="I617" s="22">
        <v>46187</v>
      </c>
      <c r="J617" s="24">
        <f t="shared" si="126"/>
        <v>46187.453894354825</v>
      </c>
      <c r="K617" s="24">
        <f t="shared" si="127"/>
        <v>0.61323584490310168</v>
      </c>
      <c r="L617" s="29">
        <f t="shared" si="133"/>
        <v>46186</v>
      </c>
      <c r="M617" s="27" t="str">
        <f t="shared" si="128"/>
        <v>Medication Change</v>
      </c>
      <c r="N617" s="31">
        <f t="shared" si="129"/>
        <v>3</v>
      </c>
      <c r="O617" s="27"/>
      <c r="Q617" s="8">
        <v>0.11936619798072756</v>
      </c>
      <c r="R617" s="8" t="str">
        <f t="shared" si="130"/>
        <v>Major Delay</v>
      </c>
      <c r="S617" s="33">
        <v>1.8241957618678271</v>
      </c>
      <c r="T617" t="s">
        <v>30</v>
      </c>
      <c r="U617" s="3">
        <v>2</v>
      </c>
      <c r="V617" s="3" t="str">
        <f t="shared" si="134"/>
        <v/>
      </c>
      <c r="W617" s="3" t="s">
        <v>50</v>
      </c>
      <c r="X617" s="32">
        <f t="shared" si="131"/>
        <v>0.15934149007807719</v>
      </c>
      <c r="Z617" s="38">
        <f t="shared" si="135"/>
        <v>3.4341490078077186E-2</v>
      </c>
      <c r="AC617" s="36">
        <v>0.125</v>
      </c>
      <c r="AL617" t="str">
        <f t="shared" si="136"/>
        <v>Medication Change</v>
      </c>
      <c r="AM617" t="str">
        <f t="shared" si="137"/>
        <v>No</v>
      </c>
      <c r="AN617" t="str">
        <f t="shared" si="138"/>
        <v>Elective</v>
      </c>
      <c r="AO617" t="str">
        <f t="shared" si="139"/>
        <v>General Ward</v>
      </c>
    </row>
    <row r="618" spans="1:41" x14ac:dyDescent="0.3">
      <c r="A618" s="21" t="str">
        <f t="shared" si="132"/>
        <v>UHID-00617</v>
      </c>
      <c r="B618" s="18">
        <v>32</v>
      </c>
      <c r="C618" s="10" t="s">
        <v>17</v>
      </c>
      <c r="D618" s="13" t="s">
        <v>27</v>
      </c>
      <c r="E618" s="13" t="s">
        <v>4</v>
      </c>
      <c r="F618" s="15">
        <v>46185.7563085648</v>
      </c>
      <c r="G618" s="4">
        <v>46185</v>
      </c>
      <c r="H618" s="1">
        <v>46188.5892324421</v>
      </c>
      <c r="I618" s="22">
        <v>46188</v>
      </c>
      <c r="J618" s="24">
        <f t="shared" si="126"/>
        <v>46188.518999409782</v>
      </c>
      <c r="K618" s="24">
        <f t="shared" si="127"/>
        <v>0.58923244210018311</v>
      </c>
      <c r="L618" s="29">
        <f t="shared" si="133"/>
        <v>46187</v>
      </c>
      <c r="M618" s="27" t="str">
        <f t="shared" si="128"/>
        <v>Normal</v>
      </c>
      <c r="N618" s="31">
        <f t="shared" si="129"/>
        <v>3</v>
      </c>
      <c r="O618" s="27"/>
      <c r="Q618" s="8">
        <v>0.44766388411227409</v>
      </c>
      <c r="R618" s="8" t="str">
        <f t="shared" si="130"/>
        <v>On Time</v>
      </c>
      <c r="S618" s="33">
        <v>1.6855927757021179</v>
      </c>
      <c r="T618" t="s">
        <v>31</v>
      </c>
      <c r="U618" s="3">
        <v>0</v>
      </c>
      <c r="V618" s="3" t="str">
        <f t="shared" si="134"/>
        <v>Normal</v>
      </c>
      <c r="W618" s="3" t="s">
        <v>51</v>
      </c>
      <c r="X618" s="32">
        <f t="shared" si="131"/>
        <v>7.0233032318355981E-2</v>
      </c>
      <c r="Z618" s="38">
        <f t="shared" si="135"/>
        <v>0</v>
      </c>
      <c r="AC618" s="36">
        <v>0.125</v>
      </c>
      <c r="AL618" t="str">
        <f t="shared" si="136"/>
        <v>Normal</v>
      </c>
      <c r="AM618" t="str">
        <f t="shared" si="137"/>
        <v>No</v>
      </c>
      <c r="AN618" t="str">
        <f t="shared" si="138"/>
        <v>Elective</v>
      </c>
      <c r="AO618" t="str">
        <f t="shared" si="139"/>
        <v>General Ward</v>
      </c>
    </row>
    <row r="619" spans="1:41" x14ac:dyDescent="0.3">
      <c r="A619" s="21" t="str">
        <f t="shared" si="132"/>
        <v>UHID-00618</v>
      </c>
      <c r="B619" s="18">
        <v>38</v>
      </c>
      <c r="C619" s="10" t="s">
        <v>17</v>
      </c>
      <c r="D619" s="13" t="s">
        <v>26</v>
      </c>
      <c r="E619" s="13" t="s">
        <v>4</v>
      </c>
      <c r="F619" s="15">
        <v>46188.532861504602</v>
      </c>
      <c r="G619" s="4">
        <v>46188</v>
      </c>
      <c r="H619" s="1">
        <v>46188.947260925903</v>
      </c>
      <c r="I619" s="22">
        <v>46188</v>
      </c>
      <c r="J619" s="24">
        <f t="shared" si="126"/>
        <v>46188.690827228609</v>
      </c>
      <c r="K619" s="24">
        <f t="shared" si="127"/>
        <v>0.94726092590281041</v>
      </c>
      <c r="L619" s="29">
        <f t="shared" si="133"/>
        <v>46187</v>
      </c>
      <c r="M619" s="27" t="str">
        <f t="shared" si="128"/>
        <v>Health Deterioration/TPA Approval Delay</v>
      </c>
      <c r="N619" s="31">
        <f t="shared" si="129"/>
        <v>0</v>
      </c>
      <c r="O619" s="27"/>
      <c r="Q619" s="8">
        <v>0.62730356319220471</v>
      </c>
      <c r="R619" s="8" t="str">
        <f t="shared" si="130"/>
        <v>Critical Delay</v>
      </c>
      <c r="S619" s="33">
        <v>3.1544087349829386</v>
      </c>
      <c r="T619" t="s">
        <v>31</v>
      </c>
      <c r="U619" s="3">
        <v>3</v>
      </c>
      <c r="V619" s="3" t="str">
        <f t="shared" si="134"/>
        <v>Normal</v>
      </c>
      <c r="W619" s="3" t="s">
        <v>50</v>
      </c>
      <c r="X619" s="32">
        <f t="shared" si="131"/>
        <v>0.25643369729368715</v>
      </c>
      <c r="Z619" s="38">
        <f t="shared" si="135"/>
        <v>0.13143369729368715</v>
      </c>
      <c r="AC619" s="36">
        <v>0.125</v>
      </c>
      <c r="AL619" t="str">
        <f t="shared" si="136"/>
        <v>Health Deterioration/TPA Approval Delay</v>
      </c>
      <c r="AM619" t="str">
        <f t="shared" si="137"/>
        <v>No</v>
      </c>
      <c r="AN619" t="str">
        <f t="shared" si="138"/>
        <v>Emergency</v>
      </c>
      <c r="AO619" t="str">
        <f t="shared" si="139"/>
        <v>General Ward</v>
      </c>
    </row>
    <row r="620" spans="1:41" x14ac:dyDescent="0.3">
      <c r="A620" s="21" t="str">
        <f t="shared" si="132"/>
        <v>UHID-00619</v>
      </c>
      <c r="B620" s="18">
        <v>43</v>
      </c>
      <c r="C620" s="10" t="s">
        <v>17</v>
      </c>
      <c r="D620" s="13" t="s">
        <v>26</v>
      </c>
      <c r="E620" s="13" t="s">
        <v>4</v>
      </c>
      <c r="F620" s="15">
        <v>46189.406309594902</v>
      </c>
      <c r="G620" s="4">
        <v>46189</v>
      </c>
      <c r="H620" s="1">
        <v>46189.559781249998</v>
      </c>
      <c r="I620" s="22">
        <v>46189</v>
      </c>
      <c r="J620" s="24">
        <f t="shared" si="126"/>
        <v>46189.433352658896</v>
      </c>
      <c r="K620" s="24">
        <f t="shared" si="127"/>
        <v>0.55978124999819556</v>
      </c>
      <c r="L620" s="29">
        <f t="shared" si="133"/>
        <v>46188</v>
      </c>
      <c r="M620" s="27" t="str">
        <f t="shared" si="128"/>
        <v>TPA Approval Delay</v>
      </c>
      <c r="N620" s="31">
        <f t="shared" si="129"/>
        <v>0</v>
      </c>
      <c r="O620" s="27"/>
      <c r="Q620" s="8">
        <v>0.50215843391064718</v>
      </c>
      <c r="R620" s="8" t="str">
        <f t="shared" si="130"/>
        <v>Major Delay</v>
      </c>
      <c r="S620" s="33">
        <v>3.0342861863784121</v>
      </c>
      <c r="T620" t="s">
        <v>31</v>
      </c>
      <c r="U620" s="3">
        <v>0</v>
      </c>
      <c r="V620" s="3" t="str">
        <f t="shared" si="134"/>
        <v>Normal</v>
      </c>
      <c r="W620" s="3" t="s">
        <v>51</v>
      </c>
      <c r="X620" s="32">
        <f t="shared" si="131"/>
        <v>0.12642859110201243</v>
      </c>
      <c r="Z620" s="38">
        <f t="shared" si="135"/>
        <v>1.4285911020124331E-3</v>
      </c>
      <c r="AC620" s="36">
        <v>0.125</v>
      </c>
      <c r="AL620" t="str">
        <f t="shared" si="136"/>
        <v>TPA Approval Delay</v>
      </c>
      <c r="AM620" t="str">
        <f t="shared" si="137"/>
        <v>No</v>
      </c>
      <c r="AN620" t="str">
        <f t="shared" si="138"/>
        <v>Elective</v>
      </c>
      <c r="AO620" t="str">
        <f t="shared" si="139"/>
        <v>General Ward</v>
      </c>
    </row>
    <row r="621" spans="1:41" x14ac:dyDescent="0.3">
      <c r="A621" s="21" t="str">
        <f t="shared" si="132"/>
        <v>UHID-00620</v>
      </c>
      <c r="B621" s="18">
        <v>66</v>
      </c>
      <c r="C621" s="10" t="s">
        <v>18</v>
      </c>
      <c r="D621" s="13" t="s">
        <v>26</v>
      </c>
      <c r="E621" s="13" t="s">
        <v>4</v>
      </c>
      <c r="F621" s="15">
        <v>46184.770760671301</v>
      </c>
      <c r="G621" s="4">
        <v>46184</v>
      </c>
      <c r="H621" s="1">
        <v>46189.797722743097</v>
      </c>
      <c r="I621" s="22">
        <v>46189</v>
      </c>
      <c r="J621" s="24">
        <f t="shared" si="126"/>
        <v>46189.64833897369</v>
      </c>
      <c r="K621" s="24">
        <f t="shared" si="127"/>
        <v>0.79772274309652857</v>
      </c>
      <c r="L621" s="29">
        <f t="shared" si="133"/>
        <v>46188</v>
      </c>
      <c r="M621" s="27" t="str">
        <f t="shared" si="128"/>
        <v>TPA Approval Delay</v>
      </c>
      <c r="N621" s="31">
        <f t="shared" si="129"/>
        <v>5</v>
      </c>
      <c r="O621" s="27"/>
      <c r="Q621" s="8">
        <v>0.64984155536447996</v>
      </c>
      <c r="R621" s="8" t="str">
        <f t="shared" si="130"/>
        <v>Major Delay</v>
      </c>
      <c r="S621" s="33">
        <v>3.5852104658441131</v>
      </c>
      <c r="T621" t="s">
        <v>31</v>
      </c>
      <c r="U621" s="3">
        <v>0</v>
      </c>
      <c r="V621" s="3" t="str">
        <f t="shared" si="134"/>
        <v>Normal</v>
      </c>
      <c r="W621" s="3" t="s">
        <v>51</v>
      </c>
      <c r="X621" s="32">
        <f t="shared" si="131"/>
        <v>0.14938376940699527</v>
      </c>
      <c r="Z621" s="38">
        <f t="shared" si="135"/>
        <v>2.438376940699527E-2</v>
      </c>
      <c r="AC621" s="36">
        <v>0.125</v>
      </c>
      <c r="AL621" t="str">
        <f t="shared" si="136"/>
        <v>TPA Approval Delay</v>
      </c>
      <c r="AM621" t="str">
        <f t="shared" si="137"/>
        <v>No</v>
      </c>
      <c r="AN621" t="str">
        <f t="shared" si="138"/>
        <v>Elective</v>
      </c>
      <c r="AO621" t="str">
        <f t="shared" si="139"/>
        <v>HDU</v>
      </c>
    </row>
    <row r="622" spans="1:41" x14ac:dyDescent="0.3">
      <c r="A622" s="21" t="str">
        <f t="shared" si="132"/>
        <v>UHID-00621</v>
      </c>
      <c r="B622" s="18">
        <v>22</v>
      </c>
      <c r="C622" s="10" t="s">
        <v>18</v>
      </c>
      <c r="D622" s="13" t="s">
        <v>28</v>
      </c>
      <c r="E622" s="13" t="s">
        <v>4</v>
      </c>
      <c r="F622" s="15">
        <v>46187.672898807898</v>
      </c>
      <c r="G622" s="4">
        <v>46187</v>
      </c>
      <c r="H622" s="1">
        <v>46190.602111562497</v>
      </c>
      <c r="I622" s="22">
        <v>46190</v>
      </c>
      <c r="J622" s="24">
        <f t="shared" si="126"/>
        <v>46190.493544862191</v>
      </c>
      <c r="K622" s="24">
        <f t="shared" si="127"/>
        <v>0.60211156249715714</v>
      </c>
      <c r="L622" s="29">
        <f t="shared" si="133"/>
        <v>46189</v>
      </c>
      <c r="M622" s="27" t="str">
        <f t="shared" si="128"/>
        <v>Doctor Round Delay/Report Delay</v>
      </c>
      <c r="N622" s="31">
        <f t="shared" si="129"/>
        <v>3</v>
      </c>
      <c r="O622" s="27"/>
      <c r="Q622" s="8">
        <v>0.92702245016181783</v>
      </c>
      <c r="R622" s="8" t="str">
        <f t="shared" si="130"/>
        <v>Minor Delay</v>
      </c>
      <c r="S622" s="33">
        <v>2.6056008073993002</v>
      </c>
      <c r="T622" t="s">
        <v>31</v>
      </c>
      <c r="U622" s="3">
        <v>0</v>
      </c>
      <c r="V622" s="3" t="str">
        <f t="shared" si="134"/>
        <v>Normal</v>
      </c>
      <c r="W622" s="3" t="s">
        <v>51</v>
      </c>
      <c r="X622" s="32">
        <f t="shared" si="131"/>
        <v>0.10856670030625537</v>
      </c>
      <c r="Z622" s="38">
        <f t="shared" si="135"/>
        <v>0</v>
      </c>
      <c r="AC622" s="36">
        <v>0.125</v>
      </c>
      <c r="AL622" t="str">
        <f t="shared" si="136"/>
        <v>Doctor Round Delay/Report Delay</v>
      </c>
      <c r="AM622" t="str">
        <f t="shared" si="137"/>
        <v>No</v>
      </c>
      <c r="AN622" t="str">
        <f t="shared" si="138"/>
        <v>Emergency</v>
      </c>
      <c r="AO622" t="str">
        <f t="shared" si="139"/>
        <v>General Ward</v>
      </c>
    </row>
    <row r="623" spans="1:41" x14ac:dyDescent="0.3">
      <c r="A623" s="21" t="str">
        <f t="shared" si="132"/>
        <v>UHID-00622</v>
      </c>
      <c r="B623" s="18">
        <v>55</v>
      </c>
      <c r="C623" s="10" t="s">
        <v>17</v>
      </c>
      <c r="D623" s="13" t="s">
        <v>28</v>
      </c>
      <c r="E623" s="13" t="s">
        <v>4</v>
      </c>
      <c r="F623" s="15">
        <v>46189.967649513899</v>
      </c>
      <c r="G623" s="4">
        <v>46189</v>
      </c>
      <c r="H623" s="1">
        <v>46191.621624039399</v>
      </c>
      <c r="I623" s="22">
        <v>46191</v>
      </c>
      <c r="J623" s="24">
        <f t="shared" si="126"/>
        <v>46191.499068791716</v>
      </c>
      <c r="K623" s="24">
        <f t="shared" si="127"/>
        <v>0.62162403939873911</v>
      </c>
      <c r="L623" s="29">
        <f t="shared" si="133"/>
        <v>46190</v>
      </c>
      <c r="M623" s="27" t="str">
        <f t="shared" si="128"/>
        <v>Doctor Round Delay/Report Delay</v>
      </c>
      <c r="N623" s="31">
        <f t="shared" si="129"/>
        <v>2</v>
      </c>
      <c r="O623" s="27"/>
      <c r="Q623" s="8">
        <v>0.89047383362538446</v>
      </c>
      <c r="R623" s="8" t="str">
        <f t="shared" si="130"/>
        <v>Minor Delay</v>
      </c>
      <c r="S623" s="33">
        <v>2.9413259443903264</v>
      </c>
      <c r="T623" t="s">
        <v>31</v>
      </c>
      <c r="U623" s="3">
        <v>0</v>
      </c>
      <c r="V623" s="3" t="str">
        <f t="shared" si="134"/>
        <v>Normal</v>
      </c>
      <c r="W623" s="3" t="s">
        <v>51</v>
      </c>
      <c r="X623" s="32">
        <f t="shared" si="131"/>
        <v>0.12255524768261239</v>
      </c>
      <c r="Z623" s="38">
        <f t="shared" si="135"/>
        <v>0</v>
      </c>
      <c r="AC623" s="36">
        <v>0.125</v>
      </c>
      <c r="AL623" t="str">
        <f t="shared" si="136"/>
        <v>Doctor Round Delay/Report Delay</v>
      </c>
      <c r="AM623" t="str">
        <f t="shared" si="137"/>
        <v>No</v>
      </c>
      <c r="AN623" t="str">
        <f t="shared" si="138"/>
        <v>Emergency</v>
      </c>
      <c r="AO623" t="str">
        <f t="shared" si="139"/>
        <v>General Ward</v>
      </c>
    </row>
    <row r="624" spans="1:41" x14ac:dyDescent="0.3">
      <c r="A624" s="21" t="str">
        <f t="shared" si="132"/>
        <v>UHID-00623</v>
      </c>
      <c r="B624" s="18">
        <v>59</v>
      </c>
      <c r="C624" s="10" t="s">
        <v>18</v>
      </c>
      <c r="D624" s="13" t="s">
        <v>26</v>
      </c>
      <c r="E624" s="13" t="s">
        <v>4</v>
      </c>
      <c r="F624" s="15">
        <v>46187.676009780102</v>
      </c>
      <c r="G624" s="4">
        <v>46187</v>
      </c>
      <c r="H624" s="1">
        <v>46191.499814907402</v>
      </c>
      <c r="I624" s="22">
        <v>46191</v>
      </c>
      <c r="J624" s="24">
        <f t="shared" si="126"/>
        <v>46191.367460067515</v>
      </c>
      <c r="K624" s="24">
        <f t="shared" si="127"/>
        <v>0.49981490740174195</v>
      </c>
      <c r="L624" s="29">
        <f t="shared" si="133"/>
        <v>46190</v>
      </c>
      <c r="M624" s="27" t="str">
        <f t="shared" si="128"/>
        <v>TPA Approval Delay</v>
      </c>
      <c r="N624" s="31">
        <f t="shared" si="129"/>
        <v>4</v>
      </c>
      <c r="O624" s="27"/>
      <c r="Q624" s="8">
        <v>0.68520148870744979</v>
      </c>
      <c r="R624" s="8" t="str">
        <f t="shared" si="130"/>
        <v>Major Delay</v>
      </c>
      <c r="S624" s="33">
        <v>3.1765161572517169</v>
      </c>
      <c r="T624" t="s">
        <v>31</v>
      </c>
      <c r="U624" s="3">
        <v>0</v>
      </c>
      <c r="V624" s="3" t="str">
        <f t="shared" si="134"/>
        <v>Normal</v>
      </c>
      <c r="W624" s="3" t="s">
        <v>51</v>
      </c>
      <c r="X624" s="32">
        <f t="shared" si="131"/>
        <v>0.13235483988682972</v>
      </c>
      <c r="Z624" s="38">
        <f t="shared" si="135"/>
        <v>7.3548398868297227E-3</v>
      </c>
      <c r="AC624" s="36">
        <v>0.125</v>
      </c>
      <c r="AL624" t="str">
        <f t="shared" si="136"/>
        <v>TPA Approval Delay</v>
      </c>
      <c r="AM624" t="str">
        <f t="shared" si="137"/>
        <v>No</v>
      </c>
      <c r="AN624" t="str">
        <f t="shared" si="138"/>
        <v>Elective</v>
      </c>
      <c r="AO624" t="str">
        <f t="shared" si="139"/>
        <v>HDU</v>
      </c>
    </row>
    <row r="625" spans="1:41" x14ac:dyDescent="0.3">
      <c r="A625" s="21" t="str">
        <f t="shared" si="132"/>
        <v>UHID-00624</v>
      </c>
      <c r="B625" s="18">
        <v>22</v>
      </c>
      <c r="C625" s="10" t="s">
        <v>18</v>
      </c>
      <c r="D625" s="13" t="s">
        <v>26</v>
      </c>
      <c r="E625" s="13" t="s">
        <v>4</v>
      </c>
      <c r="F625" s="15">
        <v>46190.760829490697</v>
      </c>
      <c r="G625" s="4">
        <v>46190</v>
      </c>
      <c r="H625" s="1">
        <v>46192.5736525463</v>
      </c>
      <c r="I625" s="22">
        <v>46192</v>
      </c>
      <c r="J625" s="24">
        <f t="shared" si="126"/>
        <v>46192.412560488585</v>
      </c>
      <c r="K625" s="24">
        <f t="shared" si="127"/>
        <v>0.57365254629985429</v>
      </c>
      <c r="L625" s="29">
        <f t="shared" si="133"/>
        <v>46191</v>
      </c>
      <c r="M625" s="27" t="str">
        <f t="shared" si="128"/>
        <v>TPA Approval Delay</v>
      </c>
      <c r="N625" s="31">
        <f t="shared" si="129"/>
        <v>2</v>
      </c>
      <c r="O625" s="27"/>
      <c r="Q625" s="8">
        <v>0.76757254487506066</v>
      </c>
      <c r="R625" s="8" t="str">
        <f t="shared" si="130"/>
        <v>Major Delay</v>
      </c>
      <c r="S625" s="33">
        <v>3.8662093852173944</v>
      </c>
      <c r="T625" t="s">
        <v>31</v>
      </c>
      <c r="U625" s="3">
        <v>0</v>
      </c>
      <c r="V625" s="3" t="str">
        <f t="shared" si="134"/>
        <v>Normal</v>
      </c>
      <c r="W625" s="3" t="s">
        <v>51</v>
      </c>
      <c r="X625" s="32">
        <f t="shared" si="131"/>
        <v>0.16109205771499546</v>
      </c>
      <c r="Z625" s="38">
        <f t="shared" si="135"/>
        <v>3.6092057714995462E-2</v>
      </c>
      <c r="AC625" s="36">
        <v>0.125</v>
      </c>
      <c r="AL625" t="str">
        <f t="shared" si="136"/>
        <v>TPA Approval Delay</v>
      </c>
      <c r="AM625" t="str">
        <f t="shared" si="137"/>
        <v>No</v>
      </c>
      <c r="AN625" t="str">
        <f t="shared" si="138"/>
        <v>Elective</v>
      </c>
      <c r="AO625" t="str">
        <f t="shared" si="139"/>
        <v>General Ward</v>
      </c>
    </row>
    <row r="626" spans="1:41" x14ac:dyDescent="0.3">
      <c r="A626" s="21" t="str">
        <f t="shared" si="132"/>
        <v>UHID-00625</v>
      </c>
      <c r="B626" s="18">
        <v>30</v>
      </c>
      <c r="C626" s="10" t="s">
        <v>18</v>
      </c>
      <c r="D626" s="13" t="s">
        <v>27</v>
      </c>
      <c r="E626" s="13" t="s">
        <v>4</v>
      </c>
      <c r="F626" s="15">
        <v>46189.758785613398</v>
      </c>
      <c r="G626" s="4">
        <v>46189</v>
      </c>
      <c r="H626" s="1">
        <v>46192.544163171297</v>
      </c>
      <c r="I626" s="22">
        <v>46192</v>
      </c>
      <c r="J626" s="24">
        <f t="shared" si="126"/>
        <v>46192.476689552095</v>
      </c>
      <c r="K626" s="24">
        <f t="shared" si="127"/>
        <v>0.5441631712965318</v>
      </c>
      <c r="L626" s="29">
        <f t="shared" si="133"/>
        <v>46191</v>
      </c>
      <c r="M626" s="27" t="str">
        <f t="shared" si="128"/>
        <v>Normal</v>
      </c>
      <c r="N626" s="31">
        <f t="shared" si="129"/>
        <v>3</v>
      </c>
      <c r="O626" s="27"/>
      <c r="Q626" s="8">
        <v>0.47354964552996781</v>
      </c>
      <c r="R626" s="8" t="str">
        <f t="shared" si="130"/>
        <v>On Time</v>
      </c>
      <c r="S626" s="33">
        <v>1.6193668608397376</v>
      </c>
      <c r="T626" t="s">
        <v>31</v>
      </c>
      <c r="U626" s="3">
        <v>0</v>
      </c>
      <c r="V626" s="3" t="str">
        <f t="shared" si="134"/>
        <v>Normal</v>
      </c>
      <c r="W626" s="3" t="s">
        <v>51</v>
      </c>
      <c r="X626" s="32">
        <f t="shared" si="131"/>
        <v>6.7473619201336987E-2</v>
      </c>
      <c r="Z626" s="38">
        <f t="shared" si="135"/>
        <v>0</v>
      </c>
      <c r="AC626" s="36">
        <v>0.125</v>
      </c>
      <c r="AL626" t="str">
        <f t="shared" si="136"/>
        <v>Normal</v>
      </c>
      <c r="AM626" t="str">
        <f t="shared" si="137"/>
        <v>No</v>
      </c>
      <c r="AN626" t="str">
        <f t="shared" si="138"/>
        <v>Elective</v>
      </c>
      <c r="AO626" t="str">
        <f t="shared" si="139"/>
        <v>General Ward</v>
      </c>
    </row>
    <row r="627" spans="1:41" x14ac:dyDescent="0.3">
      <c r="A627" s="21" t="str">
        <f t="shared" si="132"/>
        <v>UHID-00626</v>
      </c>
      <c r="B627" s="18">
        <v>49</v>
      </c>
      <c r="C627" s="10" t="s">
        <v>17</v>
      </c>
      <c r="D627" s="13" t="s">
        <v>26</v>
      </c>
      <c r="E627" s="13" t="s">
        <v>4</v>
      </c>
      <c r="F627" s="15">
        <v>46190.838076018503</v>
      </c>
      <c r="G627" s="4">
        <v>46190</v>
      </c>
      <c r="H627" s="1">
        <v>46192.7236385301</v>
      </c>
      <c r="I627" s="22">
        <v>46192</v>
      </c>
      <c r="J627" s="24">
        <f t="shared" si="126"/>
        <v>46192.440837065384</v>
      </c>
      <c r="K627" s="24">
        <f t="shared" si="127"/>
        <v>0.72363853010028834</v>
      </c>
      <c r="L627" s="29">
        <f t="shared" si="133"/>
        <v>46191</v>
      </c>
      <c r="M627" s="27" t="str">
        <f t="shared" si="128"/>
        <v>Health Deterioration/TPA Approval Delay</v>
      </c>
      <c r="N627" s="31">
        <f t="shared" si="129"/>
        <v>2</v>
      </c>
      <c r="O627" s="27"/>
      <c r="Q627" s="8">
        <v>0.60951056914823276</v>
      </c>
      <c r="R627" s="8" t="str">
        <f t="shared" si="130"/>
        <v>Critical Delay</v>
      </c>
      <c r="S627" s="33">
        <v>3.7872351531503572</v>
      </c>
      <c r="T627" t="s">
        <v>31</v>
      </c>
      <c r="U627" s="3">
        <v>3</v>
      </c>
      <c r="V627" s="3" t="str">
        <f t="shared" si="134"/>
        <v>Normal</v>
      </c>
      <c r="W627" s="3" t="s">
        <v>50</v>
      </c>
      <c r="X627" s="32">
        <f t="shared" si="131"/>
        <v>0.28280146471661283</v>
      </c>
      <c r="Z627" s="38">
        <f t="shared" si="135"/>
        <v>0.15780146471661283</v>
      </c>
      <c r="AC627" s="36">
        <v>0.125</v>
      </c>
      <c r="AL627" t="str">
        <f t="shared" si="136"/>
        <v>Health Deterioration/TPA Approval Delay</v>
      </c>
      <c r="AM627" t="str">
        <f t="shared" si="137"/>
        <v>No</v>
      </c>
      <c r="AN627" t="str">
        <f t="shared" si="138"/>
        <v>Emergency</v>
      </c>
      <c r="AO627" t="str">
        <f t="shared" si="139"/>
        <v>General Ward</v>
      </c>
    </row>
    <row r="628" spans="1:41" x14ac:dyDescent="0.3">
      <c r="A628" s="21" t="str">
        <f t="shared" si="132"/>
        <v>UHID-00627</v>
      </c>
      <c r="B628" s="18">
        <v>29</v>
      </c>
      <c r="C628" s="10" t="s">
        <v>18</v>
      </c>
      <c r="D628" s="13" t="s">
        <v>26</v>
      </c>
      <c r="E628" s="13" t="s">
        <v>4</v>
      </c>
      <c r="F628" s="15">
        <v>46189.647897604198</v>
      </c>
      <c r="G628" s="4">
        <v>46189</v>
      </c>
      <c r="H628" s="1">
        <v>46192.655003067099</v>
      </c>
      <c r="I628" s="22">
        <v>46192</v>
      </c>
      <c r="J628" s="24">
        <f t="shared" si="126"/>
        <v>46192.51526941394</v>
      </c>
      <c r="K628" s="24">
        <f t="shared" si="127"/>
        <v>0.65500306709873257</v>
      </c>
      <c r="L628" s="29">
        <f t="shared" si="133"/>
        <v>46191</v>
      </c>
      <c r="M628" s="27" t="str">
        <f t="shared" si="128"/>
        <v>TPA Approval Delay</v>
      </c>
      <c r="N628" s="31">
        <f t="shared" si="129"/>
        <v>3</v>
      </c>
      <c r="O628" s="27"/>
      <c r="Q628" s="8">
        <v>0.69174932024595348</v>
      </c>
      <c r="R628" s="8" t="str">
        <f t="shared" si="130"/>
        <v>Major Delay</v>
      </c>
      <c r="S628" s="33">
        <v>3.3536076758632301</v>
      </c>
      <c r="T628" t="s">
        <v>31</v>
      </c>
      <c r="U628" s="3">
        <v>0</v>
      </c>
      <c r="V628" s="3" t="str">
        <f t="shared" si="134"/>
        <v>Normal</v>
      </c>
      <c r="W628" s="3" t="s">
        <v>51</v>
      </c>
      <c r="X628" s="32">
        <f t="shared" si="131"/>
        <v>0.13973365315905539</v>
      </c>
      <c r="Z628" s="38">
        <f t="shared" si="135"/>
        <v>1.4733653159055393E-2</v>
      </c>
      <c r="AC628" s="36">
        <v>0.125</v>
      </c>
      <c r="AL628" t="str">
        <f t="shared" si="136"/>
        <v>TPA Approval Delay</v>
      </c>
      <c r="AM628" t="str">
        <f t="shared" si="137"/>
        <v>No</v>
      </c>
      <c r="AN628" t="str">
        <f t="shared" si="138"/>
        <v>Elective</v>
      </c>
      <c r="AO628" t="str">
        <f t="shared" si="139"/>
        <v>General Ward</v>
      </c>
    </row>
    <row r="629" spans="1:41" x14ac:dyDescent="0.3">
      <c r="A629" s="21" t="str">
        <f t="shared" si="132"/>
        <v>UHID-00628</v>
      </c>
      <c r="B629" s="18">
        <v>65</v>
      </c>
      <c r="C629" s="10" t="s">
        <v>18</v>
      </c>
      <c r="D629" s="13" t="s">
        <v>26</v>
      </c>
      <c r="E629" s="13" t="s">
        <v>4</v>
      </c>
      <c r="F629" s="15">
        <v>46189.752801597198</v>
      </c>
      <c r="G629" s="4">
        <v>46189</v>
      </c>
      <c r="H629" s="1">
        <v>46192.679232419003</v>
      </c>
      <c r="I629" s="22">
        <v>46192</v>
      </c>
      <c r="J629" s="24">
        <f t="shared" si="126"/>
        <v>46192.551345192383</v>
      </c>
      <c r="K629" s="24">
        <f t="shared" si="127"/>
        <v>0.67923241900280118</v>
      </c>
      <c r="L629" s="29">
        <f t="shared" si="133"/>
        <v>46191</v>
      </c>
      <c r="M629" s="27" t="str">
        <f t="shared" si="128"/>
        <v>TPA Approval Delay</v>
      </c>
      <c r="N629" s="31">
        <f t="shared" si="129"/>
        <v>3</v>
      </c>
      <c r="O629" s="27"/>
      <c r="Q629" s="8">
        <v>0.84221515343631648</v>
      </c>
      <c r="R629" s="8" t="str">
        <f t="shared" si="130"/>
        <v>Major Delay</v>
      </c>
      <c r="S629" s="33">
        <v>3.0692934387882507</v>
      </c>
      <c r="T629" t="s">
        <v>31</v>
      </c>
      <c r="U629" s="3">
        <v>0</v>
      </c>
      <c r="V629" s="3" t="str">
        <f t="shared" si="134"/>
        <v>Normal</v>
      </c>
      <c r="W629" s="3" t="s">
        <v>51</v>
      </c>
      <c r="X629" s="32">
        <f t="shared" si="131"/>
        <v>0.12788722661935026</v>
      </c>
      <c r="Z629" s="38">
        <f t="shared" si="135"/>
        <v>2.8872266193502583E-3</v>
      </c>
      <c r="AC629" s="36">
        <v>0.125</v>
      </c>
      <c r="AL629" t="str">
        <f t="shared" si="136"/>
        <v>TPA Approval Delay</v>
      </c>
      <c r="AM629" t="str">
        <f t="shared" si="137"/>
        <v>No</v>
      </c>
      <c r="AN629" t="str">
        <f t="shared" si="138"/>
        <v>Elective</v>
      </c>
      <c r="AO629" t="str">
        <f t="shared" si="139"/>
        <v>General Ward</v>
      </c>
    </row>
    <row r="630" spans="1:41" x14ac:dyDescent="0.3">
      <c r="A630" s="21" t="str">
        <f t="shared" si="132"/>
        <v>UHID-00629</v>
      </c>
      <c r="B630" s="18">
        <v>39</v>
      </c>
      <c r="C630" s="10" t="s">
        <v>17</v>
      </c>
      <c r="D630" s="13" t="s">
        <v>28</v>
      </c>
      <c r="E630" s="13" t="s">
        <v>4</v>
      </c>
      <c r="F630" s="15">
        <v>46192.708640810197</v>
      </c>
      <c r="G630" s="4">
        <v>46192</v>
      </c>
      <c r="H630" s="1">
        <v>46192.967795902798</v>
      </c>
      <c r="I630" s="22">
        <v>46192</v>
      </c>
      <c r="J630" s="24">
        <f t="shared" si="126"/>
        <v>46192.877297672654</v>
      </c>
      <c r="K630" s="24">
        <f t="shared" si="127"/>
        <v>0.96779590279766126</v>
      </c>
      <c r="L630" s="29">
        <f t="shared" si="133"/>
        <v>46191</v>
      </c>
      <c r="M630" s="27" t="str">
        <f t="shared" si="128"/>
        <v>Doctor Round Delay/Report Delay</v>
      </c>
      <c r="N630" s="31">
        <f t="shared" si="129"/>
        <v>0</v>
      </c>
      <c r="O630" s="27"/>
      <c r="Q630" s="8">
        <v>0.92911830640294357</v>
      </c>
      <c r="R630" s="8" t="str">
        <f t="shared" si="130"/>
        <v>Minor Delay</v>
      </c>
      <c r="S630" s="33">
        <v>2.1719575234152142</v>
      </c>
      <c r="T630" t="s">
        <v>31</v>
      </c>
      <c r="U630" s="3">
        <v>0</v>
      </c>
      <c r="V630" s="3" t="str">
        <f t="shared" si="134"/>
        <v>Normal</v>
      </c>
      <c r="W630" s="3" t="s">
        <v>51</v>
      </c>
      <c r="X630" s="32">
        <f t="shared" si="131"/>
        <v>9.0498230143566616E-2</v>
      </c>
      <c r="Z630" s="38">
        <f t="shared" si="135"/>
        <v>0</v>
      </c>
      <c r="AC630" s="36">
        <v>0.125</v>
      </c>
      <c r="AL630" t="str">
        <f t="shared" si="136"/>
        <v>Doctor Round Delay/Report Delay</v>
      </c>
      <c r="AM630" t="str">
        <f t="shared" si="137"/>
        <v>No</v>
      </c>
      <c r="AN630" t="str">
        <f t="shared" si="138"/>
        <v>Elective</v>
      </c>
      <c r="AO630" t="str">
        <f t="shared" si="139"/>
        <v>General Ward</v>
      </c>
    </row>
    <row r="631" spans="1:41" x14ac:dyDescent="0.3">
      <c r="A631" s="21" t="str">
        <f t="shared" si="132"/>
        <v>UHID-00630</v>
      </c>
      <c r="B631" s="18">
        <v>20</v>
      </c>
      <c r="C631" s="10" t="s">
        <v>17</v>
      </c>
      <c r="D631" s="13" t="s">
        <v>26</v>
      </c>
      <c r="E631" s="13" t="s">
        <v>4</v>
      </c>
      <c r="F631" s="15">
        <v>46189.914267175896</v>
      </c>
      <c r="G631" s="4">
        <v>46189</v>
      </c>
      <c r="H631" s="1">
        <v>46192.316947951404</v>
      </c>
      <c r="I631" s="22">
        <v>46192</v>
      </c>
      <c r="J631" s="24">
        <f t="shared" si="126"/>
        <v>46192.041885959727</v>
      </c>
      <c r="K631" s="24">
        <f t="shared" si="127"/>
        <v>0.31694795140356291</v>
      </c>
      <c r="L631" s="29">
        <f t="shared" si="133"/>
        <v>46191</v>
      </c>
      <c r="M631" s="27" t="str">
        <f t="shared" si="128"/>
        <v>Health Deterioration/TPA Approval Delay</v>
      </c>
      <c r="N631" s="31">
        <f t="shared" si="129"/>
        <v>3</v>
      </c>
      <c r="O631" s="27"/>
      <c r="Q631" s="8">
        <v>0.75954878624419098</v>
      </c>
      <c r="R631" s="8" t="str">
        <f t="shared" si="130"/>
        <v>Critical Delay</v>
      </c>
      <c r="S631" s="33">
        <v>3.6014878003179795</v>
      </c>
      <c r="T631" t="s">
        <v>31</v>
      </c>
      <c r="U631" s="3">
        <v>3</v>
      </c>
      <c r="V631" s="3" t="str">
        <f t="shared" si="134"/>
        <v>Normal</v>
      </c>
      <c r="W631" s="3" t="s">
        <v>50</v>
      </c>
      <c r="X631" s="32">
        <f t="shared" si="131"/>
        <v>0.27506199167692102</v>
      </c>
      <c r="Z631" s="38">
        <f t="shared" si="135"/>
        <v>0.15006199167692102</v>
      </c>
      <c r="AC631" s="36">
        <v>0.125</v>
      </c>
      <c r="AL631" t="str">
        <f t="shared" si="136"/>
        <v>Health Deterioration/TPA Approval Delay</v>
      </c>
      <c r="AM631" t="str">
        <f t="shared" si="137"/>
        <v>No</v>
      </c>
      <c r="AN631" t="str">
        <f t="shared" si="138"/>
        <v>Emergency</v>
      </c>
      <c r="AO631" t="str">
        <f t="shared" si="139"/>
        <v>General Ward</v>
      </c>
    </row>
    <row r="632" spans="1:41" x14ac:dyDescent="0.3">
      <c r="A632" s="21" t="str">
        <f t="shared" si="132"/>
        <v>UHID-00631</v>
      </c>
      <c r="B632" s="18">
        <v>45</v>
      </c>
      <c r="C632" s="10" t="s">
        <v>17</v>
      </c>
      <c r="D632" s="13" t="s">
        <v>27</v>
      </c>
      <c r="E632" s="13" t="s">
        <v>4</v>
      </c>
      <c r="F632" s="15">
        <v>46192.387814374997</v>
      </c>
      <c r="G632" s="4">
        <v>46192</v>
      </c>
      <c r="H632" s="1">
        <v>46193.617390601903</v>
      </c>
      <c r="I632" s="22">
        <v>46193</v>
      </c>
      <c r="J632" s="24">
        <f t="shared" si="126"/>
        <v>46193.562677006797</v>
      </c>
      <c r="K632" s="24">
        <f t="shared" si="127"/>
        <v>0.61739060190302553</v>
      </c>
      <c r="L632" s="29">
        <f t="shared" si="133"/>
        <v>46192</v>
      </c>
      <c r="M632" s="27" t="str">
        <f t="shared" si="128"/>
        <v>Normal</v>
      </c>
      <c r="N632" s="31">
        <f t="shared" si="129"/>
        <v>1</v>
      </c>
      <c r="O632" s="27"/>
      <c r="Q632" s="8">
        <v>0.46368827749894403</v>
      </c>
      <c r="R632" s="8" t="str">
        <f t="shared" si="130"/>
        <v>On Time</v>
      </c>
      <c r="S632" s="33">
        <v>1.3131262825512424</v>
      </c>
      <c r="T632" t="s">
        <v>31</v>
      </c>
      <c r="U632" s="3">
        <v>0</v>
      </c>
      <c r="V632" s="3" t="str">
        <f t="shared" si="134"/>
        <v>Normal</v>
      </c>
      <c r="W632" s="3" t="s">
        <v>51</v>
      </c>
      <c r="X632" s="32">
        <f t="shared" si="131"/>
        <v>5.4713595105567947E-2</v>
      </c>
      <c r="Z632" s="38">
        <f t="shared" si="135"/>
        <v>0</v>
      </c>
      <c r="AC632" s="36">
        <v>0.125</v>
      </c>
      <c r="AL632" t="str">
        <f t="shared" si="136"/>
        <v>Normal</v>
      </c>
      <c r="AM632" t="str">
        <f t="shared" si="137"/>
        <v>No</v>
      </c>
      <c r="AN632" t="str">
        <f t="shared" si="138"/>
        <v>Elective</v>
      </c>
      <c r="AO632" t="str">
        <f t="shared" si="139"/>
        <v>General Ward</v>
      </c>
    </row>
    <row r="633" spans="1:41" x14ac:dyDescent="0.3">
      <c r="A633" s="21" t="str">
        <f t="shared" si="132"/>
        <v>UHID-00632</v>
      </c>
      <c r="B633" s="18">
        <v>53</v>
      </c>
      <c r="C633" s="10" t="s">
        <v>17</v>
      </c>
      <c r="D633" s="13" t="s">
        <v>27</v>
      </c>
      <c r="E633" s="13" t="s">
        <v>4</v>
      </c>
      <c r="F633" s="15">
        <v>46191.783586342601</v>
      </c>
      <c r="G633" s="4">
        <v>46191</v>
      </c>
      <c r="H633" s="1">
        <v>46193.631658553197</v>
      </c>
      <c r="I633" s="22">
        <v>46193</v>
      </c>
      <c r="J633" s="24">
        <f t="shared" si="126"/>
        <v>46193.443652333772</v>
      </c>
      <c r="K633" s="24">
        <f t="shared" si="127"/>
        <v>0.63165855319675757</v>
      </c>
      <c r="L633" s="29">
        <f t="shared" si="133"/>
        <v>46192</v>
      </c>
      <c r="M633" s="27" t="str">
        <f t="shared" si="128"/>
        <v>Medication Change</v>
      </c>
      <c r="N633" s="31">
        <f t="shared" si="129"/>
        <v>2</v>
      </c>
      <c r="O633" s="27"/>
      <c r="Q633" s="8">
        <v>0.39581686317234044</v>
      </c>
      <c r="R633" s="8" t="str">
        <f t="shared" si="130"/>
        <v>Major Delay</v>
      </c>
      <c r="S633" s="33">
        <v>1.5121492662086613</v>
      </c>
      <c r="T633" t="s">
        <v>31</v>
      </c>
      <c r="U633" s="3">
        <v>3</v>
      </c>
      <c r="V633" s="3" t="str">
        <f t="shared" si="134"/>
        <v>Normal</v>
      </c>
      <c r="W633" s="3" t="s">
        <v>50</v>
      </c>
      <c r="X633" s="32">
        <f t="shared" si="131"/>
        <v>0.18800621942500584</v>
      </c>
      <c r="Z633" s="38">
        <f t="shared" si="135"/>
        <v>6.3006219425005838E-2</v>
      </c>
      <c r="AC633" s="36">
        <v>0.125</v>
      </c>
      <c r="AL633" t="str">
        <f t="shared" si="136"/>
        <v>Medication Change</v>
      </c>
      <c r="AM633" t="str">
        <f t="shared" si="137"/>
        <v>No</v>
      </c>
      <c r="AN633" t="str">
        <f t="shared" si="138"/>
        <v>Elective</v>
      </c>
      <c r="AO633" t="str">
        <f t="shared" si="139"/>
        <v>General Ward</v>
      </c>
    </row>
    <row r="634" spans="1:41" x14ac:dyDescent="0.3">
      <c r="A634" s="21" t="str">
        <f t="shared" si="132"/>
        <v>UHID-00633</v>
      </c>
      <c r="B634" s="18">
        <v>45</v>
      </c>
      <c r="C634" s="10" t="s">
        <v>17</v>
      </c>
      <c r="D634" s="13" t="s">
        <v>28</v>
      </c>
      <c r="E634" s="13" t="s">
        <v>4</v>
      </c>
      <c r="F634" s="15">
        <v>46192.858778263901</v>
      </c>
      <c r="G634" s="4">
        <v>46192</v>
      </c>
      <c r="H634" s="1">
        <v>46193.754207361097</v>
      </c>
      <c r="I634" s="22">
        <v>46193</v>
      </c>
      <c r="J634" s="24">
        <f t="shared" si="126"/>
        <v>46193.64423147613</v>
      </c>
      <c r="K634" s="24">
        <f t="shared" si="127"/>
        <v>0.75420736109663267</v>
      </c>
      <c r="L634" s="29">
        <f t="shared" si="133"/>
        <v>46192</v>
      </c>
      <c r="M634" s="27" t="str">
        <f t="shared" si="128"/>
        <v>Doctor Round Delay/Report Delay</v>
      </c>
      <c r="N634" s="31">
        <f t="shared" si="129"/>
        <v>1</v>
      </c>
      <c r="O634" s="27"/>
      <c r="Q634" s="8">
        <v>0.94661457441771335</v>
      </c>
      <c r="R634" s="8" t="str">
        <f t="shared" si="130"/>
        <v>Minor Delay</v>
      </c>
      <c r="S634" s="33">
        <v>2.6394212392009146</v>
      </c>
      <c r="T634" t="s">
        <v>31</v>
      </c>
      <c r="U634" s="3">
        <v>0</v>
      </c>
      <c r="V634" s="3" t="str">
        <f t="shared" si="134"/>
        <v>Normal</v>
      </c>
      <c r="W634" s="3" t="s">
        <v>51</v>
      </c>
      <c r="X634" s="32">
        <f t="shared" si="131"/>
        <v>0.1099758849668433</v>
      </c>
      <c r="Z634" s="38">
        <f t="shared" si="135"/>
        <v>0</v>
      </c>
      <c r="AC634" s="36">
        <v>0.125</v>
      </c>
      <c r="AL634" t="str">
        <f t="shared" si="136"/>
        <v>Doctor Round Delay/Report Delay</v>
      </c>
      <c r="AM634" t="str">
        <f t="shared" si="137"/>
        <v>No</v>
      </c>
      <c r="AN634" t="str">
        <f t="shared" si="138"/>
        <v>Elective</v>
      </c>
      <c r="AO634" t="str">
        <f t="shared" si="139"/>
        <v>General Ward</v>
      </c>
    </row>
    <row r="635" spans="1:41" x14ac:dyDescent="0.3">
      <c r="A635" s="21" t="str">
        <f t="shared" si="132"/>
        <v>UHID-00634</v>
      </c>
      <c r="B635" s="18">
        <v>69</v>
      </c>
      <c r="C635" s="10" t="s">
        <v>17</v>
      </c>
      <c r="D635" s="13" t="s">
        <v>27</v>
      </c>
      <c r="E635" s="13" t="s">
        <v>4</v>
      </c>
      <c r="F635" s="15">
        <v>46190.772596226903</v>
      </c>
      <c r="G635" s="4">
        <v>46190</v>
      </c>
      <c r="H635" s="1">
        <v>46193.573873240697</v>
      </c>
      <c r="I635" s="22">
        <v>46193</v>
      </c>
      <c r="J635" s="24">
        <f t="shared" si="126"/>
        <v>46193.416629976367</v>
      </c>
      <c r="K635" s="24">
        <f t="shared" si="127"/>
        <v>0.57387324069713941</v>
      </c>
      <c r="L635" s="29">
        <f t="shared" si="133"/>
        <v>46192</v>
      </c>
      <c r="M635" s="27" t="str">
        <f t="shared" si="128"/>
        <v>Medication Change</v>
      </c>
      <c r="N635" s="31">
        <f t="shared" si="129"/>
        <v>3</v>
      </c>
      <c r="O635" s="27"/>
      <c r="Q635" s="8">
        <v>0.39940319434002158</v>
      </c>
      <c r="R635" s="8" t="str">
        <f t="shared" si="130"/>
        <v>Major Delay</v>
      </c>
      <c r="S635" s="33">
        <v>1.7738383439879477</v>
      </c>
      <c r="T635" t="s">
        <v>31</v>
      </c>
      <c r="U635" s="3">
        <v>2</v>
      </c>
      <c r="V635" s="3" t="str">
        <f t="shared" si="134"/>
        <v>Normal</v>
      </c>
      <c r="W635" s="3" t="s">
        <v>50</v>
      </c>
      <c r="X635" s="32">
        <f t="shared" si="131"/>
        <v>0.15724326432973612</v>
      </c>
      <c r="Z635" s="38">
        <f t="shared" si="135"/>
        <v>3.2243264329736121E-2</v>
      </c>
      <c r="AC635" s="36">
        <v>0.125</v>
      </c>
      <c r="AL635" t="str">
        <f t="shared" si="136"/>
        <v>Medication Change</v>
      </c>
      <c r="AM635" t="str">
        <f t="shared" si="137"/>
        <v>No</v>
      </c>
      <c r="AN635" t="str">
        <f t="shared" si="138"/>
        <v>Elective</v>
      </c>
      <c r="AO635" t="str">
        <f t="shared" si="139"/>
        <v>General Ward</v>
      </c>
    </row>
    <row r="636" spans="1:41" x14ac:dyDescent="0.3">
      <c r="A636" s="21" t="str">
        <f t="shared" si="132"/>
        <v>UHID-00635</v>
      </c>
      <c r="B636" s="18">
        <v>50</v>
      </c>
      <c r="C636" s="10" t="s">
        <v>18</v>
      </c>
      <c r="D636" s="13" t="s">
        <v>27</v>
      </c>
      <c r="E636" s="13" t="s">
        <v>4</v>
      </c>
      <c r="F636" s="15">
        <v>46193.358995520801</v>
      </c>
      <c r="G636" s="4">
        <v>46193</v>
      </c>
      <c r="H636" s="1">
        <v>46194.528498645799</v>
      </c>
      <c r="I636" s="22">
        <v>46194</v>
      </c>
      <c r="J636" s="24">
        <f t="shared" si="126"/>
        <v>46194.377163120829</v>
      </c>
      <c r="K636" s="24">
        <f t="shared" si="127"/>
        <v>0.52849864579911809</v>
      </c>
      <c r="L636" s="29">
        <f t="shared" si="133"/>
        <v>46193</v>
      </c>
      <c r="M636" s="27" t="str">
        <f t="shared" si="128"/>
        <v>Medication Change</v>
      </c>
      <c r="N636" s="31">
        <f t="shared" si="129"/>
        <v>1</v>
      </c>
      <c r="O636" s="27"/>
      <c r="Q636" s="8">
        <v>0.27160291276190296</v>
      </c>
      <c r="R636" s="8" t="str">
        <f t="shared" si="130"/>
        <v>Major Delay</v>
      </c>
      <c r="S636" s="33">
        <v>1.6320525992868971</v>
      </c>
      <c r="T636" t="s">
        <v>30</v>
      </c>
      <c r="U636" s="3">
        <v>2</v>
      </c>
      <c r="V636" s="3" t="str">
        <f t="shared" si="134"/>
        <v/>
      </c>
      <c r="W636" s="3" t="s">
        <v>50</v>
      </c>
      <c r="X636" s="32">
        <f t="shared" si="131"/>
        <v>0.15133552496990887</v>
      </c>
      <c r="Z636" s="38">
        <f t="shared" si="135"/>
        <v>2.6335524969908874E-2</v>
      </c>
      <c r="AC636" s="36">
        <v>0.125</v>
      </c>
      <c r="AL636" t="str">
        <f t="shared" si="136"/>
        <v>Medication Change</v>
      </c>
      <c r="AM636" t="str">
        <f t="shared" si="137"/>
        <v>No</v>
      </c>
      <c r="AN636" t="str">
        <f t="shared" si="138"/>
        <v>Elective</v>
      </c>
      <c r="AO636" t="str">
        <f t="shared" si="139"/>
        <v>General Ward</v>
      </c>
    </row>
    <row r="637" spans="1:41" x14ac:dyDescent="0.3">
      <c r="A637" s="21" t="str">
        <f t="shared" si="132"/>
        <v>UHID-00636</v>
      </c>
      <c r="B637" s="18">
        <v>50</v>
      </c>
      <c r="C637" s="10" t="s">
        <v>17</v>
      </c>
      <c r="D637" s="13" t="s">
        <v>27</v>
      </c>
      <c r="E637" s="13" t="s">
        <v>4</v>
      </c>
      <c r="F637" s="15">
        <v>46192.670008692097</v>
      </c>
      <c r="G637" s="4">
        <v>46192</v>
      </c>
      <c r="H637" s="1">
        <v>46194.634822997701</v>
      </c>
      <c r="I637" s="22">
        <v>46194</v>
      </c>
      <c r="J637" s="24">
        <f t="shared" si="126"/>
        <v>46194.409886061898</v>
      </c>
      <c r="K637" s="24">
        <f t="shared" si="127"/>
        <v>0.63482299770112149</v>
      </c>
      <c r="L637" s="29">
        <f t="shared" si="133"/>
        <v>46193</v>
      </c>
      <c r="M637" s="27" t="str">
        <f t="shared" si="128"/>
        <v>Health Deterioration</v>
      </c>
      <c r="N637" s="31">
        <f t="shared" si="129"/>
        <v>2</v>
      </c>
      <c r="O637" s="27"/>
      <c r="Q637" s="8">
        <v>0.37301303967860111</v>
      </c>
      <c r="R637" s="8" t="str">
        <f t="shared" si="130"/>
        <v>Critical Delay</v>
      </c>
      <c r="S637" s="33">
        <v>1.3984864593453086</v>
      </c>
      <c r="T637" t="s">
        <v>31</v>
      </c>
      <c r="U637" s="3">
        <v>4</v>
      </c>
      <c r="V637" s="3" t="str">
        <f t="shared" si="134"/>
        <v>Normal</v>
      </c>
      <c r="W637" s="3" t="s">
        <v>50</v>
      </c>
      <c r="X637" s="32">
        <f t="shared" si="131"/>
        <v>0.2249369358032709</v>
      </c>
      <c r="Z637" s="38">
        <f t="shared" si="135"/>
        <v>9.9936935803270899E-2</v>
      </c>
      <c r="AC637" s="36">
        <v>0.125</v>
      </c>
      <c r="AL637" t="str">
        <f t="shared" si="136"/>
        <v>Health Deterioration</v>
      </c>
      <c r="AM637" t="str">
        <f t="shared" si="137"/>
        <v>No</v>
      </c>
      <c r="AN637" t="str">
        <f t="shared" si="138"/>
        <v>Emergency</v>
      </c>
      <c r="AO637" t="str">
        <f t="shared" si="139"/>
        <v>General Ward</v>
      </c>
    </row>
    <row r="638" spans="1:41" x14ac:dyDescent="0.3">
      <c r="A638" s="21" t="str">
        <f t="shared" si="132"/>
        <v>UHID-00637</v>
      </c>
      <c r="B638" s="18">
        <v>63</v>
      </c>
      <c r="C638" s="10" t="s">
        <v>17</v>
      </c>
      <c r="D638" s="13" t="s">
        <v>27</v>
      </c>
      <c r="E638" s="13" t="s">
        <v>4</v>
      </c>
      <c r="F638" s="15">
        <v>46188.403656180599</v>
      </c>
      <c r="G638" s="4">
        <v>46188</v>
      </c>
      <c r="H638" s="1">
        <v>46195.398795277797</v>
      </c>
      <c r="I638" s="22">
        <v>46195</v>
      </c>
      <c r="J638" s="24">
        <f t="shared" si="126"/>
        <v>46195.343633593802</v>
      </c>
      <c r="K638" s="24">
        <f t="shared" si="127"/>
        <v>0.39879527779703494</v>
      </c>
      <c r="L638" s="29">
        <f t="shared" si="133"/>
        <v>46194</v>
      </c>
      <c r="M638" s="27" t="str">
        <f t="shared" si="128"/>
        <v>Normal</v>
      </c>
      <c r="N638" s="31">
        <f t="shared" si="129"/>
        <v>7</v>
      </c>
      <c r="O638" s="27"/>
      <c r="Q638" s="8">
        <v>0.39644862954434679</v>
      </c>
      <c r="R638" s="8" t="str">
        <f t="shared" si="130"/>
        <v>On Time</v>
      </c>
      <c r="S638" s="33">
        <v>1.3238804158835737</v>
      </c>
      <c r="T638" t="s">
        <v>31</v>
      </c>
      <c r="U638" s="3">
        <v>0</v>
      </c>
      <c r="V638" s="3" t="str">
        <f t="shared" si="134"/>
        <v>Normal</v>
      </c>
      <c r="W638" s="3" t="s">
        <v>51</v>
      </c>
      <c r="X638" s="32">
        <f t="shared" si="131"/>
        <v>5.5161683994811028E-2</v>
      </c>
      <c r="Z638" s="38">
        <f t="shared" si="135"/>
        <v>0</v>
      </c>
      <c r="AC638" s="36">
        <v>0.125</v>
      </c>
      <c r="AL638" t="str">
        <f t="shared" si="136"/>
        <v>Normal</v>
      </c>
      <c r="AM638" t="str">
        <f t="shared" si="137"/>
        <v>No</v>
      </c>
      <c r="AN638" t="str">
        <f t="shared" si="138"/>
        <v>Emergency</v>
      </c>
      <c r="AO638" t="str">
        <f t="shared" si="139"/>
        <v>ICU</v>
      </c>
    </row>
    <row r="639" spans="1:41" x14ac:dyDescent="0.3">
      <c r="A639" s="21" t="str">
        <f t="shared" si="132"/>
        <v>UHID-00638</v>
      </c>
      <c r="B639" s="18">
        <v>46</v>
      </c>
      <c r="C639" s="10" t="s">
        <v>17</v>
      </c>
      <c r="D639" s="13" t="s">
        <v>28</v>
      </c>
      <c r="E639" s="13" t="s">
        <v>4</v>
      </c>
      <c r="F639" s="15">
        <v>46195.657950300898</v>
      </c>
      <c r="G639" s="4">
        <v>46195</v>
      </c>
      <c r="H639" s="1">
        <v>46195.830269004597</v>
      </c>
      <c r="I639" s="22">
        <v>46195</v>
      </c>
      <c r="J639" s="24">
        <f t="shared" si="126"/>
        <v>46195.717988080251</v>
      </c>
      <c r="K639" s="24">
        <f t="shared" si="127"/>
        <v>0.83026900459663011</v>
      </c>
      <c r="L639" s="29">
        <f t="shared" si="133"/>
        <v>46194</v>
      </c>
      <c r="M639" s="27" t="str">
        <f t="shared" si="128"/>
        <v>Doctor Round Delay/Report Delay</v>
      </c>
      <c r="N639" s="31">
        <f t="shared" si="129"/>
        <v>0</v>
      </c>
      <c r="O639" s="27"/>
      <c r="Q639" s="8">
        <v>0.94851644962549198</v>
      </c>
      <c r="R639" s="8" t="str">
        <f t="shared" si="130"/>
        <v>Minor Delay</v>
      </c>
      <c r="S639" s="33">
        <v>2.6947421843052166</v>
      </c>
      <c r="T639" t="s">
        <v>31</v>
      </c>
      <c r="U639" s="3">
        <v>0</v>
      </c>
      <c r="V639" s="3" t="str">
        <f t="shared" si="134"/>
        <v>Normal</v>
      </c>
      <c r="W639" s="3" t="s">
        <v>51</v>
      </c>
      <c r="X639" s="32">
        <f t="shared" si="131"/>
        <v>0.11228092434612336</v>
      </c>
      <c r="Z639" s="38">
        <f t="shared" si="135"/>
        <v>0</v>
      </c>
      <c r="AC639" s="36">
        <v>0.125</v>
      </c>
      <c r="AL639" t="str">
        <f t="shared" si="136"/>
        <v>Doctor Round Delay/Report Delay</v>
      </c>
      <c r="AM639" t="str">
        <f t="shared" si="137"/>
        <v>No</v>
      </c>
      <c r="AN639" t="str">
        <f t="shared" si="138"/>
        <v>Elective</v>
      </c>
      <c r="AO639" t="str">
        <f t="shared" si="139"/>
        <v>General Ward</v>
      </c>
    </row>
    <row r="640" spans="1:41" x14ac:dyDescent="0.3">
      <c r="A640" s="21" t="str">
        <f t="shared" si="132"/>
        <v>UHID-00639</v>
      </c>
      <c r="B640" s="18">
        <v>66</v>
      </c>
      <c r="C640" s="10" t="s">
        <v>18</v>
      </c>
      <c r="D640" s="13" t="s">
        <v>26</v>
      </c>
      <c r="E640" s="13" t="s">
        <v>4</v>
      </c>
      <c r="F640" s="15">
        <v>46195.410509490699</v>
      </c>
      <c r="G640" s="4">
        <v>46195</v>
      </c>
      <c r="H640" s="1">
        <v>46195.631343935202</v>
      </c>
      <c r="I640" s="22">
        <v>46195</v>
      </c>
      <c r="J640" s="24">
        <f t="shared" si="126"/>
        <v>46195.504639730047</v>
      </c>
      <c r="K640" s="24">
        <f t="shared" si="127"/>
        <v>0.63134393520158483</v>
      </c>
      <c r="L640" s="29">
        <f t="shared" si="133"/>
        <v>46194</v>
      </c>
      <c r="M640" s="27" t="str">
        <f t="shared" si="128"/>
        <v>TPA Approval Delay</v>
      </c>
      <c r="N640" s="31">
        <f t="shared" si="129"/>
        <v>0</v>
      </c>
      <c r="O640" s="27"/>
      <c r="Q640" s="8">
        <v>0.52125543331096713</v>
      </c>
      <c r="R640" s="8" t="str">
        <f t="shared" si="130"/>
        <v>Major Delay</v>
      </c>
      <c r="S640" s="33">
        <v>3.04090092373358</v>
      </c>
      <c r="T640" t="s">
        <v>31</v>
      </c>
      <c r="U640" s="3">
        <v>0</v>
      </c>
      <c r="V640" s="3" t="str">
        <f t="shared" si="134"/>
        <v>Normal</v>
      </c>
      <c r="W640" s="3" t="s">
        <v>51</v>
      </c>
      <c r="X640" s="32">
        <f t="shared" si="131"/>
        <v>0.12670420515496517</v>
      </c>
      <c r="Z640" s="38">
        <f t="shared" si="135"/>
        <v>1.704205154965166E-3</v>
      </c>
      <c r="AC640" s="36">
        <v>0.125</v>
      </c>
      <c r="AL640" t="str">
        <f t="shared" si="136"/>
        <v>TPA Approval Delay</v>
      </c>
      <c r="AM640" t="str">
        <f t="shared" si="137"/>
        <v>No</v>
      </c>
      <c r="AN640" t="str">
        <f t="shared" si="138"/>
        <v>Elective</v>
      </c>
      <c r="AO640" t="str">
        <f t="shared" si="139"/>
        <v>General Ward</v>
      </c>
    </row>
    <row r="641" spans="1:41" x14ac:dyDescent="0.3">
      <c r="A641" s="21" t="str">
        <f t="shared" si="132"/>
        <v>UHID-00640</v>
      </c>
      <c r="B641" s="18">
        <v>58</v>
      </c>
      <c r="C641" s="10" t="s">
        <v>17</v>
      </c>
      <c r="D641" s="13" t="s">
        <v>26</v>
      </c>
      <c r="E641" s="13" t="s">
        <v>4</v>
      </c>
      <c r="F641" s="15">
        <v>46192.910904849501</v>
      </c>
      <c r="G641" s="4">
        <v>46192</v>
      </c>
      <c r="H641" s="1">
        <v>46195.598651851898</v>
      </c>
      <c r="I641" s="22">
        <v>46195</v>
      </c>
      <c r="J641" s="24">
        <f t="shared" si="126"/>
        <v>46195.452342021075</v>
      </c>
      <c r="K641" s="24">
        <f t="shared" si="127"/>
        <v>0.5986518518984667</v>
      </c>
      <c r="L641" s="29">
        <f t="shared" si="133"/>
        <v>46194</v>
      </c>
      <c r="M641" s="27" t="str">
        <f t="shared" si="128"/>
        <v>TPA Approval Delay</v>
      </c>
      <c r="N641" s="31">
        <f t="shared" si="129"/>
        <v>3</v>
      </c>
      <c r="O641" s="27"/>
      <c r="Q641" s="8">
        <v>0.65271660253469743</v>
      </c>
      <c r="R641" s="8" t="str">
        <f t="shared" si="130"/>
        <v>Major Delay</v>
      </c>
      <c r="S641" s="33">
        <v>3.5114359398379724</v>
      </c>
      <c r="T641" t="s">
        <v>31</v>
      </c>
      <c r="U641" s="3">
        <v>0</v>
      </c>
      <c r="V641" s="3" t="str">
        <f t="shared" si="134"/>
        <v>Normal</v>
      </c>
      <c r="W641" s="3" t="s">
        <v>51</v>
      </c>
      <c r="X641" s="32">
        <f t="shared" si="131"/>
        <v>0.14630983082315652</v>
      </c>
      <c r="Z641" s="38">
        <f t="shared" si="135"/>
        <v>2.1309830823156517E-2</v>
      </c>
      <c r="AC641" s="36">
        <v>0.125</v>
      </c>
      <c r="AL641" t="str">
        <f t="shared" si="136"/>
        <v>TPA Approval Delay</v>
      </c>
      <c r="AM641" t="str">
        <f t="shared" si="137"/>
        <v>No</v>
      </c>
      <c r="AN641" t="str">
        <f t="shared" si="138"/>
        <v>Elective</v>
      </c>
      <c r="AO641" t="str">
        <f t="shared" si="139"/>
        <v>General Ward</v>
      </c>
    </row>
    <row r="642" spans="1:41" x14ac:dyDescent="0.3">
      <c r="A642" s="21" t="str">
        <f t="shared" si="132"/>
        <v>UHID-00641</v>
      </c>
      <c r="B642" s="18">
        <v>31</v>
      </c>
      <c r="C642" s="10" t="s">
        <v>18</v>
      </c>
      <c r="D642" s="13" t="s">
        <v>27</v>
      </c>
      <c r="E642" s="13" t="s">
        <v>4</v>
      </c>
      <c r="F642" s="15">
        <v>46194.681986863397</v>
      </c>
      <c r="G642" s="4">
        <v>46194</v>
      </c>
      <c r="H642" s="1">
        <v>46196.625772592597</v>
      </c>
      <c r="I642" s="22">
        <v>46196</v>
      </c>
      <c r="J642" s="24">
        <f t="shared" ref="J642:J705" si="140">I642+K642-((S642+U642)/24)</f>
        <v>46196.554569756016</v>
      </c>
      <c r="K642" s="24">
        <f t="shared" ref="K642:K705" si="141">MOD(H642,1)</f>
        <v>0.62577259259705897</v>
      </c>
      <c r="L642" s="29">
        <f t="shared" si="133"/>
        <v>46195</v>
      </c>
      <c r="M642" s="27" t="str">
        <f t="shared" ref="M642:M705" si="142">IF(X642="","",IF(X642&lt;=TIME(2,0,0),"Normal",IF(X642&lt;=TIME(3,0,0),IF(D642="CASH","Bill Settlement Delay","Doctor Round Delay/Report Delay"),IF(X642&lt;=TIME(5,0,0),IF(D642="TPA","TPA Approval Delay","Medication Change"),IF(D642="TPA","Health Deterioration/TPA Approval Delay","Health Deterioration")))))</f>
        <v>Normal</v>
      </c>
      <c r="N642" s="31">
        <f t="shared" ref="N642:N705" si="143">I642-G642</f>
        <v>2</v>
      </c>
      <c r="O642" s="27"/>
      <c r="Q642" s="8">
        <v>0.17509079435933073</v>
      </c>
      <c r="R642" s="8" t="str">
        <f t="shared" ref="R642:R705" si="144">IF(X642="","",IF(X642&lt;=TIME(2,0,0),"On Time",IF(X642&lt;=TIME(3,0,0),"Minor Delay",IF(X642&lt;=TIME(5,0,0),"Major Delay","Critical Delay"))))</f>
        <v>On Time</v>
      </c>
      <c r="S642" s="33">
        <v>1.708868077878603</v>
      </c>
      <c r="T642" t="s">
        <v>30</v>
      </c>
      <c r="U642" s="3">
        <v>0</v>
      </c>
      <c r="V642" s="3" t="str">
        <f t="shared" si="134"/>
        <v/>
      </c>
      <c r="W642" s="3" t="s">
        <v>51</v>
      </c>
      <c r="X642" s="32">
        <f t="shared" ref="X642:X705" si="145">MOD(K642-J642,1)</f>
        <v>7.1202836581505835E-2</v>
      </c>
      <c r="Z642" s="38">
        <f t="shared" si="135"/>
        <v>0</v>
      </c>
      <c r="AC642" s="36">
        <v>0.125</v>
      </c>
      <c r="AL642" t="str">
        <f t="shared" si="136"/>
        <v>Normal</v>
      </c>
      <c r="AM642" t="str">
        <f t="shared" si="137"/>
        <v>No</v>
      </c>
      <c r="AN642" t="str">
        <f t="shared" si="138"/>
        <v>Elective</v>
      </c>
      <c r="AO642" t="str">
        <f t="shared" si="139"/>
        <v>General Ward</v>
      </c>
    </row>
    <row r="643" spans="1:41" x14ac:dyDescent="0.3">
      <c r="A643" s="21" t="str">
        <f t="shared" ref="A643:A706" si="146">"UHID-"&amp;TEXT(ROW(A643)-1,"00000")</f>
        <v>UHID-00642</v>
      </c>
      <c r="B643" s="18">
        <v>66</v>
      </c>
      <c r="C643" s="10" t="s">
        <v>17</v>
      </c>
      <c r="D643" s="13" t="s">
        <v>26</v>
      </c>
      <c r="E643" s="13" t="s">
        <v>4</v>
      </c>
      <c r="F643" s="15">
        <v>46191.671465428197</v>
      </c>
      <c r="G643" s="4">
        <v>46191</v>
      </c>
      <c r="H643" s="1">
        <v>46196.5788280208</v>
      </c>
      <c r="I643" s="22">
        <v>46196</v>
      </c>
      <c r="J643" s="24">
        <f t="shared" si="140"/>
        <v>46196.415028721749</v>
      </c>
      <c r="K643" s="24">
        <f t="shared" si="141"/>
        <v>0.57882802079984685</v>
      </c>
      <c r="L643" s="29">
        <f t="shared" ref="L643:L706" si="147">IF(J643&gt;MOD(H643,1),INT(H643)-1,INT(H643))</f>
        <v>46195</v>
      </c>
      <c r="M643" s="27" t="str">
        <f t="shared" si="142"/>
        <v>TPA Approval Delay</v>
      </c>
      <c r="N643" s="31">
        <f t="shared" si="143"/>
        <v>5</v>
      </c>
      <c r="O643" s="27"/>
      <c r="Q643" s="8">
        <v>0.82272353502315421</v>
      </c>
      <c r="R643" s="8" t="str">
        <f t="shared" si="144"/>
        <v>Major Delay</v>
      </c>
      <c r="S643" s="33">
        <v>3.9311831772222403</v>
      </c>
      <c r="T643" t="s">
        <v>31</v>
      </c>
      <c r="U643" s="3">
        <v>0</v>
      </c>
      <c r="V643" s="3" t="str">
        <f t="shared" ref="V643:V706" si="148">IF(T643="NO","Normal","")</f>
        <v>Normal</v>
      </c>
      <c r="W643" s="3" t="s">
        <v>51</v>
      </c>
      <c r="X643" s="32">
        <f t="shared" si="145"/>
        <v>0.1637992990508792</v>
      </c>
      <c r="Z643" s="38">
        <f t="shared" ref="Z643:Z706" si="149">IF(X643 &gt; TIME(3,0,0), X643 - TIME(3,0,0), 0)</f>
        <v>3.8799299050879199E-2</v>
      </c>
      <c r="AC643" s="36">
        <v>0.125</v>
      </c>
      <c r="AL643" t="str">
        <f t="shared" ref="AL643:AL706" si="150">IF(X643="","",IF(X643&lt;=TIME(2,0,0),"Normal",IF(X643&lt;=TIME(3,0,0),IF(D643="CASH","Bill Settlement Delay","Doctor Round Delay/Report Delay"),IF(Z643&lt;=TIME(2,0,0),IF(D643="TPA","TPA Approval Delay","Medication Change"),IF(D643="TPA","Health Deterioration/TPA Approval Delay","Health Deterioration")))))</f>
        <v>TPA Approval Delay</v>
      </c>
      <c r="AM643" t="str">
        <f t="shared" ref="AM643:AM706" si="151">IF(OR(AND(B643&gt;65, R643="Critical Delay"), N643&gt;10), "Yes", "No")</f>
        <v>No</v>
      </c>
      <c r="AN643" t="str">
        <f t="shared" ref="AN643:AN706" si="152">IF(E643="Cardiology &amp; Cardiothoracic", IF(MOD(ROW(),10)&lt;3, "Emergency", "Elective"), IF(E643="Neurology &amp; Neurosurgery", IF(MOD(ROW(),10)&lt;4, "Emergency", "Elective"), IF(D643="COR", IF(MOD(ROW(),20)&lt;7, "Emergency", "Elective"), IF(OR(R643="Critical Delay", N643&gt;=7), "Emergency", "Elective"))))</f>
        <v>Elective</v>
      </c>
      <c r="AO643" t="str">
        <f t="shared" ref="AO643:AO706" si="153">IF(OR(N643&gt;6, AND(E643="Cardiology &amp; Cardiothoracic", MOD(ROW(),10)&lt;4), AND(E643="Neurology &amp; Neurosurgery", MOD(ROW(),10)&lt;6)), "ICU", IF(OR(N643&gt;3, AND(E643="Cardiology &amp; Cardiothoracic", MOD(ROW(),10)&lt;6), E643="Neurology &amp; Neurosurgery"), "HDU", "General Ward"))</f>
        <v>HDU</v>
      </c>
    </row>
    <row r="644" spans="1:41" x14ac:dyDescent="0.3">
      <c r="A644" s="21" t="str">
        <f t="shared" si="146"/>
        <v>UHID-00643</v>
      </c>
      <c r="B644" s="18">
        <v>35</v>
      </c>
      <c r="C644" s="10" t="s">
        <v>17</v>
      </c>
      <c r="D644" s="13" t="s">
        <v>27</v>
      </c>
      <c r="E644" s="13" t="s">
        <v>4</v>
      </c>
      <c r="F644" s="15">
        <v>46196.365818645798</v>
      </c>
      <c r="G644" s="4">
        <v>46196</v>
      </c>
      <c r="H644" s="1">
        <v>46196.656987002301</v>
      </c>
      <c r="I644" s="22">
        <v>46196</v>
      </c>
      <c r="J644" s="24">
        <f t="shared" si="140"/>
        <v>46196.194762420128</v>
      </c>
      <c r="K644" s="24">
        <f t="shared" si="141"/>
        <v>0.6569870023013209</v>
      </c>
      <c r="L644" s="29">
        <f t="shared" si="147"/>
        <v>46195</v>
      </c>
      <c r="M644" s="27" t="str">
        <f t="shared" si="142"/>
        <v>Health Deterioration</v>
      </c>
      <c r="N644" s="31">
        <f t="shared" si="143"/>
        <v>0</v>
      </c>
      <c r="O644" s="27"/>
      <c r="Q644" s="8">
        <v>0.16913572448031966</v>
      </c>
      <c r="R644" s="8" t="str">
        <f t="shared" si="144"/>
        <v>Critical Delay</v>
      </c>
      <c r="S644" s="33">
        <v>1.093389972097802</v>
      </c>
      <c r="T644" t="s">
        <v>30</v>
      </c>
      <c r="U644" s="3">
        <v>10</v>
      </c>
      <c r="V644" s="3" t="str">
        <f t="shared" si="148"/>
        <v/>
      </c>
      <c r="W644" s="3" t="s">
        <v>52</v>
      </c>
      <c r="X644" s="32">
        <f t="shared" si="145"/>
        <v>0.46222458217380336</v>
      </c>
      <c r="Z644" s="38">
        <f t="shared" si="149"/>
        <v>0.33722458217380336</v>
      </c>
      <c r="AC644" s="36">
        <v>0.125</v>
      </c>
      <c r="AL644" t="str">
        <f t="shared" si="150"/>
        <v>Health Deterioration</v>
      </c>
      <c r="AM644" t="str">
        <f t="shared" si="151"/>
        <v>No</v>
      </c>
      <c r="AN644" t="str">
        <f t="shared" si="152"/>
        <v>Emergency</v>
      </c>
      <c r="AO644" t="str">
        <f t="shared" si="153"/>
        <v>General Ward</v>
      </c>
    </row>
    <row r="645" spans="1:41" x14ac:dyDescent="0.3">
      <c r="A645" s="21" t="str">
        <f t="shared" si="146"/>
        <v>UHID-00644</v>
      </c>
      <c r="B645" s="18">
        <v>33</v>
      </c>
      <c r="C645" s="10" t="s">
        <v>18</v>
      </c>
      <c r="D645" s="13" t="s">
        <v>27</v>
      </c>
      <c r="E645" s="13" t="s">
        <v>4</v>
      </c>
      <c r="F645" s="15">
        <v>46194.707339398097</v>
      </c>
      <c r="G645" s="4">
        <v>46194</v>
      </c>
      <c r="H645" s="1">
        <v>46197.429911979198</v>
      </c>
      <c r="I645" s="22">
        <v>46197</v>
      </c>
      <c r="J645" s="24">
        <f t="shared" si="140"/>
        <v>46197.380640292955</v>
      </c>
      <c r="K645" s="24">
        <f t="shared" si="141"/>
        <v>0.4299119791976409</v>
      </c>
      <c r="L645" s="29">
        <f t="shared" si="147"/>
        <v>46196</v>
      </c>
      <c r="M645" s="27" t="str">
        <f t="shared" si="142"/>
        <v>Normal</v>
      </c>
      <c r="N645" s="31">
        <f t="shared" si="143"/>
        <v>3</v>
      </c>
      <c r="O645" s="27"/>
      <c r="Q645" s="8">
        <v>1.9714407787827848E-2</v>
      </c>
      <c r="R645" s="8" t="str">
        <f t="shared" si="144"/>
        <v>On Time</v>
      </c>
      <c r="S645" s="33">
        <v>1.1825204697655696</v>
      </c>
      <c r="T645" t="s">
        <v>30</v>
      </c>
      <c r="U645" s="3">
        <v>0</v>
      </c>
      <c r="V645" s="3" t="str">
        <f t="shared" si="148"/>
        <v/>
      </c>
      <c r="W645" s="3" t="s">
        <v>51</v>
      </c>
      <c r="X645" s="32">
        <f t="shared" si="145"/>
        <v>4.9271686242718715E-2</v>
      </c>
      <c r="Z645" s="38">
        <f t="shared" si="149"/>
        <v>0</v>
      </c>
      <c r="AC645" s="36">
        <v>0.125</v>
      </c>
      <c r="AL645" t="str">
        <f t="shared" si="150"/>
        <v>Normal</v>
      </c>
      <c r="AM645" t="str">
        <f t="shared" si="151"/>
        <v>No</v>
      </c>
      <c r="AN645" t="str">
        <f t="shared" si="152"/>
        <v>Elective</v>
      </c>
      <c r="AO645" t="str">
        <f t="shared" si="153"/>
        <v>General Ward</v>
      </c>
    </row>
    <row r="646" spans="1:41" x14ac:dyDescent="0.3">
      <c r="A646" s="21" t="str">
        <f t="shared" si="146"/>
        <v>UHID-00645</v>
      </c>
      <c r="B646" s="18">
        <v>30</v>
      </c>
      <c r="C646" s="10" t="s">
        <v>17</v>
      </c>
      <c r="D646" s="13" t="s">
        <v>26</v>
      </c>
      <c r="E646" s="13" t="s">
        <v>4</v>
      </c>
      <c r="F646" s="15">
        <v>46195.857461400497</v>
      </c>
      <c r="G646" s="4">
        <v>46195</v>
      </c>
      <c r="H646" s="1">
        <v>46197.507736782398</v>
      </c>
      <c r="I646" s="22">
        <v>46197</v>
      </c>
      <c r="J646" s="24">
        <f t="shared" si="140"/>
        <v>46197.254927872898</v>
      </c>
      <c r="K646" s="24">
        <f t="shared" si="141"/>
        <v>0.50773678239784203</v>
      </c>
      <c r="L646" s="29">
        <f t="shared" si="147"/>
        <v>46196</v>
      </c>
      <c r="M646" s="27" t="str">
        <f t="shared" si="142"/>
        <v>Health Deterioration/TPA Approval Delay</v>
      </c>
      <c r="N646" s="31">
        <f t="shared" si="143"/>
        <v>2</v>
      </c>
      <c r="O646" s="27"/>
      <c r="Q646" s="8">
        <v>0.80958983395304007</v>
      </c>
      <c r="R646" s="8" t="str">
        <f t="shared" si="144"/>
        <v>Critical Delay</v>
      </c>
      <c r="S646" s="33">
        <v>3.0674138279080512</v>
      </c>
      <c r="T646" t="s">
        <v>31</v>
      </c>
      <c r="U646" s="3">
        <v>3</v>
      </c>
      <c r="V646" s="3" t="str">
        <f t="shared" si="148"/>
        <v>Normal</v>
      </c>
      <c r="W646" s="3" t="s">
        <v>50</v>
      </c>
      <c r="X646" s="32">
        <f t="shared" si="145"/>
        <v>0.25280890949943569</v>
      </c>
      <c r="Z646" s="38">
        <f t="shared" si="149"/>
        <v>0.12780890949943569</v>
      </c>
      <c r="AC646" s="36">
        <v>0.125</v>
      </c>
      <c r="AL646" t="str">
        <f t="shared" si="150"/>
        <v>Health Deterioration/TPA Approval Delay</v>
      </c>
      <c r="AM646" t="str">
        <f t="shared" si="151"/>
        <v>No</v>
      </c>
      <c r="AN646" t="str">
        <f t="shared" si="152"/>
        <v>Emergency</v>
      </c>
      <c r="AO646" t="str">
        <f t="shared" si="153"/>
        <v>General Ward</v>
      </c>
    </row>
    <row r="647" spans="1:41" x14ac:dyDescent="0.3">
      <c r="A647" s="21" t="str">
        <f t="shared" si="146"/>
        <v>UHID-00646</v>
      </c>
      <c r="B647" s="18">
        <v>35</v>
      </c>
      <c r="C647" s="10" t="s">
        <v>18</v>
      </c>
      <c r="D647" s="13" t="s">
        <v>26</v>
      </c>
      <c r="E647" s="13" t="s">
        <v>4</v>
      </c>
      <c r="F647" s="15">
        <v>46195.674312187497</v>
      </c>
      <c r="G647" s="4">
        <v>46195</v>
      </c>
      <c r="H647" s="1">
        <v>46197.502165983802</v>
      </c>
      <c r="I647" s="22">
        <v>46197</v>
      </c>
      <c r="J647" s="24">
        <f t="shared" si="140"/>
        <v>46197.33953896851</v>
      </c>
      <c r="K647" s="24">
        <f t="shared" si="141"/>
        <v>0.50216598380211508</v>
      </c>
      <c r="L647" s="29">
        <f t="shared" si="147"/>
        <v>46196</v>
      </c>
      <c r="M647" s="27" t="str">
        <f t="shared" si="142"/>
        <v>TPA Approval Delay</v>
      </c>
      <c r="N647" s="31">
        <f t="shared" si="143"/>
        <v>2</v>
      </c>
      <c r="O647" s="27"/>
      <c r="Q647" s="8">
        <v>0.71485223835649758</v>
      </c>
      <c r="R647" s="8" t="str">
        <f t="shared" si="144"/>
        <v>Major Delay</v>
      </c>
      <c r="S647" s="33">
        <v>3.9030483670681897</v>
      </c>
      <c r="T647" t="s">
        <v>31</v>
      </c>
      <c r="U647" s="3">
        <v>0</v>
      </c>
      <c r="V647" s="3" t="str">
        <f t="shared" si="148"/>
        <v>Normal</v>
      </c>
      <c r="W647" s="3" t="s">
        <v>51</v>
      </c>
      <c r="X647" s="32">
        <f t="shared" si="145"/>
        <v>0.16262701529194601</v>
      </c>
      <c r="Z647" s="38">
        <f t="shared" si="149"/>
        <v>3.7627015291946009E-2</v>
      </c>
      <c r="AC647" s="36">
        <v>0.125</v>
      </c>
      <c r="AL647" t="str">
        <f t="shared" si="150"/>
        <v>TPA Approval Delay</v>
      </c>
      <c r="AM647" t="str">
        <f t="shared" si="151"/>
        <v>No</v>
      </c>
      <c r="AN647" t="str">
        <f t="shared" si="152"/>
        <v>Elective</v>
      </c>
      <c r="AO647" t="str">
        <f t="shared" si="153"/>
        <v>General Ward</v>
      </c>
    </row>
    <row r="648" spans="1:41" x14ac:dyDescent="0.3">
      <c r="A648" s="21" t="str">
        <f t="shared" si="146"/>
        <v>UHID-00647</v>
      </c>
      <c r="B648" s="18">
        <v>43</v>
      </c>
      <c r="C648" s="10" t="s">
        <v>18</v>
      </c>
      <c r="D648" s="13" t="s">
        <v>28</v>
      </c>
      <c r="E648" s="13" t="s">
        <v>4</v>
      </c>
      <c r="F648" s="15">
        <v>46194.535115023202</v>
      </c>
      <c r="G648" s="4">
        <v>46194</v>
      </c>
      <c r="H648" s="1">
        <v>46197.491902627298</v>
      </c>
      <c r="I648" s="22">
        <v>46197</v>
      </c>
      <c r="J648" s="24">
        <f t="shared" si="140"/>
        <v>46197.307128575616</v>
      </c>
      <c r="K648" s="24">
        <f t="shared" si="141"/>
        <v>0.49190262729825918</v>
      </c>
      <c r="L648" s="29">
        <f t="shared" si="147"/>
        <v>46196</v>
      </c>
      <c r="M648" s="27" t="str">
        <f t="shared" si="142"/>
        <v>Medication Change</v>
      </c>
      <c r="N648" s="31">
        <f t="shared" si="143"/>
        <v>3</v>
      </c>
      <c r="O648" s="27"/>
      <c r="Q648" s="8">
        <v>0.85807785685854154</v>
      </c>
      <c r="R648" s="8" t="str">
        <f t="shared" si="144"/>
        <v>Major Delay</v>
      </c>
      <c r="S648" s="33">
        <v>2.4345772403791015</v>
      </c>
      <c r="T648" t="s">
        <v>31</v>
      </c>
      <c r="U648" s="3">
        <v>2</v>
      </c>
      <c r="V648" s="3" t="str">
        <f t="shared" si="148"/>
        <v>Normal</v>
      </c>
      <c r="W648" s="3" t="s">
        <v>50</v>
      </c>
      <c r="X648" s="32">
        <f t="shared" si="145"/>
        <v>0.18477405168232508</v>
      </c>
      <c r="Z648" s="38">
        <f t="shared" si="149"/>
        <v>5.977405168232508E-2</v>
      </c>
      <c r="AC648" s="36">
        <v>0.125</v>
      </c>
      <c r="AL648" t="str">
        <f t="shared" si="150"/>
        <v>Medication Change</v>
      </c>
      <c r="AM648" t="str">
        <f t="shared" si="151"/>
        <v>No</v>
      </c>
      <c r="AN648" t="str">
        <f t="shared" si="152"/>
        <v>Elective</v>
      </c>
      <c r="AO648" t="str">
        <f t="shared" si="153"/>
        <v>General Ward</v>
      </c>
    </row>
    <row r="649" spans="1:41" x14ac:dyDescent="0.3">
      <c r="A649" s="21" t="str">
        <f t="shared" si="146"/>
        <v>UHID-00648</v>
      </c>
      <c r="B649" s="18">
        <v>27</v>
      </c>
      <c r="C649" s="10" t="s">
        <v>17</v>
      </c>
      <c r="D649" s="13" t="s">
        <v>27</v>
      </c>
      <c r="E649" s="13" t="s">
        <v>4</v>
      </c>
      <c r="F649" s="15">
        <v>46196.570099213001</v>
      </c>
      <c r="G649" s="4">
        <v>46196</v>
      </c>
      <c r="H649" s="1">
        <v>46196.771794710701</v>
      </c>
      <c r="I649" s="22">
        <v>46196</v>
      </c>
      <c r="J649" s="24">
        <f t="shared" si="140"/>
        <v>46196.703080682928</v>
      </c>
      <c r="K649" s="24">
        <f t="shared" si="141"/>
        <v>0.77179471070121508</v>
      </c>
      <c r="L649" s="29">
        <f t="shared" si="147"/>
        <v>46195</v>
      </c>
      <c r="M649" s="27" t="str">
        <f t="shared" si="142"/>
        <v>Normal</v>
      </c>
      <c r="N649" s="31">
        <f t="shared" si="143"/>
        <v>0</v>
      </c>
      <c r="O649" s="27"/>
      <c r="Q649" s="8">
        <v>0.26900379488928317</v>
      </c>
      <c r="R649" s="8" t="str">
        <f t="shared" si="144"/>
        <v>On Time</v>
      </c>
      <c r="S649" s="33">
        <v>1.6491366665918177</v>
      </c>
      <c r="T649" t="s">
        <v>30</v>
      </c>
      <c r="U649" s="3">
        <v>0</v>
      </c>
      <c r="V649" s="3" t="str">
        <f t="shared" si="148"/>
        <v/>
      </c>
      <c r="W649" s="3" t="s">
        <v>51</v>
      </c>
      <c r="X649" s="32">
        <f t="shared" si="145"/>
        <v>6.871402777323965E-2</v>
      </c>
      <c r="Z649" s="38">
        <f t="shared" si="149"/>
        <v>0</v>
      </c>
      <c r="AC649" s="36">
        <v>0.125</v>
      </c>
      <c r="AL649" t="str">
        <f t="shared" si="150"/>
        <v>Normal</v>
      </c>
      <c r="AM649" t="str">
        <f t="shared" si="151"/>
        <v>No</v>
      </c>
      <c r="AN649" t="str">
        <f t="shared" si="152"/>
        <v>Elective</v>
      </c>
      <c r="AO649" t="str">
        <f t="shared" si="153"/>
        <v>General Ward</v>
      </c>
    </row>
    <row r="650" spans="1:41" x14ac:dyDescent="0.3">
      <c r="A650" s="21" t="str">
        <f t="shared" si="146"/>
        <v>UHID-00649</v>
      </c>
      <c r="B650" s="18">
        <v>57</v>
      </c>
      <c r="C650" s="10" t="s">
        <v>18</v>
      </c>
      <c r="D650" s="13" t="s">
        <v>26</v>
      </c>
      <c r="E650" s="13" t="s">
        <v>4</v>
      </c>
      <c r="F650" s="15">
        <v>46192.802524976898</v>
      </c>
      <c r="G650" s="4">
        <v>46192</v>
      </c>
      <c r="H650" s="1">
        <v>46196.747360011599</v>
      </c>
      <c r="I650" s="22">
        <v>46196</v>
      </c>
      <c r="J650" s="24">
        <f t="shared" si="140"/>
        <v>46196.597312082056</v>
      </c>
      <c r="K650" s="24">
        <f t="shared" si="141"/>
        <v>0.74736001159908483</v>
      </c>
      <c r="L650" s="29">
        <f t="shared" si="147"/>
        <v>46195</v>
      </c>
      <c r="M650" s="27" t="str">
        <f t="shared" si="142"/>
        <v>TPA Approval Delay</v>
      </c>
      <c r="N650" s="31">
        <f t="shared" si="143"/>
        <v>4</v>
      </c>
      <c r="O650" s="27"/>
      <c r="Q650" s="8">
        <v>0.68982162987744267</v>
      </c>
      <c r="R650" s="8" t="str">
        <f t="shared" si="144"/>
        <v>Major Delay</v>
      </c>
      <c r="S650" s="33">
        <v>3.6011503089789993</v>
      </c>
      <c r="T650" t="s">
        <v>31</v>
      </c>
      <c r="U650" s="3">
        <v>0</v>
      </c>
      <c r="V650" s="3" t="str">
        <f t="shared" si="148"/>
        <v>Normal</v>
      </c>
      <c r="W650" s="3" t="s">
        <v>51</v>
      </c>
      <c r="X650" s="32">
        <f t="shared" si="145"/>
        <v>0.15004792954277946</v>
      </c>
      <c r="Z650" s="38">
        <f t="shared" si="149"/>
        <v>2.5047929542779457E-2</v>
      </c>
      <c r="AC650" s="36">
        <v>0.125</v>
      </c>
      <c r="AL650" t="str">
        <f t="shared" si="150"/>
        <v>TPA Approval Delay</v>
      </c>
      <c r="AM650" t="str">
        <f t="shared" si="151"/>
        <v>No</v>
      </c>
      <c r="AN650" t="str">
        <f t="shared" si="152"/>
        <v>Elective</v>
      </c>
      <c r="AO650" t="str">
        <f t="shared" si="153"/>
        <v>HDU</v>
      </c>
    </row>
    <row r="651" spans="1:41" x14ac:dyDescent="0.3">
      <c r="A651" s="21" t="str">
        <f t="shared" si="146"/>
        <v>UHID-00650</v>
      </c>
      <c r="B651" s="18">
        <v>28</v>
      </c>
      <c r="C651" s="10" t="s">
        <v>17</v>
      </c>
      <c r="D651" s="13" t="s">
        <v>28</v>
      </c>
      <c r="E651" s="13" t="s">
        <v>4</v>
      </c>
      <c r="F651" s="15">
        <v>46191.010069236101</v>
      </c>
      <c r="G651" s="4">
        <v>46191</v>
      </c>
      <c r="H651" s="1">
        <v>46197.486086331002</v>
      </c>
      <c r="I651" s="22">
        <v>46197</v>
      </c>
      <c r="J651" s="24">
        <f t="shared" si="140"/>
        <v>46197.397352766988</v>
      </c>
      <c r="K651" s="24">
        <f t="shared" si="141"/>
        <v>0.48608633100229781</v>
      </c>
      <c r="L651" s="29">
        <f t="shared" si="147"/>
        <v>46196</v>
      </c>
      <c r="M651" s="27" t="str">
        <f t="shared" si="142"/>
        <v>Doctor Round Delay/Report Delay</v>
      </c>
      <c r="N651" s="31">
        <f t="shared" si="143"/>
        <v>6</v>
      </c>
      <c r="O651" s="27"/>
      <c r="Q651" s="8">
        <v>0.98907719308227404</v>
      </c>
      <c r="R651" s="8" t="str">
        <f t="shared" si="144"/>
        <v>Minor Delay</v>
      </c>
      <c r="S651" s="33">
        <v>2.1296055363975332</v>
      </c>
      <c r="T651" t="s">
        <v>31</v>
      </c>
      <c r="U651" s="3">
        <v>0</v>
      </c>
      <c r="V651" s="3" t="str">
        <f t="shared" si="148"/>
        <v>Normal</v>
      </c>
      <c r="W651" s="3" t="s">
        <v>51</v>
      </c>
      <c r="X651" s="32">
        <f t="shared" si="145"/>
        <v>8.8733564014546573E-2</v>
      </c>
      <c r="Z651" s="38">
        <f t="shared" si="149"/>
        <v>0</v>
      </c>
      <c r="AC651" s="36">
        <v>0.125</v>
      </c>
      <c r="AL651" t="str">
        <f t="shared" si="150"/>
        <v>Doctor Round Delay/Report Delay</v>
      </c>
      <c r="AM651" t="str">
        <f t="shared" si="151"/>
        <v>No</v>
      </c>
      <c r="AN651" t="str">
        <f t="shared" si="152"/>
        <v>Elective</v>
      </c>
      <c r="AO651" t="str">
        <f t="shared" si="153"/>
        <v>HDU</v>
      </c>
    </row>
    <row r="652" spans="1:41" x14ac:dyDescent="0.3">
      <c r="A652" s="21" t="str">
        <f t="shared" si="146"/>
        <v>UHID-00651</v>
      </c>
      <c r="B652" s="18">
        <v>17</v>
      </c>
      <c r="C652" s="10" t="s">
        <v>18</v>
      </c>
      <c r="D652" s="13" t="s">
        <v>26</v>
      </c>
      <c r="E652" s="13" t="s">
        <v>4</v>
      </c>
      <c r="F652" s="15">
        <v>46197.353454965298</v>
      </c>
      <c r="G652" s="4">
        <v>46197</v>
      </c>
      <c r="H652" s="1">
        <v>46197.643327708298</v>
      </c>
      <c r="I652" s="22">
        <v>46197</v>
      </c>
      <c r="J652" s="24">
        <f t="shared" si="140"/>
        <v>46197.129354750999</v>
      </c>
      <c r="K652" s="24">
        <f t="shared" si="141"/>
        <v>0.64332770829787478</v>
      </c>
      <c r="L652" s="29">
        <f t="shared" si="147"/>
        <v>46196</v>
      </c>
      <c r="M652" s="27" t="str">
        <f t="shared" si="142"/>
        <v>Health Deterioration/TPA Approval Delay</v>
      </c>
      <c r="N652" s="31">
        <f t="shared" si="143"/>
        <v>0</v>
      </c>
      <c r="O652" s="27"/>
      <c r="Q652" s="8">
        <v>0.79345957623589169</v>
      </c>
      <c r="R652" s="8" t="str">
        <f t="shared" si="144"/>
        <v>Critical Delay</v>
      </c>
      <c r="S652" s="33">
        <v>3.3353509751193862</v>
      </c>
      <c r="T652" t="s">
        <v>31</v>
      </c>
      <c r="U652" s="3">
        <v>9</v>
      </c>
      <c r="V652" s="3" t="str">
        <f t="shared" si="148"/>
        <v>Normal</v>
      </c>
      <c r="W652" s="3" t="s">
        <v>52</v>
      </c>
      <c r="X652" s="32">
        <f t="shared" si="145"/>
        <v>0.51397295729839243</v>
      </c>
      <c r="Z652" s="38">
        <f t="shared" si="149"/>
        <v>0.38897295729839243</v>
      </c>
      <c r="AC652" s="36">
        <v>0.125</v>
      </c>
      <c r="AL652" t="str">
        <f t="shared" si="150"/>
        <v>Health Deterioration/TPA Approval Delay</v>
      </c>
      <c r="AM652" t="str">
        <f t="shared" si="151"/>
        <v>No</v>
      </c>
      <c r="AN652" t="str">
        <f t="shared" si="152"/>
        <v>Emergency</v>
      </c>
      <c r="AO652" t="str">
        <f t="shared" si="153"/>
        <v>General Ward</v>
      </c>
    </row>
    <row r="653" spans="1:41" x14ac:dyDescent="0.3">
      <c r="A653" s="21" t="str">
        <f t="shared" si="146"/>
        <v>UHID-00652</v>
      </c>
      <c r="B653" s="18">
        <v>66</v>
      </c>
      <c r="C653" s="10" t="s">
        <v>18</v>
      </c>
      <c r="D653" s="13" t="s">
        <v>26</v>
      </c>
      <c r="E653" s="13" t="s">
        <v>4</v>
      </c>
      <c r="F653" s="15">
        <v>46194.774101041701</v>
      </c>
      <c r="G653" s="4">
        <v>46194</v>
      </c>
      <c r="H653" s="1">
        <v>46197.652214803202</v>
      </c>
      <c r="I653" s="22">
        <v>46197</v>
      </c>
      <c r="J653" s="24">
        <f t="shared" si="140"/>
        <v>46197.500203339776</v>
      </c>
      <c r="K653" s="24">
        <f t="shared" si="141"/>
        <v>0.65221480320178671</v>
      </c>
      <c r="L653" s="29">
        <f t="shared" si="147"/>
        <v>46196</v>
      </c>
      <c r="M653" s="27" t="str">
        <f t="shared" si="142"/>
        <v>TPA Approval Delay</v>
      </c>
      <c r="N653" s="31">
        <f t="shared" si="143"/>
        <v>3</v>
      </c>
      <c r="O653" s="27"/>
      <c r="Q653" s="8">
        <v>0.5744167497675513</v>
      </c>
      <c r="R653" s="8" t="str">
        <f t="shared" si="144"/>
        <v>Major Delay</v>
      </c>
      <c r="S653" s="33">
        <v>3.6482751222003618</v>
      </c>
      <c r="T653" t="s">
        <v>31</v>
      </c>
      <c r="U653" s="3">
        <v>0</v>
      </c>
      <c r="V653" s="3" t="str">
        <f t="shared" si="148"/>
        <v>Normal</v>
      </c>
      <c r="W653" s="3" t="s">
        <v>51</v>
      </c>
      <c r="X653" s="32">
        <f t="shared" si="145"/>
        <v>0.1520114634258789</v>
      </c>
      <c r="Z653" s="38">
        <f t="shared" si="149"/>
        <v>2.7011463425878901E-2</v>
      </c>
      <c r="AC653" s="36">
        <v>0.125</v>
      </c>
      <c r="AL653" t="str">
        <f t="shared" si="150"/>
        <v>TPA Approval Delay</v>
      </c>
      <c r="AM653" t="str">
        <f t="shared" si="151"/>
        <v>No</v>
      </c>
      <c r="AN653" t="str">
        <f t="shared" si="152"/>
        <v>Elective</v>
      </c>
      <c r="AO653" t="str">
        <f t="shared" si="153"/>
        <v>General Ward</v>
      </c>
    </row>
    <row r="654" spans="1:41" x14ac:dyDescent="0.3">
      <c r="A654" s="21" t="str">
        <f t="shared" si="146"/>
        <v>UHID-00653</v>
      </c>
      <c r="B654" s="18">
        <v>26</v>
      </c>
      <c r="C654" s="10" t="s">
        <v>17</v>
      </c>
      <c r="D654" s="13" t="s">
        <v>27</v>
      </c>
      <c r="E654" s="13" t="s">
        <v>4</v>
      </c>
      <c r="F654" s="15">
        <v>46196.908811215297</v>
      </c>
      <c r="G654" s="4">
        <v>46196</v>
      </c>
      <c r="H654" s="1">
        <v>46198.507833680596</v>
      </c>
      <c r="I654" s="22">
        <v>46198</v>
      </c>
      <c r="J654" s="24">
        <f t="shared" si="140"/>
        <v>46198.452172302917</v>
      </c>
      <c r="K654" s="24">
        <f t="shared" si="141"/>
        <v>0.50783368059637723</v>
      </c>
      <c r="L654" s="29">
        <f t="shared" si="147"/>
        <v>46197</v>
      </c>
      <c r="M654" s="27" t="str">
        <f t="shared" si="142"/>
        <v>Normal</v>
      </c>
      <c r="N654" s="31">
        <f t="shared" si="143"/>
        <v>2</v>
      </c>
      <c r="O654" s="27"/>
      <c r="Q654" s="8">
        <v>0.26080968679081751</v>
      </c>
      <c r="R654" s="8" t="str">
        <f t="shared" si="144"/>
        <v>On Time</v>
      </c>
      <c r="S654" s="33">
        <v>1.3358730642118013</v>
      </c>
      <c r="T654" t="s">
        <v>30</v>
      </c>
      <c r="U654" s="3">
        <v>0</v>
      </c>
      <c r="V654" s="3" t="str">
        <f t="shared" si="148"/>
        <v/>
      </c>
      <c r="W654" s="3" t="s">
        <v>51</v>
      </c>
      <c r="X654" s="32">
        <f t="shared" si="145"/>
        <v>5.5661377678916324E-2</v>
      </c>
      <c r="Z654" s="38">
        <f t="shared" si="149"/>
        <v>0</v>
      </c>
      <c r="AC654" s="36">
        <v>0.125</v>
      </c>
      <c r="AL654" t="str">
        <f t="shared" si="150"/>
        <v>Normal</v>
      </c>
      <c r="AM654" t="str">
        <f t="shared" si="151"/>
        <v>No</v>
      </c>
      <c r="AN654" t="str">
        <f t="shared" si="152"/>
        <v>Elective</v>
      </c>
      <c r="AO654" t="str">
        <f t="shared" si="153"/>
        <v>General Ward</v>
      </c>
    </row>
    <row r="655" spans="1:41" x14ac:dyDescent="0.3">
      <c r="A655" s="21" t="str">
        <f t="shared" si="146"/>
        <v>UHID-00654</v>
      </c>
      <c r="B655" s="18">
        <v>37</v>
      </c>
      <c r="C655" s="10" t="s">
        <v>18</v>
      </c>
      <c r="D655" s="13" t="s">
        <v>27</v>
      </c>
      <c r="E655" s="13" t="s">
        <v>4</v>
      </c>
      <c r="F655" s="15">
        <v>46196.739033182901</v>
      </c>
      <c r="G655" s="4">
        <v>46196</v>
      </c>
      <c r="H655" s="1">
        <v>46198.488284432897</v>
      </c>
      <c r="I655" s="22">
        <v>46198</v>
      </c>
      <c r="J655" s="24">
        <f t="shared" si="140"/>
        <v>46198.4270887807</v>
      </c>
      <c r="K655" s="24">
        <f t="shared" si="141"/>
        <v>0.48828443289676215</v>
      </c>
      <c r="L655" s="29">
        <f t="shared" si="147"/>
        <v>46197</v>
      </c>
      <c r="M655" s="27" t="str">
        <f t="shared" si="142"/>
        <v>Normal</v>
      </c>
      <c r="N655" s="31">
        <f t="shared" si="143"/>
        <v>2</v>
      </c>
      <c r="O655" s="27"/>
      <c r="Q655" s="8">
        <v>4.3191639001320392E-2</v>
      </c>
      <c r="R655" s="8" t="str">
        <f t="shared" si="144"/>
        <v>On Time</v>
      </c>
      <c r="S655" s="33">
        <v>1.4686956526980541</v>
      </c>
      <c r="T655" t="s">
        <v>30</v>
      </c>
      <c r="U655" s="3">
        <v>0</v>
      </c>
      <c r="V655" s="3" t="str">
        <f t="shared" si="148"/>
        <v/>
      </c>
      <c r="W655" s="3" t="s">
        <v>51</v>
      </c>
      <c r="X655" s="32">
        <f t="shared" si="145"/>
        <v>6.1195652197056916E-2</v>
      </c>
      <c r="Z655" s="38">
        <f t="shared" si="149"/>
        <v>0</v>
      </c>
      <c r="AC655" s="36">
        <v>0.125</v>
      </c>
      <c r="AL655" t="str">
        <f t="shared" si="150"/>
        <v>Normal</v>
      </c>
      <c r="AM655" t="str">
        <f t="shared" si="151"/>
        <v>No</v>
      </c>
      <c r="AN655" t="str">
        <f t="shared" si="152"/>
        <v>Elective</v>
      </c>
      <c r="AO655" t="str">
        <f t="shared" si="153"/>
        <v>General Ward</v>
      </c>
    </row>
    <row r="656" spans="1:41" x14ac:dyDescent="0.3">
      <c r="A656" s="21" t="str">
        <f t="shared" si="146"/>
        <v>UHID-00655</v>
      </c>
      <c r="B656" s="18">
        <v>43</v>
      </c>
      <c r="C656" s="10" t="s">
        <v>17</v>
      </c>
      <c r="D656" s="13" t="s">
        <v>28</v>
      </c>
      <c r="E656" s="13" t="s">
        <v>4</v>
      </c>
      <c r="F656" s="15">
        <v>46195.729505219897</v>
      </c>
      <c r="G656" s="4">
        <v>46195</v>
      </c>
      <c r="H656" s="1">
        <v>46198.567434467601</v>
      </c>
      <c r="I656" s="22">
        <v>46198</v>
      </c>
      <c r="J656" s="24">
        <f t="shared" si="140"/>
        <v>46198.446166062735</v>
      </c>
      <c r="K656" s="24">
        <f t="shared" si="141"/>
        <v>0.56743446760083316</v>
      </c>
      <c r="L656" s="29">
        <f t="shared" si="147"/>
        <v>46197</v>
      </c>
      <c r="M656" s="27" t="str">
        <f t="shared" si="142"/>
        <v>Doctor Round Delay/Report Delay</v>
      </c>
      <c r="N656" s="31">
        <f t="shared" si="143"/>
        <v>3</v>
      </c>
      <c r="O656" s="27"/>
      <c r="Q656" s="8">
        <v>0.93366872768921605</v>
      </c>
      <c r="R656" s="8" t="str">
        <f t="shared" si="144"/>
        <v>Minor Delay</v>
      </c>
      <c r="S656" s="33">
        <v>2.910441716778748</v>
      </c>
      <c r="T656" t="s">
        <v>31</v>
      </c>
      <c r="U656" s="3">
        <v>0</v>
      </c>
      <c r="V656" s="3" t="str">
        <f t="shared" si="148"/>
        <v>Normal</v>
      </c>
      <c r="W656" s="3" t="s">
        <v>51</v>
      </c>
      <c r="X656" s="32">
        <f t="shared" si="145"/>
        <v>0.12126840486598667</v>
      </c>
      <c r="Z656" s="38">
        <f t="shared" si="149"/>
        <v>0</v>
      </c>
      <c r="AC656" s="36">
        <v>0.125</v>
      </c>
      <c r="AL656" t="str">
        <f t="shared" si="150"/>
        <v>Doctor Round Delay/Report Delay</v>
      </c>
      <c r="AM656" t="str">
        <f t="shared" si="151"/>
        <v>No</v>
      </c>
      <c r="AN656" t="str">
        <f t="shared" si="152"/>
        <v>Elective</v>
      </c>
      <c r="AO656" t="str">
        <f t="shared" si="153"/>
        <v>General Ward</v>
      </c>
    </row>
    <row r="657" spans="1:41" x14ac:dyDescent="0.3">
      <c r="A657" s="21" t="str">
        <f t="shared" si="146"/>
        <v>UHID-00656</v>
      </c>
      <c r="B657" s="18">
        <v>26</v>
      </c>
      <c r="C657" s="10" t="s">
        <v>18</v>
      </c>
      <c r="D657" s="13" t="s">
        <v>26</v>
      </c>
      <c r="E657" s="13" t="s">
        <v>4</v>
      </c>
      <c r="F657" s="15">
        <v>46195.636394143497</v>
      </c>
      <c r="G657" s="4">
        <v>46195</v>
      </c>
      <c r="H657" s="1">
        <v>46198.469528611102</v>
      </c>
      <c r="I657" s="22">
        <v>46198</v>
      </c>
      <c r="J657" s="24">
        <f t="shared" si="140"/>
        <v>46198.311255944682</v>
      </c>
      <c r="K657" s="24">
        <f t="shared" si="141"/>
        <v>0.4695286111018504</v>
      </c>
      <c r="L657" s="29">
        <f t="shared" si="147"/>
        <v>46197</v>
      </c>
      <c r="M657" s="27" t="str">
        <f t="shared" si="142"/>
        <v>TPA Approval Delay</v>
      </c>
      <c r="N657" s="31">
        <f t="shared" si="143"/>
        <v>3</v>
      </c>
      <c r="O657" s="27"/>
      <c r="Q657" s="8">
        <v>0.60254367668013176</v>
      </c>
      <c r="R657" s="8" t="str">
        <f t="shared" si="144"/>
        <v>Major Delay</v>
      </c>
      <c r="S657" s="33">
        <v>3.7985439940653274</v>
      </c>
      <c r="T657" t="s">
        <v>31</v>
      </c>
      <c r="U657" s="3">
        <v>0</v>
      </c>
      <c r="V657" s="3" t="str">
        <f t="shared" si="148"/>
        <v>Normal</v>
      </c>
      <c r="W657" s="3" t="s">
        <v>51</v>
      </c>
      <c r="X657" s="32">
        <f t="shared" si="145"/>
        <v>0.15827266642008908</v>
      </c>
      <c r="Z657" s="38">
        <f t="shared" si="149"/>
        <v>3.3272666420089081E-2</v>
      </c>
      <c r="AC657" s="36">
        <v>0.125</v>
      </c>
      <c r="AL657" t="str">
        <f t="shared" si="150"/>
        <v>TPA Approval Delay</v>
      </c>
      <c r="AM657" t="str">
        <f t="shared" si="151"/>
        <v>No</v>
      </c>
      <c r="AN657" t="str">
        <f t="shared" si="152"/>
        <v>Elective</v>
      </c>
      <c r="AO657" t="str">
        <f t="shared" si="153"/>
        <v>General Ward</v>
      </c>
    </row>
    <row r="658" spans="1:41" x14ac:dyDescent="0.3">
      <c r="A658" s="21" t="str">
        <f t="shared" si="146"/>
        <v>UHID-00657</v>
      </c>
      <c r="B658" s="18">
        <v>10</v>
      </c>
      <c r="C658" s="10" t="s">
        <v>18</v>
      </c>
      <c r="D658" s="13" t="s">
        <v>26</v>
      </c>
      <c r="E658" s="13" t="s">
        <v>4</v>
      </c>
      <c r="F658" s="15">
        <v>46197.5058870949</v>
      </c>
      <c r="G658" s="4">
        <v>46197</v>
      </c>
      <c r="H658" s="1">
        <v>46198.513947465297</v>
      </c>
      <c r="I658" s="22">
        <v>46198</v>
      </c>
      <c r="J658" s="24">
        <f t="shared" si="140"/>
        <v>46198.189506138311</v>
      </c>
      <c r="K658" s="24">
        <f t="shared" si="141"/>
        <v>0.51394746529695112</v>
      </c>
      <c r="L658" s="29">
        <f t="shared" si="147"/>
        <v>46197</v>
      </c>
      <c r="M658" s="27" t="str">
        <f t="shared" si="142"/>
        <v>Health Deterioration/TPA Approval Delay</v>
      </c>
      <c r="N658" s="31">
        <f t="shared" si="143"/>
        <v>1</v>
      </c>
      <c r="O658" s="27"/>
      <c r="Q658" s="8">
        <v>0.73951750637019698</v>
      </c>
      <c r="R658" s="8" t="str">
        <f t="shared" si="144"/>
        <v>Critical Delay</v>
      </c>
      <c r="S658" s="33">
        <v>3.7865918476221507</v>
      </c>
      <c r="T658" t="s">
        <v>31</v>
      </c>
      <c r="U658" s="3">
        <v>4</v>
      </c>
      <c r="V658" s="3" t="str">
        <f t="shared" si="148"/>
        <v>Normal</v>
      </c>
      <c r="W658" s="3" t="s">
        <v>50</v>
      </c>
      <c r="X658" s="32">
        <f t="shared" si="145"/>
        <v>0.32444132698583417</v>
      </c>
      <c r="Z658" s="38">
        <f t="shared" si="149"/>
        <v>0.19944132698583417</v>
      </c>
      <c r="AC658" s="36">
        <v>0.125</v>
      </c>
      <c r="AL658" t="str">
        <f t="shared" si="150"/>
        <v>Health Deterioration/TPA Approval Delay</v>
      </c>
      <c r="AM658" t="str">
        <f t="shared" si="151"/>
        <v>No</v>
      </c>
      <c r="AN658" t="str">
        <f t="shared" si="152"/>
        <v>Emergency</v>
      </c>
      <c r="AO658" t="str">
        <f t="shared" si="153"/>
        <v>General Ward</v>
      </c>
    </row>
    <row r="659" spans="1:41" x14ac:dyDescent="0.3">
      <c r="A659" s="21" t="str">
        <f t="shared" si="146"/>
        <v>UHID-00658</v>
      </c>
      <c r="B659" s="18">
        <v>18</v>
      </c>
      <c r="C659" s="10" t="s">
        <v>18</v>
      </c>
      <c r="D659" s="13" t="s">
        <v>26</v>
      </c>
      <c r="E659" s="13" t="s">
        <v>4</v>
      </c>
      <c r="F659" s="15">
        <v>46195.671394270801</v>
      </c>
      <c r="G659" s="4">
        <v>46195</v>
      </c>
      <c r="H659" s="1">
        <v>46198.679507766203</v>
      </c>
      <c r="I659" s="22">
        <v>46198</v>
      </c>
      <c r="J659" s="24">
        <f t="shared" si="140"/>
        <v>46198.36023403256</v>
      </c>
      <c r="K659" s="24">
        <f t="shared" si="141"/>
        <v>0.67950776620273245</v>
      </c>
      <c r="L659" s="29">
        <f t="shared" si="147"/>
        <v>46197</v>
      </c>
      <c r="M659" s="27" t="str">
        <f t="shared" si="142"/>
        <v>Health Deterioration/TPA Approval Delay</v>
      </c>
      <c r="N659" s="31">
        <f t="shared" si="143"/>
        <v>3</v>
      </c>
      <c r="O659" s="27"/>
      <c r="Q659" s="8">
        <v>0.55483905388191068</v>
      </c>
      <c r="R659" s="8" t="str">
        <f t="shared" si="144"/>
        <v>Critical Delay</v>
      </c>
      <c r="S659" s="33">
        <v>3.6625696074790408</v>
      </c>
      <c r="T659" t="s">
        <v>31</v>
      </c>
      <c r="U659" s="3">
        <v>4</v>
      </c>
      <c r="V659" s="3" t="str">
        <f t="shared" si="148"/>
        <v>Normal</v>
      </c>
      <c r="W659" s="3" t="s">
        <v>50</v>
      </c>
      <c r="X659" s="32">
        <f t="shared" si="145"/>
        <v>0.31927373364305822</v>
      </c>
      <c r="Z659" s="38">
        <f t="shared" si="149"/>
        <v>0.19427373364305822</v>
      </c>
      <c r="AC659" s="36">
        <v>0.125</v>
      </c>
      <c r="AL659" t="str">
        <f t="shared" si="150"/>
        <v>Health Deterioration/TPA Approval Delay</v>
      </c>
      <c r="AM659" t="str">
        <f t="shared" si="151"/>
        <v>No</v>
      </c>
      <c r="AN659" t="str">
        <f t="shared" si="152"/>
        <v>Emergency</v>
      </c>
      <c r="AO659" t="str">
        <f t="shared" si="153"/>
        <v>General Ward</v>
      </c>
    </row>
    <row r="660" spans="1:41" x14ac:dyDescent="0.3">
      <c r="A660" s="21" t="str">
        <f t="shared" si="146"/>
        <v>UHID-00659</v>
      </c>
      <c r="B660" s="18">
        <v>22</v>
      </c>
      <c r="C660" s="10" t="s">
        <v>17</v>
      </c>
      <c r="D660" s="13" t="s">
        <v>26</v>
      </c>
      <c r="E660" s="13" t="s">
        <v>4</v>
      </c>
      <c r="F660" s="15">
        <v>46198.5523551968</v>
      </c>
      <c r="G660" s="4">
        <v>46198</v>
      </c>
      <c r="H660" s="1">
        <v>46198.777243645804</v>
      </c>
      <c r="I660" s="22">
        <v>46198</v>
      </c>
      <c r="J660" s="24">
        <f t="shared" si="140"/>
        <v>46198.544346648538</v>
      </c>
      <c r="K660" s="24">
        <f t="shared" si="141"/>
        <v>0.77724364580353722</v>
      </c>
      <c r="L660" s="29">
        <f t="shared" si="147"/>
        <v>46197</v>
      </c>
      <c r="M660" s="27" t="str">
        <f t="shared" si="142"/>
        <v>Health Deterioration/TPA Approval Delay</v>
      </c>
      <c r="N660" s="31">
        <f t="shared" si="143"/>
        <v>0</v>
      </c>
      <c r="O660" s="27"/>
      <c r="Q660" s="8">
        <v>0.63282825905663553</v>
      </c>
      <c r="R660" s="8" t="str">
        <f t="shared" si="144"/>
        <v>Critical Delay</v>
      </c>
      <c r="S660" s="33">
        <v>3.589527934389086</v>
      </c>
      <c r="T660" t="s">
        <v>31</v>
      </c>
      <c r="U660" s="3">
        <v>2</v>
      </c>
      <c r="V660" s="3" t="str">
        <f t="shared" si="148"/>
        <v>Normal</v>
      </c>
      <c r="W660" s="3" t="s">
        <v>50</v>
      </c>
      <c r="X660" s="32">
        <f t="shared" si="145"/>
        <v>0.23289699726592517</v>
      </c>
      <c r="Z660" s="38">
        <f t="shared" si="149"/>
        <v>0.10789699726592517</v>
      </c>
      <c r="AC660" s="36">
        <v>0.125</v>
      </c>
      <c r="AL660" t="str">
        <f t="shared" si="150"/>
        <v>Health Deterioration/TPA Approval Delay</v>
      </c>
      <c r="AM660" t="str">
        <f t="shared" si="151"/>
        <v>No</v>
      </c>
      <c r="AN660" t="str">
        <f t="shared" si="152"/>
        <v>Emergency</v>
      </c>
      <c r="AO660" t="str">
        <f t="shared" si="153"/>
        <v>General Ward</v>
      </c>
    </row>
    <row r="661" spans="1:41" x14ac:dyDescent="0.3">
      <c r="A661" s="21" t="str">
        <f t="shared" si="146"/>
        <v>UHID-00660</v>
      </c>
      <c r="B661" s="19">
        <v>37</v>
      </c>
      <c r="C661" s="11" t="s">
        <v>17</v>
      </c>
      <c r="D661" s="13" t="s">
        <v>27</v>
      </c>
      <c r="E661" s="13" t="s">
        <v>4</v>
      </c>
      <c r="F661" s="16">
        <v>46196.864051388897</v>
      </c>
      <c r="G661" s="5">
        <v>46196</v>
      </c>
      <c r="H661" s="2">
        <v>46199.464013958299</v>
      </c>
      <c r="I661" s="23">
        <v>46199</v>
      </c>
      <c r="J661" s="24">
        <f t="shared" si="140"/>
        <v>46199.408209834277</v>
      </c>
      <c r="K661" s="24">
        <f t="shared" si="141"/>
        <v>0.46401395829889225</v>
      </c>
      <c r="L661" s="29">
        <f t="shared" si="147"/>
        <v>46198</v>
      </c>
      <c r="M661" s="27" t="str">
        <f t="shared" si="142"/>
        <v>Normal</v>
      </c>
      <c r="N661" s="31">
        <f t="shared" si="143"/>
        <v>3</v>
      </c>
      <c r="O661" s="27"/>
      <c r="Q661" s="8">
        <v>0.36467089719553669</v>
      </c>
      <c r="R661" s="8" t="str">
        <f t="shared" si="144"/>
        <v>On Time</v>
      </c>
      <c r="S661" s="33">
        <v>1.3392989765057295</v>
      </c>
      <c r="T661" t="s">
        <v>31</v>
      </c>
      <c r="U661" s="3">
        <v>0</v>
      </c>
      <c r="V661" s="3" t="str">
        <f t="shared" si="148"/>
        <v>Normal</v>
      </c>
      <c r="W661" s="3" t="s">
        <v>51</v>
      </c>
      <c r="X661" s="32">
        <f t="shared" si="145"/>
        <v>5.5804124021960888E-2</v>
      </c>
      <c r="Z661" s="38">
        <f t="shared" si="149"/>
        <v>0</v>
      </c>
      <c r="AC661" s="36">
        <v>0.125</v>
      </c>
      <c r="AL661" t="str">
        <f t="shared" si="150"/>
        <v>Normal</v>
      </c>
      <c r="AM661" t="str">
        <f t="shared" si="151"/>
        <v>No</v>
      </c>
      <c r="AN661" t="str">
        <f t="shared" si="152"/>
        <v>Elective</v>
      </c>
      <c r="AO661" t="str">
        <f t="shared" si="153"/>
        <v>General Ward</v>
      </c>
    </row>
    <row r="662" spans="1:41" x14ac:dyDescent="0.3">
      <c r="A662" s="21" t="str">
        <f t="shared" si="146"/>
        <v>UHID-00661</v>
      </c>
      <c r="B662" s="19">
        <v>41</v>
      </c>
      <c r="C662" s="11" t="s">
        <v>18</v>
      </c>
      <c r="D662" s="13" t="s">
        <v>28</v>
      </c>
      <c r="E662" s="13" t="s">
        <v>4</v>
      </c>
      <c r="F662" s="16">
        <v>46197.868108993098</v>
      </c>
      <c r="G662" s="5">
        <v>46197</v>
      </c>
      <c r="H662" s="2">
        <v>46199.504266319404</v>
      </c>
      <c r="I662" s="23">
        <v>46199</v>
      </c>
      <c r="J662" s="24">
        <f t="shared" si="140"/>
        <v>46199.268646407763</v>
      </c>
      <c r="K662" s="24">
        <f t="shared" si="141"/>
        <v>0.50426631940354127</v>
      </c>
      <c r="L662" s="29">
        <f t="shared" si="147"/>
        <v>46198</v>
      </c>
      <c r="M662" s="27" t="str">
        <f t="shared" si="142"/>
        <v>Health Deterioration</v>
      </c>
      <c r="N662" s="31">
        <f t="shared" si="143"/>
        <v>2</v>
      </c>
      <c r="O662" s="27"/>
      <c r="Q662" s="8">
        <v>0.91622180818823518</v>
      </c>
      <c r="R662" s="8" t="str">
        <f t="shared" si="144"/>
        <v>Critical Delay</v>
      </c>
      <c r="S662" s="33">
        <v>2.654877879350098</v>
      </c>
      <c r="T662" t="s">
        <v>31</v>
      </c>
      <c r="U662" s="3">
        <v>3</v>
      </c>
      <c r="V662" s="3" t="str">
        <f t="shared" si="148"/>
        <v>Normal</v>
      </c>
      <c r="W662" s="3" t="s">
        <v>50</v>
      </c>
      <c r="X662" s="32">
        <f t="shared" si="145"/>
        <v>0.23561991164024221</v>
      </c>
      <c r="Z662" s="38">
        <f t="shared" si="149"/>
        <v>0.11061991164024221</v>
      </c>
      <c r="AC662" s="36">
        <v>0.125</v>
      </c>
      <c r="AL662" t="str">
        <f t="shared" si="150"/>
        <v>Health Deterioration</v>
      </c>
      <c r="AM662" t="str">
        <f t="shared" si="151"/>
        <v>No</v>
      </c>
      <c r="AN662" t="str">
        <f t="shared" si="152"/>
        <v>Emergency</v>
      </c>
      <c r="AO662" t="str">
        <f t="shared" si="153"/>
        <v>General Ward</v>
      </c>
    </row>
    <row r="663" spans="1:41" x14ac:dyDescent="0.3">
      <c r="A663" s="21" t="str">
        <f t="shared" si="146"/>
        <v>UHID-00662</v>
      </c>
      <c r="B663" s="19">
        <v>71</v>
      </c>
      <c r="C663" s="11" t="s">
        <v>18</v>
      </c>
      <c r="D663" s="13" t="s">
        <v>26</v>
      </c>
      <c r="E663" s="13" t="s">
        <v>4</v>
      </c>
      <c r="F663" s="16">
        <v>46197.865043796301</v>
      </c>
      <c r="G663" s="5">
        <v>46197</v>
      </c>
      <c r="H663" s="2">
        <v>46199.524097141199</v>
      </c>
      <c r="I663" s="23">
        <v>46199</v>
      </c>
      <c r="J663" s="24">
        <f t="shared" si="140"/>
        <v>46199.36723942199</v>
      </c>
      <c r="K663" s="24">
        <f t="shared" si="141"/>
        <v>0.52409714119858108</v>
      </c>
      <c r="L663" s="29">
        <f t="shared" si="147"/>
        <v>46198</v>
      </c>
      <c r="M663" s="27" t="str">
        <f t="shared" si="142"/>
        <v>TPA Approval Delay</v>
      </c>
      <c r="N663" s="31">
        <f t="shared" si="143"/>
        <v>2</v>
      </c>
      <c r="O663" s="27"/>
      <c r="Q663" s="8">
        <v>0.68458017953955619</v>
      </c>
      <c r="R663" s="8" t="str">
        <f t="shared" si="144"/>
        <v>Major Delay</v>
      </c>
      <c r="S663" s="33">
        <v>3.764585261048047</v>
      </c>
      <c r="T663" t="s">
        <v>31</v>
      </c>
      <c r="U663" s="3">
        <v>0</v>
      </c>
      <c r="V663" s="3" t="str">
        <f t="shared" si="148"/>
        <v>Normal</v>
      </c>
      <c r="W663" s="3" t="s">
        <v>51</v>
      </c>
      <c r="X663" s="32">
        <f t="shared" si="145"/>
        <v>0.15685771920834668</v>
      </c>
      <c r="Z663" s="38">
        <f t="shared" si="149"/>
        <v>3.185771920834668E-2</v>
      </c>
      <c r="AC663" s="36">
        <v>0.125</v>
      </c>
      <c r="AL663" t="str">
        <f t="shared" si="150"/>
        <v>TPA Approval Delay</v>
      </c>
      <c r="AM663" t="str">
        <f t="shared" si="151"/>
        <v>No</v>
      </c>
      <c r="AN663" t="str">
        <f t="shared" si="152"/>
        <v>Elective</v>
      </c>
      <c r="AO663" t="str">
        <f t="shared" si="153"/>
        <v>General Ward</v>
      </c>
    </row>
    <row r="664" spans="1:41" x14ac:dyDescent="0.3">
      <c r="A664" s="21" t="str">
        <f t="shared" si="146"/>
        <v>UHID-00663</v>
      </c>
      <c r="B664" s="19">
        <v>36</v>
      </c>
      <c r="C664" s="11" t="s">
        <v>17</v>
      </c>
      <c r="D664" s="13" t="s">
        <v>26</v>
      </c>
      <c r="E664" s="13" t="s">
        <v>4</v>
      </c>
      <c r="F664" s="16">
        <v>46199.369071805602</v>
      </c>
      <c r="G664" s="5">
        <v>46199</v>
      </c>
      <c r="H664" s="2">
        <v>46199.5986390162</v>
      </c>
      <c r="I664" s="23">
        <v>46199</v>
      </c>
      <c r="J664" s="24">
        <f t="shared" si="140"/>
        <v>46199.441658774063</v>
      </c>
      <c r="K664" s="24">
        <f t="shared" si="141"/>
        <v>0.59863901619974058</v>
      </c>
      <c r="L664" s="29">
        <f t="shared" si="147"/>
        <v>46198</v>
      </c>
      <c r="M664" s="27" t="str">
        <f t="shared" si="142"/>
        <v>TPA Approval Delay</v>
      </c>
      <c r="N664" s="31">
        <f t="shared" si="143"/>
        <v>0</v>
      </c>
      <c r="O664" s="27"/>
      <c r="Q664" s="8">
        <v>0.74338263147954553</v>
      </c>
      <c r="R664" s="8" t="str">
        <f t="shared" si="144"/>
        <v>Major Delay</v>
      </c>
      <c r="S664" s="33">
        <v>3.7675258113095338</v>
      </c>
      <c r="T664" t="s">
        <v>31</v>
      </c>
      <c r="U664" s="3">
        <v>0</v>
      </c>
      <c r="V664" s="3" t="str">
        <f t="shared" si="148"/>
        <v>Normal</v>
      </c>
      <c r="W664" s="3" t="s">
        <v>51</v>
      </c>
      <c r="X664" s="32">
        <f t="shared" si="145"/>
        <v>0.15698024213634199</v>
      </c>
      <c r="Z664" s="38">
        <f t="shared" si="149"/>
        <v>3.1980242136341985E-2</v>
      </c>
      <c r="AC664" s="36">
        <v>0.125</v>
      </c>
      <c r="AL664" t="str">
        <f t="shared" si="150"/>
        <v>TPA Approval Delay</v>
      </c>
      <c r="AM664" t="str">
        <f t="shared" si="151"/>
        <v>No</v>
      </c>
      <c r="AN664" t="str">
        <f t="shared" si="152"/>
        <v>Elective</v>
      </c>
      <c r="AO664" t="str">
        <f t="shared" si="153"/>
        <v>General Ward</v>
      </c>
    </row>
    <row r="665" spans="1:41" x14ac:dyDescent="0.3">
      <c r="A665" s="21" t="str">
        <f t="shared" si="146"/>
        <v>UHID-00664</v>
      </c>
      <c r="B665" s="19">
        <v>72</v>
      </c>
      <c r="C665" s="11" t="s">
        <v>18</v>
      </c>
      <c r="D665" s="13" t="s">
        <v>27</v>
      </c>
      <c r="E665" s="13" t="s">
        <v>4</v>
      </c>
      <c r="F665" s="16">
        <v>46191.656265983802</v>
      </c>
      <c r="G665" s="5">
        <v>46191</v>
      </c>
      <c r="H665" s="2">
        <v>46199.6466995023</v>
      </c>
      <c r="I665" s="23">
        <v>46199</v>
      </c>
      <c r="J665" s="24">
        <f t="shared" si="140"/>
        <v>46199.603435879653</v>
      </c>
      <c r="K665" s="24">
        <f t="shared" si="141"/>
        <v>0.64669950230018003</v>
      </c>
      <c r="L665" s="29">
        <f t="shared" si="147"/>
        <v>46198</v>
      </c>
      <c r="M665" s="27" t="str">
        <f t="shared" si="142"/>
        <v>Normal</v>
      </c>
      <c r="N665" s="31">
        <f t="shared" si="143"/>
        <v>8</v>
      </c>
      <c r="O665" s="27"/>
      <c r="Q665" s="8">
        <v>6.6207867172346502E-3</v>
      </c>
      <c r="R665" s="8" t="str">
        <f t="shared" si="144"/>
        <v>On Time</v>
      </c>
      <c r="S665" s="33">
        <v>1.0383269435732547</v>
      </c>
      <c r="T665" t="s">
        <v>30</v>
      </c>
      <c r="U665" s="3">
        <v>0</v>
      </c>
      <c r="V665" s="3" t="str">
        <f t="shared" si="148"/>
        <v/>
      </c>
      <c r="W665" s="3" t="s">
        <v>51</v>
      </c>
      <c r="X665" s="32">
        <f t="shared" si="145"/>
        <v>4.326362264691852E-2</v>
      </c>
      <c r="Z665" s="38">
        <f t="shared" si="149"/>
        <v>0</v>
      </c>
      <c r="AC665" s="36">
        <v>0.125</v>
      </c>
      <c r="AL665" t="str">
        <f t="shared" si="150"/>
        <v>Normal</v>
      </c>
      <c r="AM665" t="str">
        <f t="shared" si="151"/>
        <v>No</v>
      </c>
      <c r="AN665" t="str">
        <f t="shared" si="152"/>
        <v>Emergency</v>
      </c>
      <c r="AO665" t="str">
        <f t="shared" si="153"/>
        <v>ICU</v>
      </c>
    </row>
    <row r="666" spans="1:41" x14ac:dyDescent="0.3">
      <c r="A666" s="21" t="str">
        <f t="shared" si="146"/>
        <v>UHID-00665</v>
      </c>
      <c r="B666" s="19">
        <v>48</v>
      </c>
      <c r="C666" s="11" t="s">
        <v>17</v>
      </c>
      <c r="D666" s="13" t="s">
        <v>27</v>
      </c>
      <c r="E666" s="13" t="s">
        <v>4</v>
      </c>
      <c r="F666" s="16">
        <v>46198.758819178198</v>
      </c>
      <c r="G666" s="5">
        <v>46198</v>
      </c>
      <c r="H666" s="2">
        <v>46200.668990300903</v>
      </c>
      <c r="I666" s="23">
        <v>46200</v>
      </c>
      <c r="J666" s="24">
        <f t="shared" si="140"/>
        <v>46200.615752330195</v>
      </c>
      <c r="K666" s="24">
        <f t="shared" si="141"/>
        <v>0.66899030090280576</v>
      </c>
      <c r="L666" s="29">
        <f t="shared" si="147"/>
        <v>46199</v>
      </c>
      <c r="M666" s="27" t="str">
        <f t="shared" si="142"/>
        <v>Normal</v>
      </c>
      <c r="N666" s="31">
        <f t="shared" si="143"/>
        <v>2</v>
      </c>
      <c r="O666" s="27"/>
      <c r="Q666" s="8">
        <v>0.24771318148430266</v>
      </c>
      <c r="R666" s="8" t="str">
        <f t="shared" si="144"/>
        <v>On Time</v>
      </c>
      <c r="S666" s="33">
        <v>1.2777112970170399</v>
      </c>
      <c r="T666" t="s">
        <v>30</v>
      </c>
      <c r="U666" s="3">
        <v>0</v>
      </c>
      <c r="V666" s="3" t="str">
        <f t="shared" si="148"/>
        <v/>
      </c>
      <c r="W666" s="3" t="s">
        <v>51</v>
      </c>
      <c r="X666" s="32">
        <f t="shared" si="145"/>
        <v>5.3237970707414206E-2</v>
      </c>
      <c r="Z666" s="38">
        <f t="shared" si="149"/>
        <v>0</v>
      </c>
      <c r="AC666" s="36">
        <v>0.125</v>
      </c>
      <c r="AL666" t="str">
        <f t="shared" si="150"/>
        <v>Normal</v>
      </c>
      <c r="AM666" t="str">
        <f t="shared" si="151"/>
        <v>No</v>
      </c>
      <c r="AN666" t="str">
        <f t="shared" si="152"/>
        <v>Elective</v>
      </c>
      <c r="AO666" t="str">
        <f t="shared" si="153"/>
        <v>General Ward</v>
      </c>
    </row>
    <row r="667" spans="1:41" x14ac:dyDescent="0.3">
      <c r="A667" s="21" t="str">
        <f t="shared" si="146"/>
        <v>UHID-00666</v>
      </c>
      <c r="B667" s="19">
        <v>29</v>
      </c>
      <c r="C667" s="11" t="s">
        <v>18</v>
      </c>
      <c r="D667" s="13" t="s">
        <v>27</v>
      </c>
      <c r="E667" s="13" t="s">
        <v>4</v>
      </c>
      <c r="F667" s="16">
        <v>46197.866994606498</v>
      </c>
      <c r="G667" s="5">
        <v>46197</v>
      </c>
      <c r="H667" s="2">
        <v>46200.640320023202</v>
      </c>
      <c r="I667" s="23">
        <v>46200</v>
      </c>
      <c r="J667" s="24">
        <f t="shared" si="140"/>
        <v>46200.444496468292</v>
      </c>
      <c r="K667" s="24">
        <f t="shared" si="141"/>
        <v>0.64032002320163883</v>
      </c>
      <c r="L667" s="29">
        <f t="shared" si="147"/>
        <v>46199</v>
      </c>
      <c r="M667" s="27" t="str">
        <f t="shared" si="142"/>
        <v>Medication Change</v>
      </c>
      <c r="N667" s="31">
        <f t="shared" si="143"/>
        <v>3</v>
      </c>
      <c r="O667" s="27"/>
      <c r="Q667" s="8">
        <v>0.36867839782606326</v>
      </c>
      <c r="R667" s="8" t="str">
        <f t="shared" si="144"/>
        <v>Major Delay</v>
      </c>
      <c r="S667" s="33">
        <v>1.6997653177545677</v>
      </c>
      <c r="T667" t="s">
        <v>31</v>
      </c>
      <c r="U667" s="3">
        <v>3</v>
      </c>
      <c r="V667" s="3" t="str">
        <f t="shared" si="148"/>
        <v>Normal</v>
      </c>
      <c r="W667" s="3" t="s">
        <v>50</v>
      </c>
      <c r="X667" s="32">
        <f t="shared" si="145"/>
        <v>0.1958235549100209</v>
      </c>
      <c r="Z667" s="38">
        <f t="shared" si="149"/>
        <v>7.0823554910020903E-2</v>
      </c>
      <c r="AC667" s="36">
        <v>0.125</v>
      </c>
      <c r="AL667" t="str">
        <f t="shared" si="150"/>
        <v>Medication Change</v>
      </c>
      <c r="AM667" t="str">
        <f t="shared" si="151"/>
        <v>No</v>
      </c>
      <c r="AN667" t="str">
        <f t="shared" si="152"/>
        <v>Elective</v>
      </c>
      <c r="AO667" t="str">
        <f t="shared" si="153"/>
        <v>General Ward</v>
      </c>
    </row>
    <row r="668" spans="1:41" x14ac:dyDescent="0.3">
      <c r="A668" s="21" t="str">
        <f t="shared" si="146"/>
        <v>UHID-00667</v>
      </c>
      <c r="B668" s="19">
        <v>32</v>
      </c>
      <c r="C668" s="11" t="s">
        <v>17</v>
      </c>
      <c r="D668" s="13" t="s">
        <v>27</v>
      </c>
      <c r="E668" s="13" t="s">
        <v>4</v>
      </c>
      <c r="F668" s="16">
        <v>46198.784533912003</v>
      </c>
      <c r="G668" s="5">
        <v>46198</v>
      </c>
      <c r="H668" s="2">
        <v>46201.441022094899</v>
      </c>
      <c r="I668" s="23">
        <v>46201</v>
      </c>
      <c r="J668" s="24">
        <f t="shared" si="140"/>
        <v>46201.365976764871</v>
      </c>
      <c r="K668" s="24">
        <f t="shared" si="141"/>
        <v>0.44102209489938105</v>
      </c>
      <c r="L668" s="29">
        <f t="shared" si="147"/>
        <v>46200</v>
      </c>
      <c r="M668" s="27" t="str">
        <f t="shared" si="142"/>
        <v>Normal</v>
      </c>
      <c r="N668" s="31">
        <f t="shared" si="143"/>
        <v>3</v>
      </c>
      <c r="O668" s="27"/>
      <c r="Q668" s="8">
        <v>8.6577611605026861E-2</v>
      </c>
      <c r="R668" s="8" t="str">
        <f t="shared" si="144"/>
        <v>On Time</v>
      </c>
      <c r="S668" s="33">
        <v>1.8010879207235488</v>
      </c>
      <c r="T668" t="s">
        <v>30</v>
      </c>
      <c r="U668" s="3">
        <v>0</v>
      </c>
      <c r="V668" s="3" t="str">
        <f t="shared" si="148"/>
        <v/>
      </c>
      <c r="W668" s="3" t="s">
        <v>51</v>
      </c>
      <c r="X668" s="32">
        <f t="shared" si="145"/>
        <v>7.5045330027933232E-2</v>
      </c>
      <c r="Z668" s="38">
        <f t="shared" si="149"/>
        <v>0</v>
      </c>
      <c r="AC668" s="36">
        <v>0.125</v>
      </c>
      <c r="AL668" t="str">
        <f t="shared" si="150"/>
        <v>Normal</v>
      </c>
      <c r="AM668" t="str">
        <f t="shared" si="151"/>
        <v>No</v>
      </c>
      <c r="AN668" t="str">
        <f t="shared" si="152"/>
        <v>Elective</v>
      </c>
      <c r="AO668" t="str">
        <f t="shared" si="153"/>
        <v>General Ward</v>
      </c>
    </row>
    <row r="669" spans="1:41" x14ac:dyDescent="0.3">
      <c r="A669" s="21" t="str">
        <f t="shared" si="146"/>
        <v>UHID-00668</v>
      </c>
      <c r="B669" s="19">
        <v>51</v>
      </c>
      <c r="C669" s="11" t="s">
        <v>17</v>
      </c>
      <c r="D669" s="13" t="s">
        <v>28</v>
      </c>
      <c r="E669" s="13" t="s">
        <v>4</v>
      </c>
      <c r="F669" s="16">
        <v>46196.987120046302</v>
      </c>
      <c r="G669" s="5">
        <v>46196</v>
      </c>
      <c r="H669" s="2">
        <v>46201.703509687497</v>
      </c>
      <c r="I669" s="23">
        <v>46201</v>
      </c>
      <c r="J669" s="24">
        <f t="shared" si="140"/>
        <v>46201.488880736455</v>
      </c>
      <c r="K669" s="24">
        <f t="shared" si="141"/>
        <v>0.7035096874969895</v>
      </c>
      <c r="L669" s="29">
        <f t="shared" si="147"/>
        <v>46200</v>
      </c>
      <c r="M669" s="27" t="str">
        <f t="shared" si="142"/>
        <v>Health Deterioration</v>
      </c>
      <c r="N669" s="31">
        <f t="shared" si="143"/>
        <v>5</v>
      </c>
      <c r="O669" s="27"/>
      <c r="Q669" s="8">
        <v>0.90651992080100618</v>
      </c>
      <c r="R669" s="8" t="str">
        <f t="shared" si="144"/>
        <v>Critical Delay</v>
      </c>
      <c r="S669" s="33">
        <v>2.151094824932497</v>
      </c>
      <c r="T669" t="s">
        <v>31</v>
      </c>
      <c r="U669" s="3">
        <v>3</v>
      </c>
      <c r="V669" s="3" t="str">
        <f t="shared" si="148"/>
        <v>Normal</v>
      </c>
      <c r="W669" s="3" t="s">
        <v>50</v>
      </c>
      <c r="X669" s="32">
        <f t="shared" si="145"/>
        <v>0.21462895104195923</v>
      </c>
      <c r="Z669" s="38">
        <f t="shared" si="149"/>
        <v>8.9628951041959226E-2</v>
      </c>
      <c r="AC669" s="36">
        <v>0.125</v>
      </c>
      <c r="AL669" t="str">
        <f t="shared" si="150"/>
        <v>Health Deterioration</v>
      </c>
      <c r="AM669" t="str">
        <f t="shared" si="151"/>
        <v>No</v>
      </c>
      <c r="AN669" t="str">
        <f t="shared" si="152"/>
        <v>Elective</v>
      </c>
      <c r="AO669" t="str">
        <f t="shared" si="153"/>
        <v>HDU</v>
      </c>
    </row>
    <row r="670" spans="1:41" x14ac:dyDescent="0.3">
      <c r="A670" s="21" t="str">
        <f t="shared" si="146"/>
        <v>UHID-00669</v>
      </c>
      <c r="B670" s="19">
        <v>44</v>
      </c>
      <c r="C670" s="11" t="s">
        <v>17</v>
      </c>
      <c r="D670" s="13" t="s">
        <v>27</v>
      </c>
      <c r="E670" s="13" t="s">
        <v>4</v>
      </c>
      <c r="F670" s="16">
        <v>46196.810049490698</v>
      </c>
      <c r="G670" s="5">
        <v>46196</v>
      </c>
      <c r="H670" s="2">
        <v>46201.287807789398</v>
      </c>
      <c r="I670" s="23">
        <v>46201</v>
      </c>
      <c r="J670" s="24">
        <f t="shared" si="140"/>
        <v>46201.215946873985</v>
      </c>
      <c r="K670" s="24">
        <f t="shared" si="141"/>
        <v>0.28780778939835727</v>
      </c>
      <c r="L670" s="29">
        <f t="shared" si="147"/>
        <v>46200</v>
      </c>
      <c r="M670" s="27" t="str">
        <f t="shared" si="142"/>
        <v>Normal</v>
      </c>
      <c r="N670" s="31">
        <f t="shared" si="143"/>
        <v>5</v>
      </c>
      <c r="O670" s="27"/>
      <c r="Q670" s="8">
        <v>0.36207422740378348</v>
      </c>
      <c r="R670" s="8" t="str">
        <f t="shared" si="144"/>
        <v>On Time</v>
      </c>
      <c r="S670" s="33">
        <v>1.7246619699846835</v>
      </c>
      <c r="T670" t="s">
        <v>31</v>
      </c>
      <c r="U670" s="3">
        <v>0</v>
      </c>
      <c r="V670" s="3" t="str">
        <f t="shared" si="148"/>
        <v>Normal</v>
      </c>
      <c r="W670" s="3" t="s">
        <v>51</v>
      </c>
      <c r="X670" s="32">
        <f t="shared" si="145"/>
        <v>7.1860915413708426E-2</v>
      </c>
      <c r="Z670" s="38">
        <f t="shared" si="149"/>
        <v>0</v>
      </c>
      <c r="AC670" s="36">
        <v>0.125</v>
      </c>
      <c r="AL670" t="str">
        <f t="shared" si="150"/>
        <v>Normal</v>
      </c>
      <c r="AM670" t="str">
        <f t="shared" si="151"/>
        <v>No</v>
      </c>
      <c r="AN670" t="str">
        <f t="shared" si="152"/>
        <v>Elective</v>
      </c>
      <c r="AO670" t="str">
        <f t="shared" si="153"/>
        <v>HDU</v>
      </c>
    </row>
    <row r="671" spans="1:41" x14ac:dyDescent="0.3">
      <c r="A671" s="21" t="str">
        <f t="shared" si="146"/>
        <v>UHID-00670</v>
      </c>
      <c r="B671" s="19">
        <v>58</v>
      </c>
      <c r="C671" s="11" t="s">
        <v>17</v>
      </c>
      <c r="D671" s="13" t="s">
        <v>28</v>
      </c>
      <c r="E671" s="13" t="s">
        <v>4</v>
      </c>
      <c r="F671" s="16">
        <v>46198.878879027798</v>
      </c>
      <c r="G671" s="5">
        <v>46198</v>
      </c>
      <c r="H671" s="2">
        <v>46201.475062777798</v>
      </c>
      <c r="I671" s="23">
        <v>46201</v>
      </c>
      <c r="J671" s="24">
        <f t="shared" si="140"/>
        <v>46201.388868876245</v>
      </c>
      <c r="K671" s="24">
        <f t="shared" si="141"/>
        <v>0.47506277779757511</v>
      </c>
      <c r="L671" s="29">
        <f t="shared" si="147"/>
        <v>46200</v>
      </c>
      <c r="M671" s="27" t="str">
        <f t="shared" si="142"/>
        <v>Doctor Round Delay/Report Delay</v>
      </c>
      <c r="N671" s="31">
        <f t="shared" si="143"/>
        <v>3</v>
      </c>
      <c r="O671" s="27"/>
      <c r="Q671" s="8">
        <v>0.96005885152580561</v>
      </c>
      <c r="R671" s="8" t="str">
        <f t="shared" si="144"/>
        <v>Minor Delay</v>
      </c>
      <c r="S671" s="33">
        <v>2.0686536372551405</v>
      </c>
      <c r="T671" t="s">
        <v>31</v>
      </c>
      <c r="U671" s="3">
        <v>0</v>
      </c>
      <c r="V671" s="3" t="str">
        <f t="shared" si="148"/>
        <v>Normal</v>
      </c>
      <c r="W671" s="3" t="s">
        <v>51</v>
      </c>
      <c r="X671" s="32">
        <f t="shared" si="145"/>
        <v>8.6193901552178431E-2</v>
      </c>
      <c r="Z671" s="38">
        <f t="shared" si="149"/>
        <v>0</v>
      </c>
      <c r="AC671" s="36">
        <v>0.125</v>
      </c>
      <c r="AL671" t="str">
        <f t="shared" si="150"/>
        <v>Doctor Round Delay/Report Delay</v>
      </c>
      <c r="AM671" t="str">
        <f t="shared" si="151"/>
        <v>No</v>
      </c>
      <c r="AN671" t="str">
        <f t="shared" si="152"/>
        <v>Elective</v>
      </c>
      <c r="AO671" t="str">
        <f t="shared" si="153"/>
        <v>General Ward</v>
      </c>
    </row>
    <row r="672" spans="1:41" x14ac:dyDescent="0.3">
      <c r="A672" s="21" t="str">
        <f t="shared" si="146"/>
        <v>UHID-00671</v>
      </c>
      <c r="B672" s="19">
        <v>96</v>
      </c>
      <c r="C672" s="11" t="s">
        <v>18</v>
      </c>
      <c r="D672" s="13" t="s">
        <v>27</v>
      </c>
      <c r="E672" s="13" t="s">
        <v>4</v>
      </c>
      <c r="F672" s="16">
        <v>46197.858802604198</v>
      </c>
      <c r="G672" s="5">
        <v>46197</v>
      </c>
      <c r="H672" s="2">
        <v>46201.503806597197</v>
      </c>
      <c r="I672" s="23">
        <v>46201</v>
      </c>
      <c r="J672" s="24">
        <f t="shared" si="140"/>
        <v>46201.448974290091</v>
      </c>
      <c r="K672" s="24">
        <f t="shared" si="141"/>
        <v>0.50380659719667165</v>
      </c>
      <c r="L672" s="29">
        <f t="shared" si="147"/>
        <v>46200</v>
      </c>
      <c r="M672" s="27" t="str">
        <f t="shared" si="142"/>
        <v>Normal</v>
      </c>
      <c r="N672" s="31">
        <f t="shared" si="143"/>
        <v>4</v>
      </c>
      <c r="O672" s="27"/>
      <c r="Q672" s="8">
        <v>0.44201082035523287</v>
      </c>
      <c r="R672" s="8" t="str">
        <f t="shared" si="144"/>
        <v>On Time</v>
      </c>
      <c r="S672" s="33">
        <v>1.3159753704577037</v>
      </c>
      <c r="T672" t="s">
        <v>31</v>
      </c>
      <c r="U672" s="3">
        <v>0</v>
      </c>
      <c r="V672" s="3" t="str">
        <f t="shared" si="148"/>
        <v>Normal</v>
      </c>
      <c r="W672" s="3" t="s">
        <v>51</v>
      </c>
      <c r="X672" s="32">
        <f t="shared" si="145"/>
        <v>5.4832307105243672E-2</v>
      </c>
      <c r="Z672" s="38">
        <f t="shared" si="149"/>
        <v>0</v>
      </c>
      <c r="AC672" s="36">
        <v>0.125</v>
      </c>
      <c r="AL672" t="str">
        <f t="shared" si="150"/>
        <v>Normal</v>
      </c>
      <c r="AM672" t="str">
        <f t="shared" si="151"/>
        <v>No</v>
      </c>
      <c r="AN672" t="str">
        <f t="shared" si="152"/>
        <v>Elective</v>
      </c>
      <c r="AO672" t="str">
        <f t="shared" si="153"/>
        <v>HDU</v>
      </c>
    </row>
    <row r="673" spans="1:41" x14ac:dyDescent="0.3">
      <c r="A673" s="21" t="str">
        <f t="shared" si="146"/>
        <v>UHID-00672</v>
      </c>
      <c r="B673" s="19">
        <v>48</v>
      </c>
      <c r="C673" s="11" t="s">
        <v>17</v>
      </c>
      <c r="D673" s="13" t="s">
        <v>27</v>
      </c>
      <c r="E673" s="13" t="s">
        <v>4</v>
      </c>
      <c r="F673" s="16">
        <v>46199.761346956002</v>
      </c>
      <c r="G673" s="5">
        <v>46199</v>
      </c>
      <c r="H673" s="2">
        <v>46202.555002314803</v>
      </c>
      <c r="I673" s="23">
        <v>46202</v>
      </c>
      <c r="J673" s="24">
        <f t="shared" si="140"/>
        <v>46202.138849711504</v>
      </c>
      <c r="K673" s="24">
        <f t="shared" si="141"/>
        <v>0.55500231480255025</v>
      </c>
      <c r="L673" s="29">
        <f t="shared" si="147"/>
        <v>46201</v>
      </c>
      <c r="M673" s="27" t="str">
        <f t="shared" si="142"/>
        <v>Health Deterioration</v>
      </c>
      <c r="N673" s="31">
        <f t="shared" si="143"/>
        <v>3</v>
      </c>
      <c r="O673" s="27"/>
      <c r="Q673" s="8">
        <v>0.31240971899377312</v>
      </c>
      <c r="R673" s="8" t="str">
        <f t="shared" si="144"/>
        <v>Critical Delay</v>
      </c>
      <c r="S673" s="33">
        <v>1.9876624791961777</v>
      </c>
      <c r="T673" t="s">
        <v>30</v>
      </c>
      <c r="U673" s="3">
        <v>8</v>
      </c>
      <c r="V673" s="3" t="str">
        <f t="shared" si="148"/>
        <v/>
      </c>
      <c r="W673" s="3" t="s">
        <v>52</v>
      </c>
      <c r="X673" s="32">
        <f t="shared" si="145"/>
        <v>0.41615260329854209</v>
      </c>
      <c r="Z673" s="38">
        <f t="shared" si="149"/>
        <v>0.29115260329854209</v>
      </c>
      <c r="AC673" s="36">
        <v>0.125</v>
      </c>
      <c r="AL673" t="str">
        <f t="shared" si="150"/>
        <v>Health Deterioration</v>
      </c>
      <c r="AM673" t="str">
        <f t="shared" si="151"/>
        <v>No</v>
      </c>
      <c r="AN673" t="str">
        <f t="shared" si="152"/>
        <v>Emergency</v>
      </c>
      <c r="AO673" t="str">
        <f t="shared" si="153"/>
        <v>General Ward</v>
      </c>
    </row>
    <row r="674" spans="1:41" x14ac:dyDescent="0.3">
      <c r="A674" s="21" t="str">
        <f t="shared" si="146"/>
        <v>UHID-00673</v>
      </c>
      <c r="B674" s="19">
        <v>34</v>
      </c>
      <c r="C674" s="11" t="s">
        <v>18</v>
      </c>
      <c r="D674" s="13" t="s">
        <v>27</v>
      </c>
      <c r="E674" s="13" t="s">
        <v>4</v>
      </c>
      <c r="F674" s="16">
        <v>46202.3929642824</v>
      </c>
      <c r="G674" s="5">
        <v>46202</v>
      </c>
      <c r="H674" s="2">
        <v>46202.626476539299</v>
      </c>
      <c r="I674" s="23">
        <v>46202</v>
      </c>
      <c r="J674" s="24">
        <f t="shared" si="140"/>
        <v>46202.402765821978</v>
      </c>
      <c r="K674" s="24">
        <f t="shared" si="141"/>
        <v>0.62647653929889202</v>
      </c>
      <c r="L674" s="29">
        <f t="shared" si="147"/>
        <v>46201</v>
      </c>
      <c r="M674" s="27" t="str">
        <f t="shared" si="142"/>
        <v>Health Deterioration</v>
      </c>
      <c r="N674" s="31">
        <f t="shared" si="143"/>
        <v>0</v>
      </c>
      <c r="O674" s="27"/>
      <c r="Q674" s="8">
        <v>0.22559948280248165</v>
      </c>
      <c r="R674" s="8" t="str">
        <f t="shared" si="144"/>
        <v>Critical Delay</v>
      </c>
      <c r="S674" s="33">
        <v>1.3690572157594771</v>
      </c>
      <c r="T674" t="s">
        <v>30</v>
      </c>
      <c r="U674" s="3">
        <v>4</v>
      </c>
      <c r="V674" s="3" t="str">
        <f t="shared" si="148"/>
        <v/>
      </c>
      <c r="W674" s="3" t="s">
        <v>50</v>
      </c>
      <c r="X674" s="32">
        <f t="shared" si="145"/>
        <v>0.22371071732050041</v>
      </c>
      <c r="Z674" s="38">
        <f t="shared" si="149"/>
        <v>9.8710717320500407E-2</v>
      </c>
      <c r="AC674" s="36">
        <v>0.125</v>
      </c>
      <c r="AL674" t="str">
        <f t="shared" si="150"/>
        <v>Health Deterioration</v>
      </c>
      <c r="AM674" t="str">
        <f t="shared" si="151"/>
        <v>No</v>
      </c>
      <c r="AN674" t="str">
        <f t="shared" si="152"/>
        <v>Emergency</v>
      </c>
      <c r="AO674" t="str">
        <f t="shared" si="153"/>
        <v>General Ward</v>
      </c>
    </row>
    <row r="675" spans="1:41" x14ac:dyDescent="0.3">
      <c r="A675" s="21" t="str">
        <f t="shared" si="146"/>
        <v>UHID-00674</v>
      </c>
      <c r="B675" s="19">
        <v>31</v>
      </c>
      <c r="C675" s="11" t="s">
        <v>18</v>
      </c>
      <c r="D675" s="13" t="s">
        <v>26</v>
      </c>
      <c r="E675" s="13" t="s">
        <v>4</v>
      </c>
      <c r="F675" s="16">
        <v>46199.901352152803</v>
      </c>
      <c r="G675" s="5">
        <v>46199</v>
      </c>
      <c r="H675" s="2">
        <v>46203.512555150497</v>
      </c>
      <c r="I675" s="23">
        <v>46203</v>
      </c>
      <c r="J675" s="24">
        <f t="shared" si="140"/>
        <v>46203.24678288422</v>
      </c>
      <c r="K675" s="24">
        <f t="shared" si="141"/>
        <v>0.51255515049706446</v>
      </c>
      <c r="L675" s="29">
        <f t="shared" si="147"/>
        <v>46202</v>
      </c>
      <c r="M675" s="27" t="str">
        <f t="shared" si="142"/>
        <v>Health Deterioration/TPA Approval Delay</v>
      </c>
      <c r="N675" s="31">
        <f t="shared" si="143"/>
        <v>4</v>
      </c>
      <c r="O675" s="27"/>
      <c r="Q675" s="8">
        <v>0.50633112055609575</v>
      </c>
      <c r="R675" s="8" t="str">
        <f t="shared" si="144"/>
        <v>Critical Delay</v>
      </c>
      <c r="S675" s="33">
        <v>3.3785343907158514</v>
      </c>
      <c r="T675" t="s">
        <v>31</v>
      </c>
      <c r="U675" s="3">
        <v>3</v>
      </c>
      <c r="V675" s="3" t="str">
        <f t="shared" si="148"/>
        <v>Normal</v>
      </c>
      <c r="W675" s="3" t="s">
        <v>50</v>
      </c>
      <c r="X675" s="32">
        <f t="shared" si="145"/>
        <v>0.26577226627705386</v>
      </c>
      <c r="Z675" s="38">
        <f t="shared" si="149"/>
        <v>0.14077226627705386</v>
      </c>
      <c r="AC675" s="36">
        <v>0.125</v>
      </c>
      <c r="AL675" t="str">
        <f t="shared" si="150"/>
        <v>Health Deterioration/TPA Approval Delay</v>
      </c>
      <c r="AM675" t="str">
        <f t="shared" si="151"/>
        <v>No</v>
      </c>
      <c r="AN675" t="str">
        <f t="shared" si="152"/>
        <v>Emergency</v>
      </c>
      <c r="AO675" t="str">
        <f t="shared" si="153"/>
        <v>HDU</v>
      </c>
    </row>
    <row r="676" spans="1:41" x14ac:dyDescent="0.3">
      <c r="A676" s="21" t="str">
        <f t="shared" si="146"/>
        <v>UHID-00675</v>
      </c>
      <c r="B676" s="19">
        <v>47</v>
      </c>
      <c r="C676" s="11" t="s">
        <v>18</v>
      </c>
      <c r="D676" s="13" t="s">
        <v>27</v>
      </c>
      <c r="E676" s="13" t="s">
        <v>4</v>
      </c>
      <c r="F676" s="16">
        <v>46202.786932835603</v>
      </c>
      <c r="G676" s="5">
        <v>46202</v>
      </c>
      <c r="H676" s="2">
        <v>46202.937487210598</v>
      </c>
      <c r="I676" s="23">
        <v>46202</v>
      </c>
      <c r="J676" s="24">
        <f t="shared" si="140"/>
        <v>46202.867711251834</v>
      </c>
      <c r="K676" s="24">
        <f t="shared" si="141"/>
        <v>0.93748721059819218</v>
      </c>
      <c r="L676" s="29">
        <f t="shared" si="147"/>
        <v>46201</v>
      </c>
      <c r="M676" s="27" t="str">
        <f t="shared" si="142"/>
        <v>Normal</v>
      </c>
      <c r="N676" s="31">
        <f t="shared" si="143"/>
        <v>0</v>
      </c>
      <c r="O676" s="27"/>
      <c r="Q676" s="8">
        <v>0.13786120088968101</v>
      </c>
      <c r="R676" s="8" t="str">
        <f t="shared" si="144"/>
        <v>On Time</v>
      </c>
      <c r="S676" s="33">
        <v>1.6746230103071882</v>
      </c>
      <c r="T676" t="s">
        <v>30</v>
      </c>
      <c r="U676" s="3">
        <v>0</v>
      </c>
      <c r="V676" s="3" t="str">
        <f t="shared" si="148"/>
        <v/>
      </c>
      <c r="W676" s="3" t="s">
        <v>51</v>
      </c>
      <c r="X676" s="32">
        <f t="shared" si="145"/>
        <v>6.9775958763784729E-2</v>
      </c>
      <c r="Z676" s="38">
        <f t="shared" si="149"/>
        <v>0</v>
      </c>
      <c r="AC676" s="36">
        <v>0.125</v>
      </c>
      <c r="AL676" t="str">
        <f t="shared" si="150"/>
        <v>Normal</v>
      </c>
      <c r="AM676" t="str">
        <f t="shared" si="151"/>
        <v>No</v>
      </c>
      <c r="AN676" t="str">
        <f t="shared" si="152"/>
        <v>Elective</v>
      </c>
      <c r="AO676" t="str">
        <f t="shared" si="153"/>
        <v>General Ward</v>
      </c>
    </row>
    <row r="677" spans="1:41" x14ac:dyDescent="0.3">
      <c r="A677" s="21" t="str">
        <f t="shared" si="146"/>
        <v>UHID-00676</v>
      </c>
      <c r="B677" s="19">
        <v>74</v>
      </c>
      <c r="C677" s="11" t="s">
        <v>17</v>
      </c>
      <c r="D677" s="13" t="s">
        <v>27</v>
      </c>
      <c r="E677" s="13" t="s">
        <v>4</v>
      </c>
      <c r="F677" s="16">
        <v>46199.892402245401</v>
      </c>
      <c r="G677" s="5">
        <v>46199</v>
      </c>
      <c r="H677" s="2">
        <v>46203.525098854203</v>
      </c>
      <c r="I677" s="23">
        <v>46203</v>
      </c>
      <c r="J677" s="24">
        <f t="shared" si="140"/>
        <v>46203.457101896565</v>
      </c>
      <c r="K677" s="24">
        <f t="shared" si="141"/>
        <v>0.52509885420295177</v>
      </c>
      <c r="L677" s="29">
        <f t="shared" si="147"/>
        <v>46202</v>
      </c>
      <c r="M677" s="27" t="str">
        <f t="shared" si="142"/>
        <v>Normal</v>
      </c>
      <c r="N677" s="31">
        <f t="shared" si="143"/>
        <v>4</v>
      </c>
      <c r="O677" s="27"/>
      <c r="Q677" s="8">
        <v>0.48116610806222471</v>
      </c>
      <c r="R677" s="8" t="str">
        <f t="shared" si="144"/>
        <v>On Time</v>
      </c>
      <c r="S677" s="33">
        <v>1.6319269832747065</v>
      </c>
      <c r="T677" t="s">
        <v>31</v>
      </c>
      <c r="U677" s="3">
        <v>0</v>
      </c>
      <c r="V677" s="3" t="str">
        <f t="shared" si="148"/>
        <v>Normal</v>
      </c>
      <c r="W677" s="3" t="s">
        <v>51</v>
      </c>
      <c r="X677" s="32">
        <f t="shared" si="145"/>
        <v>6.7996957637660671E-2</v>
      </c>
      <c r="Z677" s="38">
        <f t="shared" si="149"/>
        <v>0</v>
      </c>
      <c r="AC677" s="36">
        <v>0.125</v>
      </c>
      <c r="AL677" t="str">
        <f t="shared" si="150"/>
        <v>Normal</v>
      </c>
      <c r="AM677" t="str">
        <f t="shared" si="151"/>
        <v>No</v>
      </c>
      <c r="AN677" t="str">
        <f t="shared" si="152"/>
        <v>Elective</v>
      </c>
      <c r="AO677" t="str">
        <f t="shared" si="153"/>
        <v>HDU</v>
      </c>
    </row>
    <row r="678" spans="1:41" x14ac:dyDescent="0.3">
      <c r="A678" s="21" t="str">
        <f t="shared" si="146"/>
        <v>UHID-00677</v>
      </c>
      <c r="B678" s="18">
        <v>60</v>
      </c>
      <c r="C678" s="10" t="s">
        <v>18</v>
      </c>
      <c r="D678" s="13" t="s">
        <v>27</v>
      </c>
      <c r="E678" s="13" t="s">
        <v>5</v>
      </c>
      <c r="F678" s="15">
        <v>46164.711000347197</v>
      </c>
      <c r="G678" s="4">
        <v>46164</v>
      </c>
      <c r="H678" s="1">
        <v>46174.696683402799</v>
      </c>
      <c r="I678" s="22">
        <v>46174</v>
      </c>
      <c r="J678" s="24">
        <f t="shared" si="140"/>
        <v>46174.624293013847</v>
      </c>
      <c r="K678" s="24">
        <f t="shared" si="141"/>
        <v>0.69668340279895347</v>
      </c>
      <c r="L678" s="29">
        <f t="shared" si="147"/>
        <v>46173</v>
      </c>
      <c r="M678" s="27" t="str">
        <f t="shared" si="142"/>
        <v>Normal</v>
      </c>
      <c r="N678" s="31">
        <f t="shared" si="143"/>
        <v>10</v>
      </c>
      <c r="O678" s="27"/>
      <c r="Q678" s="8">
        <v>0.15864000858051752</v>
      </c>
      <c r="R678" s="8" t="str">
        <f t="shared" si="144"/>
        <v>On Time</v>
      </c>
      <c r="S678" s="33">
        <v>1.7373693349201762</v>
      </c>
      <c r="T678" t="s">
        <v>30</v>
      </c>
      <c r="U678" s="3">
        <v>0</v>
      </c>
      <c r="V678" s="3" t="str">
        <f t="shared" si="148"/>
        <v/>
      </c>
      <c r="W678" s="3" t="s">
        <v>51</v>
      </c>
      <c r="X678" s="32">
        <f t="shared" si="145"/>
        <v>7.2390388952044304E-2</v>
      </c>
      <c r="Z678" s="38">
        <f t="shared" si="149"/>
        <v>0</v>
      </c>
      <c r="AC678" s="36">
        <v>0.125</v>
      </c>
      <c r="AL678" t="str">
        <f t="shared" si="150"/>
        <v>Normal</v>
      </c>
      <c r="AM678" t="str">
        <f t="shared" si="151"/>
        <v>No</v>
      </c>
      <c r="AN678" t="str">
        <f t="shared" si="152"/>
        <v>Emergency</v>
      </c>
      <c r="AO678" t="str">
        <f t="shared" si="153"/>
        <v>ICU</v>
      </c>
    </row>
    <row r="679" spans="1:41" x14ac:dyDescent="0.3">
      <c r="A679" s="21" t="str">
        <f t="shared" si="146"/>
        <v>UHID-00678</v>
      </c>
      <c r="B679" s="18">
        <v>63</v>
      </c>
      <c r="C679" s="10" t="s">
        <v>17</v>
      </c>
      <c r="D679" s="13" t="s">
        <v>27</v>
      </c>
      <c r="E679" s="13" t="s">
        <v>5</v>
      </c>
      <c r="F679" s="15">
        <v>46167.884160706002</v>
      </c>
      <c r="G679" s="4">
        <v>46167</v>
      </c>
      <c r="H679" s="1">
        <v>46174.624845833299</v>
      </c>
      <c r="I679" s="22">
        <v>46174</v>
      </c>
      <c r="J679" s="24">
        <f t="shared" si="140"/>
        <v>46174.575648983991</v>
      </c>
      <c r="K679" s="24">
        <f t="shared" si="141"/>
        <v>0.6248458332993323</v>
      </c>
      <c r="L679" s="29">
        <f t="shared" si="147"/>
        <v>46173</v>
      </c>
      <c r="M679" s="27" t="str">
        <f t="shared" si="142"/>
        <v>Normal</v>
      </c>
      <c r="N679" s="31">
        <f t="shared" si="143"/>
        <v>7</v>
      </c>
      <c r="O679" s="27"/>
      <c r="Q679" s="8">
        <v>0.1412212031421769</v>
      </c>
      <c r="R679" s="8" t="str">
        <f t="shared" si="144"/>
        <v>On Time</v>
      </c>
      <c r="S679" s="33">
        <v>1.1807243833433572</v>
      </c>
      <c r="T679" t="s">
        <v>30</v>
      </c>
      <c r="U679" s="3">
        <v>0</v>
      </c>
      <c r="V679" s="3" t="str">
        <f t="shared" si="148"/>
        <v/>
      </c>
      <c r="W679" s="3" t="s">
        <v>51</v>
      </c>
      <c r="X679" s="32">
        <f t="shared" si="145"/>
        <v>4.9196849307918455E-2</v>
      </c>
      <c r="Z679" s="38">
        <f t="shared" si="149"/>
        <v>0</v>
      </c>
      <c r="AC679" s="36">
        <v>0.125</v>
      </c>
      <c r="AL679" t="str">
        <f t="shared" si="150"/>
        <v>Normal</v>
      </c>
      <c r="AM679" t="str">
        <f t="shared" si="151"/>
        <v>No</v>
      </c>
      <c r="AN679" t="str">
        <f t="shared" si="152"/>
        <v>Emergency</v>
      </c>
      <c r="AO679" t="str">
        <f t="shared" si="153"/>
        <v>ICU</v>
      </c>
    </row>
    <row r="680" spans="1:41" x14ac:dyDescent="0.3">
      <c r="A680" s="21" t="str">
        <f t="shared" si="146"/>
        <v>UHID-00679</v>
      </c>
      <c r="B680" s="18">
        <v>57</v>
      </c>
      <c r="C680" s="10" t="s">
        <v>18</v>
      </c>
      <c r="D680" s="13" t="s">
        <v>26</v>
      </c>
      <c r="E680" s="13" t="s">
        <v>5</v>
      </c>
      <c r="F680" s="15">
        <v>46167.729343113402</v>
      </c>
      <c r="G680" s="4">
        <v>46167</v>
      </c>
      <c r="H680" s="1">
        <v>46174.622311562503</v>
      </c>
      <c r="I680" s="22">
        <v>46174</v>
      </c>
      <c r="J680" s="24">
        <f t="shared" si="140"/>
        <v>46174.294159508987</v>
      </c>
      <c r="K680" s="24">
        <f t="shared" si="141"/>
        <v>0.62231156250345521</v>
      </c>
      <c r="L680" s="29">
        <f t="shared" si="147"/>
        <v>46173</v>
      </c>
      <c r="M680" s="27" t="str">
        <f t="shared" si="142"/>
        <v>Health Deterioration/TPA Approval Delay</v>
      </c>
      <c r="N680" s="31">
        <f t="shared" si="143"/>
        <v>7</v>
      </c>
      <c r="O680" s="27"/>
      <c r="Q680" s="8">
        <v>0.76612114230548356</v>
      </c>
      <c r="R680" s="8" t="str">
        <f t="shared" si="144"/>
        <v>Critical Delay</v>
      </c>
      <c r="S680" s="33">
        <v>3.875649284313428</v>
      </c>
      <c r="T680" t="s">
        <v>31</v>
      </c>
      <c r="U680" s="3">
        <v>4</v>
      </c>
      <c r="V680" s="3" t="str">
        <f t="shared" si="148"/>
        <v>Normal</v>
      </c>
      <c r="W680" s="3" t="s">
        <v>50</v>
      </c>
      <c r="X680" s="32">
        <f t="shared" si="145"/>
        <v>0.32815205351653276</v>
      </c>
      <c r="Z680" s="38">
        <f t="shared" si="149"/>
        <v>0.20315205351653276</v>
      </c>
      <c r="AC680" s="36">
        <v>0.125</v>
      </c>
      <c r="AL680" t="str">
        <f t="shared" si="150"/>
        <v>Health Deterioration/TPA Approval Delay</v>
      </c>
      <c r="AM680" t="str">
        <f t="shared" si="151"/>
        <v>No</v>
      </c>
      <c r="AN680" t="str">
        <f t="shared" si="152"/>
        <v>Emergency</v>
      </c>
      <c r="AO680" t="str">
        <f t="shared" si="153"/>
        <v>ICU</v>
      </c>
    </row>
    <row r="681" spans="1:41" x14ac:dyDescent="0.3">
      <c r="A681" s="21" t="str">
        <f t="shared" si="146"/>
        <v>UHID-00680</v>
      </c>
      <c r="B681" s="18">
        <v>63</v>
      </c>
      <c r="C681" s="10" t="s">
        <v>18</v>
      </c>
      <c r="D681" s="13" t="s">
        <v>27</v>
      </c>
      <c r="E681" s="13" t="s">
        <v>5</v>
      </c>
      <c r="F681" s="15">
        <v>46170.6117276968</v>
      </c>
      <c r="G681" s="4">
        <v>46170</v>
      </c>
      <c r="H681" s="1">
        <v>46174.5765829745</v>
      </c>
      <c r="I681" s="22">
        <v>46174</v>
      </c>
      <c r="J681" s="24">
        <f t="shared" si="140"/>
        <v>46174.335120433279</v>
      </c>
      <c r="K681" s="24">
        <f t="shared" si="141"/>
        <v>0.57658297449961537</v>
      </c>
      <c r="L681" s="29">
        <f t="shared" si="147"/>
        <v>46173</v>
      </c>
      <c r="M681" s="27" t="str">
        <f t="shared" si="142"/>
        <v>Health Deterioration</v>
      </c>
      <c r="N681" s="31">
        <f t="shared" si="143"/>
        <v>4</v>
      </c>
      <c r="O681" s="27"/>
      <c r="Q681" s="8">
        <v>0.28749288063625555</v>
      </c>
      <c r="R681" s="8" t="str">
        <f t="shared" si="144"/>
        <v>Critical Delay</v>
      </c>
      <c r="S681" s="33">
        <v>1.7951009892906746</v>
      </c>
      <c r="T681" t="s">
        <v>30</v>
      </c>
      <c r="U681" s="3">
        <v>4</v>
      </c>
      <c r="V681" s="3" t="str">
        <f t="shared" si="148"/>
        <v/>
      </c>
      <c r="W681" s="3" t="s">
        <v>50</v>
      </c>
      <c r="X681" s="32">
        <f t="shared" si="145"/>
        <v>0.24146254122024402</v>
      </c>
      <c r="Z681" s="38">
        <f t="shared" si="149"/>
        <v>0.11646254122024402</v>
      </c>
      <c r="AC681" s="36">
        <v>0.125</v>
      </c>
      <c r="AL681" t="str">
        <f t="shared" si="150"/>
        <v>Health Deterioration</v>
      </c>
      <c r="AM681" t="str">
        <f t="shared" si="151"/>
        <v>No</v>
      </c>
      <c r="AN681" t="str">
        <f t="shared" si="152"/>
        <v>Emergency</v>
      </c>
      <c r="AO681" t="str">
        <f t="shared" si="153"/>
        <v>HDU</v>
      </c>
    </row>
    <row r="682" spans="1:41" x14ac:dyDescent="0.3">
      <c r="A682" s="21" t="str">
        <f t="shared" si="146"/>
        <v>UHID-00681</v>
      </c>
      <c r="B682" s="18">
        <v>52</v>
      </c>
      <c r="C682" s="10" t="s">
        <v>17</v>
      </c>
      <c r="D682" s="13" t="s">
        <v>26</v>
      </c>
      <c r="E682" s="13" t="s">
        <v>5</v>
      </c>
      <c r="F682" s="15">
        <v>46170.689069861102</v>
      </c>
      <c r="G682" s="4">
        <v>46170</v>
      </c>
      <c r="H682" s="1">
        <v>46174.689037326403</v>
      </c>
      <c r="I682" s="22">
        <v>46174</v>
      </c>
      <c r="J682" s="24">
        <f t="shared" si="140"/>
        <v>46174.554797671844</v>
      </c>
      <c r="K682" s="24">
        <f t="shared" si="141"/>
        <v>0.68903732640319504</v>
      </c>
      <c r="L682" s="29">
        <f t="shared" si="147"/>
        <v>46173</v>
      </c>
      <c r="M682" s="27" t="str">
        <f t="shared" si="142"/>
        <v>TPA Approval Delay</v>
      </c>
      <c r="N682" s="31">
        <f t="shared" si="143"/>
        <v>4</v>
      </c>
      <c r="O682" s="27"/>
      <c r="Q682" s="8">
        <v>0.58715870638536749</v>
      </c>
      <c r="R682" s="8" t="str">
        <f t="shared" si="144"/>
        <v>Major Delay</v>
      </c>
      <c r="S682" s="33">
        <v>3.2217517093366044</v>
      </c>
      <c r="T682" t="s">
        <v>31</v>
      </c>
      <c r="U682" s="3">
        <v>0</v>
      </c>
      <c r="V682" s="3" t="str">
        <f t="shared" si="148"/>
        <v>Normal</v>
      </c>
      <c r="W682" s="3" t="s">
        <v>51</v>
      </c>
      <c r="X682" s="32">
        <f t="shared" si="145"/>
        <v>0.13423965455876896</v>
      </c>
      <c r="Z682" s="38">
        <f t="shared" si="149"/>
        <v>9.2396545587689616E-3</v>
      </c>
      <c r="AC682" s="36">
        <v>0.125</v>
      </c>
      <c r="AL682" t="str">
        <f t="shared" si="150"/>
        <v>TPA Approval Delay</v>
      </c>
      <c r="AM682" t="str">
        <f t="shared" si="151"/>
        <v>No</v>
      </c>
      <c r="AN682" t="str">
        <f t="shared" si="152"/>
        <v>Elective</v>
      </c>
      <c r="AO682" t="str">
        <f t="shared" si="153"/>
        <v>HDU</v>
      </c>
    </row>
    <row r="683" spans="1:41" x14ac:dyDescent="0.3">
      <c r="A683" s="21" t="str">
        <f t="shared" si="146"/>
        <v>UHID-00682</v>
      </c>
      <c r="B683" s="18">
        <v>39</v>
      </c>
      <c r="C683" s="10" t="s">
        <v>17</v>
      </c>
      <c r="D683" s="13" t="s">
        <v>28</v>
      </c>
      <c r="E683" s="13" t="s">
        <v>5</v>
      </c>
      <c r="F683" s="15">
        <v>46171.078076921302</v>
      </c>
      <c r="G683" s="4">
        <v>46171</v>
      </c>
      <c r="H683" s="1">
        <v>46174.733505289398</v>
      </c>
      <c r="I683" s="22">
        <v>46174</v>
      </c>
      <c r="J683" s="24">
        <f t="shared" si="140"/>
        <v>46174.464830562858</v>
      </c>
      <c r="K683" s="24">
        <f t="shared" si="141"/>
        <v>0.7335052893977263</v>
      </c>
      <c r="L683" s="29">
        <f t="shared" si="147"/>
        <v>46173</v>
      </c>
      <c r="M683" s="27" t="str">
        <f t="shared" si="142"/>
        <v>Health Deterioration</v>
      </c>
      <c r="N683" s="31">
        <f t="shared" si="143"/>
        <v>3</v>
      </c>
      <c r="O683" s="27"/>
      <c r="Q683" s="8">
        <v>0.92490459224172894</v>
      </c>
      <c r="R683" s="8" t="str">
        <f t="shared" si="144"/>
        <v>Critical Delay</v>
      </c>
      <c r="S683" s="33">
        <v>2.4481934369938312</v>
      </c>
      <c r="T683" t="s">
        <v>31</v>
      </c>
      <c r="U683" s="3">
        <v>4</v>
      </c>
      <c r="V683" s="3" t="str">
        <f t="shared" si="148"/>
        <v>Normal</v>
      </c>
      <c r="W683" s="3" t="s">
        <v>50</v>
      </c>
      <c r="X683" s="32">
        <f t="shared" si="145"/>
        <v>0.2686747265397571</v>
      </c>
      <c r="Z683" s="38">
        <f t="shared" si="149"/>
        <v>0.1436747265397571</v>
      </c>
      <c r="AC683" s="36">
        <v>0.125</v>
      </c>
      <c r="AL683" t="str">
        <f t="shared" si="150"/>
        <v>Health Deterioration</v>
      </c>
      <c r="AM683" t="str">
        <f t="shared" si="151"/>
        <v>No</v>
      </c>
      <c r="AN683" t="str">
        <f t="shared" si="152"/>
        <v>Emergency</v>
      </c>
      <c r="AO683" t="str">
        <f t="shared" si="153"/>
        <v>General Ward</v>
      </c>
    </row>
    <row r="684" spans="1:41" x14ac:dyDescent="0.3">
      <c r="A684" s="21" t="str">
        <f t="shared" si="146"/>
        <v>UHID-00683</v>
      </c>
      <c r="B684" s="18">
        <v>77</v>
      </c>
      <c r="C684" s="10" t="s">
        <v>17</v>
      </c>
      <c r="D684" s="13" t="s">
        <v>27</v>
      </c>
      <c r="E684" s="13" t="s">
        <v>5</v>
      </c>
      <c r="F684" s="15">
        <v>46117.495045717602</v>
      </c>
      <c r="G684" s="4">
        <v>46117</v>
      </c>
      <c r="H684" s="1">
        <v>46175.391705902803</v>
      </c>
      <c r="I684" s="22">
        <v>46175</v>
      </c>
      <c r="J684" s="24">
        <f t="shared" si="140"/>
        <v>46175.145205197288</v>
      </c>
      <c r="K684" s="24">
        <f t="shared" si="141"/>
        <v>0.3917059028026415</v>
      </c>
      <c r="L684" s="29">
        <f t="shared" si="147"/>
        <v>46174</v>
      </c>
      <c r="M684" s="27" t="str">
        <f t="shared" si="142"/>
        <v>Health Deterioration</v>
      </c>
      <c r="N684" s="31">
        <f t="shared" si="143"/>
        <v>58</v>
      </c>
      <c r="O684" s="27"/>
      <c r="Q684" s="8">
        <v>0.15479374454045514</v>
      </c>
      <c r="R684" s="8" t="str">
        <f t="shared" si="144"/>
        <v>Critical Delay</v>
      </c>
      <c r="S684" s="33">
        <v>1.9160169323415039</v>
      </c>
      <c r="T684" t="s">
        <v>30</v>
      </c>
      <c r="U684" s="3">
        <v>4</v>
      </c>
      <c r="V684" s="3" t="str">
        <f t="shared" si="148"/>
        <v/>
      </c>
      <c r="W684" s="3" t="s">
        <v>50</v>
      </c>
      <c r="X684" s="32">
        <f t="shared" si="145"/>
        <v>0.246500705514336</v>
      </c>
      <c r="Z684" s="38">
        <f t="shared" si="149"/>
        <v>0.121500705514336</v>
      </c>
      <c r="AC684" s="36">
        <v>0.125</v>
      </c>
      <c r="AL684" t="str">
        <f t="shared" si="150"/>
        <v>Health Deterioration</v>
      </c>
      <c r="AM684" t="str">
        <f t="shared" si="151"/>
        <v>Yes</v>
      </c>
      <c r="AN684" t="str">
        <f t="shared" si="152"/>
        <v>Emergency</v>
      </c>
      <c r="AO684" t="str">
        <f t="shared" si="153"/>
        <v>ICU</v>
      </c>
    </row>
    <row r="685" spans="1:41" x14ac:dyDescent="0.3">
      <c r="A685" s="21" t="str">
        <f t="shared" si="146"/>
        <v>UHID-00684</v>
      </c>
      <c r="B685" s="18">
        <v>49</v>
      </c>
      <c r="C685" s="10" t="s">
        <v>17</v>
      </c>
      <c r="D685" s="13" t="s">
        <v>26</v>
      </c>
      <c r="E685" s="13" t="s">
        <v>5</v>
      </c>
      <c r="F685" s="15">
        <v>46172.907340150501</v>
      </c>
      <c r="G685" s="4">
        <v>46172</v>
      </c>
      <c r="H685" s="1">
        <v>46175.7383222801</v>
      </c>
      <c r="I685" s="22">
        <v>46175</v>
      </c>
      <c r="J685" s="24">
        <f t="shared" si="140"/>
        <v>46175.525469624525</v>
      </c>
      <c r="K685" s="24">
        <f t="shared" si="141"/>
        <v>0.7383222800999647</v>
      </c>
      <c r="L685" s="29">
        <f t="shared" si="147"/>
        <v>46174</v>
      </c>
      <c r="M685" s="27" t="str">
        <f t="shared" si="142"/>
        <v>Health Deterioration/TPA Approval Delay</v>
      </c>
      <c r="N685" s="31">
        <f t="shared" si="143"/>
        <v>3</v>
      </c>
      <c r="O685" s="27"/>
      <c r="Q685" s="8">
        <v>0.55291243762019193</v>
      </c>
      <c r="R685" s="8" t="str">
        <f t="shared" si="144"/>
        <v>Critical Delay</v>
      </c>
      <c r="S685" s="33">
        <v>3.1084637337643519</v>
      </c>
      <c r="T685" t="s">
        <v>31</v>
      </c>
      <c r="U685" s="3">
        <v>2</v>
      </c>
      <c r="V685" s="3" t="str">
        <f t="shared" si="148"/>
        <v>Normal</v>
      </c>
      <c r="W685" s="3" t="s">
        <v>50</v>
      </c>
      <c r="X685" s="32">
        <f t="shared" si="145"/>
        <v>0.21285265557526145</v>
      </c>
      <c r="Z685" s="38">
        <f t="shared" si="149"/>
        <v>8.7852655575261451E-2</v>
      </c>
      <c r="AC685" s="36">
        <v>0.125</v>
      </c>
      <c r="AL685" t="str">
        <f t="shared" si="150"/>
        <v>Health Deterioration/TPA Approval Delay</v>
      </c>
      <c r="AM685" t="str">
        <f t="shared" si="151"/>
        <v>No</v>
      </c>
      <c r="AN685" t="str">
        <f t="shared" si="152"/>
        <v>Emergency</v>
      </c>
      <c r="AO685" t="str">
        <f t="shared" si="153"/>
        <v>General Ward</v>
      </c>
    </row>
    <row r="686" spans="1:41" x14ac:dyDescent="0.3">
      <c r="A686" s="21" t="str">
        <f t="shared" si="146"/>
        <v>UHID-00685</v>
      </c>
      <c r="B686" s="18">
        <v>62</v>
      </c>
      <c r="C686" s="10" t="s">
        <v>17</v>
      </c>
      <c r="D686" s="13" t="s">
        <v>27</v>
      </c>
      <c r="E686" s="13" t="s">
        <v>5</v>
      </c>
      <c r="F686" s="15">
        <v>46172.678813009297</v>
      </c>
      <c r="G686" s="4">
        <v>46172</v>
      </c>
      <c r="H686" s="1">
        <v>46175.314104479199</v>
      </c>
      <c r="I686" s="22">
        <v>46175</v>
      </c>
      <c r="J686" s="24">
        <f t="shared" si="140"/>
        <v>46175.17957552072</v>
      </c>
      <c r="K686" s="24">
        <f t="shared" si="141"/>
        <v>0.31410447919915896</v>
      </c>
      <c r="L686" s="29">
        <f t="shared" si="147"/>
        <v>46174</v>
      </c>
      <c r="M686" s="27" t="str">
        <f t="shared" si="142"/>
        <v>Medication Change</v>
      </c>
      <c r="N686" s="31">
        <f t="shared" si="143"/>
        <v>3</v>
      </c>
      <c r="O686" s="27"/>
      <c r="Q686" s="8">
        <v>0.12885057323286964</v>
      </c>
      <c r="R686" s="8" t="str">
        <f t="shared" si="144"/>
        <v>Major Delay</v>
      </c>
      <c r="S686" s="33">
        <v>1.2286950035693751</v>
      </c>
      <c r="T686" t="s">
        <v>30</v>
      </c>
      <c r="U686" s="3">
        <v>2</v>
      </c>
      <c r="V686" s="3" t="str">
        <f t="shared" si="148"/>
        <v/>
      </c>
      <c r="W686" s="3" t="s">
        <v>50</v>
      </c>
      <c r="X686" s="32">
        <f t="shared" si="145"/>
        <v>0.13452895847876789</v>
      </c>
      <c r="Z686" s="38">
        <f t="shared" si="149"/>
        <v>9.5289584787678905E-3</v>
      </c>
      <c r="AC686" s="36">
        <v>0.125</v>
      </c>
      <c r="AL686" t="str">
        <f t="shared" si="150"/>
        <v>Medication Change</v>
      </c>
      <c r="AM686" t="str">
        <f t="shared" si="151"/>
        <v>No</v>
      </c>
      <c r="AN686" t="str">
        <f t="shared" si="152"/>
        <v>Elective</v>
      </c>
      <c r="AO686" t="str">
        <f t="shared" si="153"/>
        <v>General Ward</v>
      </c>
    </row>
    <row r="687" spans="1:41" x14ac:dyDescent="0.3">
      <c r="A687" s="21" t="str">
        <f t="shared" si="146"/>
        <v>UHID-00686</v>
      </c>
      <c r="B687" s="18">
        <v>68</v>
      </c>
      <c r="C687" s="10" t="s">
        <v>18</v>
      </c>
      <c r="D687" s="13" t="s">
        <v>27</v>
      </c>
      <c r="E687" s="13" t="s">
        <v>5</v>
      </c>
      <c r="F687" s="15">
        <v>46171.858741979202</v>
      </c>
      <c r="G687" s="4">
        <v>46171</v>
      </c>
      <c r="H687" s="1">
        <v>46175.555178761599</v>
      </c>
      <c r="I687" s="22">
        <v>46175</v>
      </c>
      <c r="J687" s="24">
        <f t="shared" si="140"/>
        <v>46175.413449359519</v>
      </c>
      <c r="K687" s="24">
        <f t="shared" si="141"/>
        <v>0.55517876159865409</v>
      </c>
      <c r="L687" s="29">
        <f t="shared" si="147"/>
        <v>46174</v>
      </c>
      <c r="M687" s="27" t="str">
        <f t="shared" si="142"/>
        <v>Medication Change</v>
      </c>
      <c r="N687" s="31">
        <f t="shared" si="143"/>
        <v>4</v>
      </c>
      <c r="O687" s="27"/>
      <c r="Q687" s="8">
        <v>0.30994948013655022</v>
      </c>
      <c r="R687" s="8" t="str">
        <f t="shared" si="144"/>
        <v>Major Delay</v>
      </c>
      <c r="S687" s="33">
        <v>1.4015056499439866</v>
      </c>
      <c r="T687" t="s">
        <v>30</v>
      </c>
      <c r="U687" s="3">
        <v>2</v>
      </c>
      <c r="V687" s="3" t="str">
        <f t="shared" si="148"/>
        <v/>
      </c>
      <c r="W687" s="3" t="s">
        <v>50</v>
      </c>
      <c r="X687" s="32">
        <f t="shared" si="145"/>
        <v>0.14172940207936335</v>
      </c>
      <c r="Z687" s="38">
        <f t="shared" si="149"/>
        <v>1.6729402079363354E-2</v>
      </c>
      <c r="AC687" s="36">
        <v>0.125</v>
      </c>
      <c r="AL687" t="str">
        <f t="shared" si="150"/>
        <v>Medication Change</v>
      </c>
      <c r="AM687" t="str">
        <f t="shared" si="151"/>
        <v>No</v>
      </c>
      <c r="AN687" t="str">
        <f t="shared" si="152"/>
        <v>Elective</v>
      </c>
      <c r="AO687" t="str">
        <f t="shared" si="153"/>
        <v>HDU</v>
      </c>
    </row>
    <row r="688" spans="1:41" x14ac:dyDescent="0.3">
      <c r="A688" s="21" t="str">
        <f t="shared" si="146"/>
        <v>UHID-00687</v>
      </c>
      <c r="B688" s="18">
        <v>57</v>
      </c>
      <c r="C688" s="10" t="s">
        <v>18</v>
      </c>
      <c r="D688" s="13" t="s">
        <v>28</v>
      </c>
      <c r="E688" s="13" t="s">
        <v>5</v>
      </c>
      <c r="F688" s="15">
        <v>46170.702013831004</v>
      </c>
      <c r="G688" s="4">
        <v>46170</v>
      </c>
      <c r="H688" s="1">
        <v>46175.595911967597</v>
      </c>
      <c r="I688" s="22">
        <v>46175</v>
      </c>
      <c r="J688" s="24">
        <f t="shared" si="140"/>
        <v>46175.323188967173</v>
      </c>
      <c r="K688" s="24">
        <f t="shared" si="141"/>
        <v>0.59591196759720333</v>
      </c>
      <c r="L688" s="29">
        <f t="shared" si="147"/>
        <v>46174</v>
      </c>
      <c r="M688" s="27" t="str">
        <f t="shared" si="142"/>
        <v>Health Deterioration</v>
      </c>
      <c r="N688" s="31">
        <f t="shared" si="143"/>
        <v>5</v>
      </c>
      <c r="O688" s="27"/>
      <c r="Q688" s="8">
        <v>0.99918379823479631</v>
      </c>
      <c r="R688" s="8" t="str">
        <f t="shared" si="144"/>
        <v>Critical Delay</v>
      </c>
      <c r="S688" s="33">
        <v>2.5453520100895863</v>
      </c>
      <c r="T688" t="s">
        <v>31</v>
      </c>
      <c r="U688" s="3">
        <v>4</v>
      </c>
      <c r="V688" s="3" t="str">
        <f t="shared" si="148"/>
        <v>Normal</v>
      </c>
      <c r="W688" s="3" t="s">
        <v>50</v>
      </c>
      <c r="X688" s="32">
        <f t="shared" si="145"/>
        <v>0.27272300042386632</v>
      </c>
      <c r="Z688" s="38">
        <f t="shared" si="149"/>
        <v>0.14772300042386632</v>
      </c>
      <c r="AC688" s="36">
        <v>0.125</v>
      </c>
      <c r="AL688" t="str">
        <f t="shared" si="150"/>
        <v>Health Deterioration</v>
      </c>
      <c r="AM688" t="str">
        <f t="shared" si="151"/>
        <v>No</v>
      </c>
      <c r="AN688" t="str">
        <f t="shared" si="152"/>
        <v>Elective</v>
      </c>
      <c r="AO688" t="str">
        <f t="shared" si="153"/>
        <v>HDU</v>
      </c>
    </row>
    <row r="689" spans="1:41" x14ac:dyDescent="0.3">
      <c r="A689" s="21" t="str">
        <f t="shared" si="146"/>
        <v>UHID-00688</v>
      </c>
      <c r="B689" s="18">
        <v>47</v>
      </c>
      <c r="C689" s="10" t="s">
        <v>17</v>
      </c>
      <c r="D689" s="13" t="s">
        <v>26</v>
      </c>
      <c r="E689" s="13" t="s">
        <v>5</v>
      </c>
      <c r="F689" s="15">
        <v>46172.042911516197</v>
      </c>
      <c r="G689" s="4">
        <v>46172</v>
      </c>
      <c r="H689" s="1">
        <v>46175.530587881898</v>
      </c>
      <c r="I689" s="22">
        <v>46175</v>
      </c>
      <c r="J689" s="24">
        <f t="shared" si="140"/>
        <v>46175.245287474943</v>
      </c>
      <c r="K689" s="24">
        <f t="shared" si="141"/>
        <v>0.53058788189810002</v>
      </c>
      <c r="L689" s="29">
        <f t="shared" si="147"/>
        <v>46174</v>
      </c>
      <c r="M689" s="27" t="str">
        <f t="shared" si="142"/>
        <v>Health Deterioration/TPA Approval Delay</v>
      </c>
      <c r="N689" s="31">
        <f t="shared" si="143"/>
        <v>3</v>
      </c>
      <c r="O689" s="27"/>
      <c r="Q689" s="8">
        <v>0.61906054557059409</v>
      </c>
      <c r="R689" s="8" t="str">
        <f t="shared" si="144"/>
        <v>Critical Delay</v>
      </c>
      <c r="S689" s="33">
        <v>3.8472097669146832</v>
      </c>
      <c r="T689" t="s">
        <v>31</v>
      </c>
      <c r="U689" s="3">
        <v>3</v>
      </c>
      <c r="V689" s="3" t="str">
        <f t="shared" si="148"/>
        <v>Normal</v>
      </c>
      <c r="W689" s="3" t="s">
        <v>50</v>
      </c>
      <c r="X689" s="32">
        <f t="shared" si="145"/>
        <v>0.2853004069547751</v>
      </c>
      <c r="Z689" s="38">
        <f t="shared" si="149"/>
        <v>0.1603004069547751</v>
      </c>
      <c r="AC689" s="36">
        <v>0.125</v>
      </c>
      <c r="AL689" t="str">
        <f t="shared" si="150"/>
        <v>Health Deterioration/TPA Approval Delay</v>
      </c>
      <c r="AM689" t="str">
        <f t="shared" si="151"/>
        <v>No</v>
      </c>
      <c r="AN689" t="str">
        <f t="shared" si="152"/>
        <v>Emergency</v>
      </c>
      <c r="AO689" t="str">
        <f t="shared" si="153"/>
        <v>General Ward</v>
      </c>
    </row>
    <row r="690" spans="1:41" x14ac:dyDescent="0.3">
      <c r="A690" s="21" t="str">
        <f t="shared" si="146"/>
        <v>UHID-00689</v>
      </c>
      <c r="B690" s="18">
        <v>40</v>
      </c>
      <c r="C690" s="10" t="s">
        <v>17</v>
      </c>
      <c r="D690" s="13" t="s">
        <v>28</v>
      </c>
      <c r="E690" s="13" t="s">
        <v>5</v>
      </c>
      <c r="F690" s="15">
        <v>46165.739964340297</v>
      </c>
      <c r="G690" s="4">
        <v>46165</v>
      </c>
      <c r="H690" s="1">
        <v>46175.6252078588</v>
      </c>
      <c r="I690" s="22">
        <v>46175</v>
      </c>
      <c r="J690" s="24">
        <f t="shared" si="140"/>
        <v>46175.381116790428</v>
      </c>
      <c r="K690" s="24">
        <f t="shared" si="141"/>
        <v>0.6252078588004224</v>
      </c>
      <c r="L690" s="29">
        <f t="shared" si="147"/>
        <v>46174</v>
      </c>
      <c r="M690" s="27" t="str">
        <f t="shared" si="142"/>
        <v>Health Deterioration</v>
      </c>
      <c r="N690" s="31">
        <f t="shared" si="143"/>
        <v>10</v>
      </c>
      <c r="O690" s="27"/>
      <c r="Q690" s="8">
        <v>0.93854830769004849</v>
      </c>
      <c r="R690" s="8" t="str">
        <f t="shared" si="144"/>
        <v>Critical Delay</v>
      </c>
      <c r="S690" s="33">
        <v>2.8581856409353383</v>
      </c>
      <c r="T690" t="s">
        <v>31</v>
      </c>
      <c r="U690" s="3">
        <v>3</v>
      </c>
      <c r="V690" s="3" t="str">
        <f t="shared" si="148"/>
        <v>Normal</v>
      </c>
      <c r="W690" s="3" t="s">
        <v>50</v>
      </c>
      <c r="X690" s="32">
        <f t="shared" si="145"/>
        <v>0.24409106837265426</v>
      </c>
      <c r="Z690" s="38">
        <f t="shared" si="149"/>
        <v>0.11909106837265426</v>
      </c>
      <c r="AC690" s="36">
        <v>0.125</v>
      </c>
      <c r="AL690" t="str">
        <f t="shared" si="150"/>
        <v>Health Deterioration</v>
      </c>
      <c r="AM690" t="str">
        <f t="shared" si="151"/>
        <v>No</v>
      </c>
      <c r="AN690" t="str">
        <f t="shared" si="152"/>
        <v>Elective</v>
      </c>
      <c r="AO690" t="str">
        <f t="shared" si="153"/>
        <v>ICU</v>
      </c>
    </row>
    <row r="691" spans="1:41" x14ac:dyDescent="0.3">
      <c r="A691" s="21" t="str">
        <f t="shared" si="146"/>
        <v>UHID-00690</v>
      </c>
      <c r="B691" s="18">
        <v>71</v>
      </c>
      <c r="C691" s="10" t="s">
        <v>17</v>
      </c>
      <c r="D691" s="13" t="s">
        <v>28</v>
      </c>
      <c r="E691" s="13" t="s">
        <v>5</v>
      </c>
      <c r="F691" s="15">
        <v>46171.685218217601</v>
      </c>
      <c r="G691" s="4">
        <v>46171</v>
      </c>
      <c r="H691" s="1">
        <v>46175.697533171297</v>
      </c>
      <c r="I691" s="22">
        <v>46175</v>
      </c>
      <c r="J691" s="24">
        <f t="shared" si="140"/>
        <v>46175.601425336121</v>
      </c>
      <c r="K691" s="24">
        <f t="shared" si="141"/>
        <v>0.69753317129652714</v>
      </c>
      <c r="L691" s="29">
        <f t="shared" si="147"/>
        <v>46174</v>
      </c>
      <c r="M691" s="27" t="str">
        <f t="shared" si="142"/>
        <v>Doctor Round Delay/Report Delay</v>
      </c>
      <c r="N691" s="31">
        <f t="shared" si="143"/>
        <v>4</v>
      </c>
      <c r="O691" s="27"/>
      <c r="Q691" s="8">
        <v>0.94417049874665193</v>
      </c>
      <c r="R691" s="8" t="str">
        <f t="shared" si="144"/>
        <v>Minor Delay</v>
      </c>
      <c r="S691" s="33">
        <v>2.3065880441982989</v>
      </c>
      <c r="T691" t="s">
        <v>31</v>
      </c>
      <c r="U691" s="3">
        <v>0</v>
      </c>
      <c r="V691" s="3" t="str">
        <f t="shared" si="148"/>
        <v>Normal</v>
      </c>
      <c r="W691" s="3" t="s">
        <v>51</v>
      </c>
      <c r="X691" s="32">
        <f t="shared" si="145"/>
        <v>9.6107835175644141E-2</v>
      </c>
      <c r="Z691" s="38">
        <f t="shared" si="149"/>
        <v>0</v>
      </c>
      <c r="AC691" s="36">
        <v>0.125</v>
      </c>
      <c r="AL691" t="str">
        <f t="shared" si="150"/>
        <v>Doctor Round Delay/Report Delay</v>
      </c>
      <c r="AM691" t="str">
        <f t="shared" si="151"/>
        <v>No</v>
      </c>
      <c r="AN691" t="str">
        <f t="shared" si="152"/>
        <v>Elective</v>
      </c>
      <c r="AO691" t="str">
        <f t="shared" si="153"/>
        <v>HDU</v>
      </c>
    </row>
    <row r="692" spans="1:41" x14ac:dyDescent="0.3">
      <c r="A692" s="21" t="str">
        <f t="shared" si="146"/>
        <v>UHID-00691</v>
      </c>
      <c r="B692" s="18">
        <v>62</v>
      </c>
      <c r="C692" s="10" t="s">
        <v>17</v>
      </c>
      <c r="D692" s="13" t="s">
        <v>27</v>
      </c>
      <c r="E692" s="13" t="s">
        <v>5</v>
      </c>
      <c r="F692" s="15">
        <v>46171.868571712999</v>
      </c>
      <c r="G692" s="4">
        <v>46171</v>
      </c>
      <c r="H692" s="1">
        <v>46176.470650787</v>
      </c>
      <c r="I692" s="22">
        <v>46176</v>
      </c>
      <c r="J692" s="24">
        <f t="shared" si="140"/>
        <v>46176.387991564072</v>
      </c>
      <c r="K692" s="24">
        <f t="shared" si="141"/>
        <v>0.47065078699961305</v>
      </c>
      <c r="L692" s="29">
        <f t="shared" si="147"/>
        <v>46175</v>
      </c>
      <c r="M692" s="27" t="str">
        <f t="shared" si="142"/>
        <v>Normal</v>
      </c>
      <c r="N692" s="31">
        <f t="shared" si="143"/>
        <v>5</v>
      </c>
      <c r="O692" s="27"/>
      <c r="Q692" s="8">
        <v>0.47378018690543988</v>
      </c>
      <c r="R692" s="8" t="str">
        <f t="shared" si="144"/>
        <v>On Time</v>
      </c>
      <c r="S692" s="33">
        <v>1.9838213503157796</v>
      </c>
      <c r="T692" t="s">
        <v>31</v>
      </c>
      <c r="U692" s="3">
        <v>0</v>
      </c>
      <c r="V692" s="3" t="str">
        <f t="shared" si="148"/>
        <v>Normal</v>
      </c>
      <c r="W692" s="3" t="s">
        <v>51</v>
      </c>
      <c r="X692" s="32">
        <f t="shared" si="145"/>
        <v>8.2659222927759402E-2</v>
      </c>
      <c r="Z692" s="38">
        <f t="shared" si="149"/>
        <v>0</v>
      </c>
      <c r="AC692" s="36">
        <v>0.125</v>
      </c>
      <c r="AL692" t="str">
        <f t="shared" si="150"/>
        <v>Normal</v>
      </c>
      <c r="AM692" t="str">
        <f t="shared" si="151"/>
        <v>No</v>
      </c>
      <c r="AN692" t="str">
        <f t="shared" si="152"/>
        <v>Elective</v>
      </c>
      <c r="AO692" t="str">
        <f t="shared" si="153"/>
        <v>HDU</v>
      </c>
    </row>
    <row r="693" spans="1:41" x14ac:dyDescent="0.3">
      <c r="A693" s="21" t="str">
        <f t="shared" si="146"/>
        <v>UHID-00692</v>
      </c>
      <c r="B693" s="18">
        <v>55</v>
      </c>
      <c r="C693" s="10" t="s">
        <v>18</v>
      </c>
      <c r="D693" s="13" t="s">
        <v>26</v>
      </c>
      <c r="E693" s="13" t="s">
        <v>5</v>
      </c>
      <c r="F693" s="15">
        <v>46170.7957910185</v>
      </c>
      <c r="G693" s="4">
        <v>46170</v>
      </c>
      <c r="H693" s="1">
        <v>46176.680710069399</v>
      </c>
      <c r="I693" s="22">
        <v>46176</v>
      </c>
      <c r="J693" s="24">
        <f t="shared" si="140"/>
        <v>46176.537058012043</v>
      </c>
      <c r="K693" s="24">
        <f t="shared" si="141"/>
        <v>0.68071006939862855</v>
      </c>
      <c r="L693" s="29">
        <f t="shared" si="147"/>
        <v>46175</v>
      </c>
      <c r="M693" s="27" t="str">
        <f t="shared" si="142"/>
        <v>TPA Approval Delay</v>
      </c>
      <c r="N693" s="31">
        <f t="shared" si="143"/>
        <v>6</v>
      </c>
      <c r="O693" s="27"/>
      <c r="Q693" s="8">
        <v>0.83902707434204504</v>
      </c>
      <c r="R693" s="8" t="str">
        <f t="shared" si="144"/>
        <v>Major Delay</v>
      </c>
      <c r="S693" s="33">
        <v>3.4476493765183718</v>
      </c>
      <c r="T693" t="s">
        <v>31</v>
      </c>
      <c r="U693" s="3">
        <v>0</v>
      </c>
      <c r="V693" s="3" t="str">
        <f t="shared" si="148"/>
        <v>Normal</v>
      </c>
      <c r="W693" s="3" t="s">
        <v>51</v>
      </c>
      <c r="X693" s="32">
        <f t="shared" si="145"/>
        <v>0.14365205735521158</v>
      </c>
      <c r="Z693" s="38">
        <f t="shared" si="149"/>
        <v>1.8652057355211582E-2</v>
      </c>
      <c r="AC693" s="36">
        <v>0.125</v>
      </c>
      <c r="AL693" t="str">
        <f t="shared" si="150"/>
        <v>TPA Approval Delay</v>
      </c>
      <c r="AM693" t="str">
        <f t="shared" si="151"/>
        <v>No</v>
      </c>
      <c r="AN693" t="str">
        <f t="shared" si="152"/>
        <v>Elective</v>
      </c>
      <c r="AO693" t="str">
        <f t="shared" si="153"/>
        <v>HDU</v>
      </c>
    </row>
    <row r="694" spans="1:41" x14ac:dyDescent="0.3">
      <c r="A694" s="21" t="str">
        <f t="shared" si="146"/>
        <v>UHID-00693</v>
      </c>
      <c r="B694" s="18">
        <v>64</v>
      </c>
      <c r="C694" s="10" t="s">
        <v>17</v>
      </c>
      <c r="D694" s="13" t="s">
        <v>26</v>
      </c>
      <c r="E694" s="13" t="s">
        <v>5</v>
      </c>
      <c r="F694" s="15">
        <v>46144.0795722685</v>
      </c>
      <c r="G694" s="4">
        <v>46144</v>
      </c>
      <c r="H694" s="1">
        <v>46175.938888888901</v>
      </c>
      <c r="I694" s="22">
        <v>46175</v>
      </c>
      <c r="J694" s="24">
        <f t="shared" si="140"/>
        <v>46175.793903196522</v>
      </c>
      <c r="K694" s="24">
        <f t="shared" si="141"/>
        <v>0.93888888890069211</v>
      </c>
      <c r="L694" s="29">
        <f t="shared" si="147"/>
        <v>46174</v>
      </c>
      <c r="M694" s="27" t="str">
        <f t="shared" si="142"/>
        <v>TPA Approval Delay</v>
      </c>
      <c r="N694" s="31">
        <f t="shared" si="143"/>
        <v>31</v>
      </c>
      <c r="O694" s="27"/>
      <c r="Q694" s="8">
        <v>0.84892576100918637</v>
      </c>
      <c r="R694" s="8" t="str">
        <f t="shared" si="144"/>
        <v>Major Delay</v>
      </c>
      <c r="S694" s="33">
        <v>3.4796566170285352</v>
      </c>
      <c r="T694" t="s">
        <v>31</v>
      </c>
      <c r="U694" s="3">
        <v>0</v>
      </c>
      <c r="V694" s="3" t="str">
        <f t="shared" si="148"/>
        <v>Normal</v>
      </c>
      <c r="W694" s="3" t="s">
        <v>51</v>
      </c>
      <c r="X694" s="32">
        <f t="shared" si="145"/>
        <v>0.14498569237912307</v>
      </c>
      <c r="Z694" s="38">
        <f t="shared" si="149"/>
        <v>1.9985692379123066E-2</v>
      </c>
      <c r="AC694" s="36">
        <v>0.125</v>
      </c>
      <c r="AL694" t="str">
        <f t="shared" si="150"/>
        <v>TPA Approval Delay</v>
      </c>
      <c r="AM694" t="str">
        <f t="shared" si="151"/>
        <v>Yes</v>
      </c>
      <c r="AN694" t="str">
        <f t="shared" si="152"/>
        <v>Emergency</v>
      </c>
      <c r="AO694" t="str">
        <f t="shared" si="153"/>
        <v>ICU</v>
      </c>
    </row>
    <row r="695" spans="1:41" x14ac:dyDescent="0.3">
      <c r="A695" s="21" t="str">
        <f t="shared" si="146"/>
        <v>UHID-00694</v>
      </c>
      <c r="B695" s="18">
        <v>84</v>
      </c>
      <c r="C695" s="10" t="s">
        <v>18</v>
      </c>
      <c r="D695" s="13" t="s">
        <v>27</v>
      </c>
      <c r="E695" s="13" t="s">
        <v>5</v>
      </c>
      <c r="F695" s="15">
        <v>46168.835008588001</v>
      </c>
      <c r="G695" s="4">
        <v>46168</v>
      </c>
      <c r="H695" s="1">
        <v>46176.507069930602</v>
      </c>
      <c r="I695" s="22">
        <v>46176</v>
      </c>
      <c r="J695" s="24">
        <f t="shared" si="140"/>
        <v>46176.43709670996</v>
      </c>
      <c r="K695" s="24">
        <f t="shared" si="141"/>
        <v>0.50706993060157401</v>
      </c>
      <c r="L695" s="29">
        <f t="shared" si="147"/>
        <v>46175</v>
      </c>
      <c r="M695" s="27" t="str">
        <f t="shared" si="142"/>
        <v>Normal</v>
      </c>
      <c r="N695" s="31">
        <f t="shared" si="143"/>
        <v>8</v>
      </c>
      <c r="O695" s="27"/>
      <c r="Q695" s="8">
        <v>0.18697608777665808</v>
      </c>
      <c r="R695" s="8" t="str">
        <f t="shared" si="144"/>
        <v>On Time</v>
      </c>
      <c r="S695" s="33">
        <v>1.6793572954623286</v>
      </c>
      <c r="T695" t="s">
        <v>30</v>
      </c>
      <c r="U695" s="3">
        <v>0</v>
      </c>
      <c r="V695" s="3" t="str">
        <f t="shared" si="148"/>
        <v/>
      </c>
      <c r="W695" s="3" t="s">
        <v>51</v>
      </c>
      <c r="X695" s="32">
        <f t="shared" si="145"/>
        <v>6.9973220641259104E-2</v>
      </c>
      <c r="Z695" s="38">
        <f t="shared" si="149"/>
        <v>0</v>
      </c>
      <c r="AC695" s="36">
        <v>0.125</v>
      </c>
      <c r="AL695" t="str">
        <f t="shared" si="150"/>
        <v>Normal</v>
      </c>
      <c r="AM695" t="str">
        <f t="shared" si="151"/>
        <v>No</v>
      </c>
      <c r="AN695" t="str">
        <f t="shared" si="152"/>
        <v>Emergency</v>
      </c>
      <c r="AO695" t="str">
        <f t="shared" si="153"/>
        <v>ICU</v>
      </c>
    </row>
    <row r="696" spans="1:41" x14ac:dyDescent="0.3">
      <c r="A696" s="21" t="str">
        <f t="shared" si="146"/>
        <v>UHID-00695</v>
      </c>
      <c r="B696" s="18">
        <v>53</v>
      </c>
      <c r="C696" s="10" t="s">
        <v>17</v>
      </c>
      <c r="D696" s="13" t="s">
        <v>27</v>
      </c>
      <c r="E696" s="13" t="s">
        <v>5</v>
      </c>
      <c r="F696" s="15">
        <v>46174.881215786998</v>
      </c>
      <c r="G696" s="4">
        <v>46174</v>
      </c>
      <c r="H696" s="1">
        <v>46176.593959351798</v>
      </c>
      <c r="I696" s="22">
        <v>46176</v>
      </c>
      <c r="J696" s="24">
        <f t="shared" si="140"/>
        <v>46176.465839189754</v>
      </c>
      <c r="K696" s="24">
        <f t="shared" si="141"/>
        <v>0.593959351797821</v>
      </c>
      <c r="L696" s="29">
        <f t="shared" si="147"/>
        <v>46175</v>
      </c>
      <c r="M696" s="27" t="str">
        <f t="shared" si="142"/>
        <v>Medication Change</v>
      </c>
      <c r="N696" s="31">
        <f t="shared" si="143"/>
        <v>2</v>
      </c>
      <c r="O696" s="27"/>
      <c r="Q696" s="8">
        <v>0.31989941663873356</v>
      </c>
      <c r="R696" s="8" t="str">
        <f t="shared" si="144"/>
        <v>Major Delay</v>
      </c>
      <c r="S696" s="33">
        <v>1.0748838889990209</v>
      </c>
      <c r="T696" t="s">
        <v>30</v>
      </c>
      <c r="U696" s="3">
        <v>2</v>
      </c>
      <c r="V696" s="3" t="str">
        <f t="shared" si="148"/>
        <v/>
      </c>
      <c r="W696" s="3" t="s">
        <v>50</v>
      </c>
      <c r="X696" s="32">
        <f t="shared" si="145"/>
        <v>0.12812016204406973</v>
      </c>
      <c r="Z696" s="38">
        <f t="shared" si="149"/>
        <v>3.1201620440697297E-3</v>
      </c>
      <c r="AC696" s="36">
        <v>0.125</v>
      </c>
      <c r="AL696" t="str">
        <f t="shared" si="150"/>
        <v>Medication Change</v>
      </c>
      <c r="AM696" t="str">
        <f t="shared" si="151"/>
        <v>No</v>
      </c>
      <c r="AN696" t="str">
        <f t="shared" si="152"/>
        <v>Elective</v>
      </c>
      <c r="AO696" t="str">
        <f t="shared" si="153"/>
        <v>General Ward</v>
      </c>
    </row>
    <row r="697" spans="1:41" x14ac:dyDescent="0.3">
      <c r="A697" s="21" t="str">
        <f t="shared" si="146"/>
        <v>UHID-00696</v>
      </c>
      <c r="B697" s="18">
        <v>49</v>
      </c>
      <c r="C697" s="10" t="s">
        <v>17</v>
      </c>
      <c r="D697" s="13" t="s">
        <v>27</v>
      </c>
      <c r="E697" s="13" t="s">
        <v>5</v>
      </c>
      <c r="F697" s="15">
        <v>46175.6489321759</v>
      </c>
      <c r="G697" s="4">
        <v>46175</v>
      </c>
      <c r="H697" s="1">
        <v>46176.581282361098</v>
      </c>
      <c r="I697" s="22">
        <v>46176</v>
      </c>
      <c r="J697" s="24">
        <f t="shared" si="140"/>
        <v>46176.513556392209</v>
      </c>
      <c r="K697" s="24">
        <f t="shared" si="141"/>
        <v>0.58128236109769205</v>
      </c>
      <c r="L697" s="29">
        <f t="shared" si="147"/>
        <v>46175</v>
      </c>
      <c r="M697" s="27" t="str">
        <f t="shared" si="142"/>
        <v>Normal</v>
      </c>
      <c r="N697" s="31">
        <f t="shared" si="143"/>
        <v>1</v>
      </c>
      <c r="O697" s="27"/>
      <c r="Q697" s="8">
        <v>8.8061326920183203E-2</v>
      </c>
      <c r="R697" s="8" t="str">
        <f t="shared" si="144"/>
        <v>On Time</v>
      </c>
      <c r="S697" s="33">
        <v>1.6254232533966371</v>
      </c>
      <c r="T697" t="s">
        <v>30</v>
      </c>
      <c r="U697" s="3">
        <v>0</v>
      </c>
      <c r="V697" s="3" t="str">
        <f t="shared" si="148"/>
        <v/>
      </c>
      <c r="W697" s="3" t="s">
        <v>51</v>
      </c>
      <c r="X697" s="32">
        <f t="shared" si="145"/>
        <v>6.7725968889135402E-2</v>
      </c>
      <c r="Z697" s="38">
        <f t="shared" si="149"/>
        <v>0</v>
      </c>
      <c r="AC697" s="36">
        <v>0.125</v>
      </c>
      <c r="AL697" t="str">
        <f t="shared" si="150"/>
        <v>Normal</v>
      </c>
      <c r="AM697" t="str">
        <f t="shared" si="151"/>
        <v>No</v>
      </c>
      <c r="AN697" t="str">
        <f t="shared" si="152"/>
        <v>Elective</v>
      </c>
      <c r="AO697" t="str">
        <f t="shared" si="153"/>
        <v>General Ward</v>
      </c>
    </row>
    <row r="698" spans="1:41" x14ac:dyDescent="0.3">
      <c r="A698" s="21" t="str">
        <f t="shared" si="146"/>
        <v>UHID-00697</v>
      </c>
      <c r="B698" s="18">
        <v>40</v>
      </c>
      <c r="C698" s="10" t="s">
        <v>18</v>
      </c>
      <c r="D698" s="13" t="s">
        <v>27</v>
      </c>
      <c r="E698" s="13" t="s">
        <v>5</v>
      </c>
      <c r="F698" s="15">
        <v>46173.170288553199</v>
      </c>
      <c r="G698" s="4">
        <v>46173</v>
      </c>
      <c r="H698" s="1">
        <v>46176.709076979198</v>
      </c>
      <c r="I698" s="22">
        <v>46176</v>
      </c>
      <c r="J698" s="24">
        <f t="shared" si="140"/>
        <v>46176.657391822482</v>
      </c>
      <c r="K698" s="24">
        <f t="shared" si="141"/>
        <v>0.70907697919756174</v>
      </c>
      <c r="L698" s="29">
        <f t="shared" si="147"/>
        <v>46175</v>
      </c>
      <c r="M698" s="27" t="str">
        <f t="shared" si="142"/>
        <v>Normal</v>
      </c>
      <c r="N698" s="31">
        <f t="shared" si="143"/>
        <v>3</v>
      </c>
      <c r="O698" s="27"/>
      <c r="Q698" s="8">
        <v>0.1398059380558675</v>
      </c>
      <c r="R698" s="8" t="str">
        <f t="shared" si="144"/>
        <v>On Time</v>
      </c>
      <c r="S698" s="33">
        <v>1.2404437611316883</v>
      </c>
      <c r="T698" t="s">
        <v>30</v>
      </c>
      <c r="U698" s="3">
        <v>0</v>
      </c>
      <c r="V698" s="3" t="str">
        <f t="shared" si="148"/>
        <v/>
      </c>
      <c r="W698" s="3" t="s">
        <v>51</v>
      </c>
      <c r="X698" s="32">
        <f t="shared" si="145"/>
        <v>5.1685156715393532E-2</v>
      </c>
      <c r="Z698" s="38">
        <f t="shared" si="149"/>
        <v>0</v>
      </c>
      <c r="AC698" s="36">
        <v>0.125</v>
      </c>
      <c r="AL698" t="str">
        <f t="shared" si="150"/>
        <v>Normal</v>
      </c>
      <c r="AM698" t="str">
        <f t="shared" si="151"/>
        <v>No</v>
      </c>
      <c r="AN698" t="str">
        <f t="shared" si="152"/>
        <v>Elective</v>
      </c>
      <c r="AO698" t="str">
        <f t="shared" si="153"/>
        <v>General Ward</v>
      </c>
    </row>
    <row r="699" spans="1:41" x14ac:dyDescent="0.3">
      <c r="A699" s="21" t="str">
        <f t="shared" si="146"/>
        <v>UHID-00698</v>
      </c>
      <c r="B699" s="18">
        <v>77</v>
      </c>
      <c r="C699" s="10" t="s">
        <v>17</v>
      </c>
      <c r="D699" s="13" t="s">
        <v>27</v>
      </c>
      <c r="E699" s="13" t="s">
        <v>5</v>
      </c>
      <c r="F699" s="15">
        <v>46174.659140000003</v>
      </c>
      <c r="G699" s="4">
        <v>46174</v>
      </c>
      <c r="H699" s="1">
        <v>46176.809224895798</v>
      </c>
      <c r="I699" s="22">
        <v>46176</v>
      </c>
      <c r="J699" s="24">
        <f t="shared" si="140"/>
        <v>46176.731958107994</v>
      </c>
      <c r="K699" s="24">
        <f t="shared" si="141"/>
        <v>0.80922489579825196</v>
      </c>
      <c r="L699" s="29">
        <f t="shared" si="147"/>
        <v>46175</v>
      </c>
      <c r="M699" s="27" t="str">
        <f t="shared" si="142"/>
        <v>Normal</v>
      </c>
      <c r="N699" s="31">
        <f t="shared" si="143"/>
        <v>2</v>
      </c>
      <c r="O699" s="27"/>
      <c r="Q699" s="8">
        <v>4.8617411482511419E-2</v>
      </c>
      <c r="R699" s="8" t="str">
        <f t="shared" si="144"/>
        <v>On Time</v>
      </c>
      <c r="S699" s="33">
        <v>1.8544029073019652</v>
      </c>
      <c r="T699" t="s">
        <v>30</v>
      </c>
      <c r="U699" s="3">
        <v>0</v>
      </c>
      <c r="V699" s="3" t="str">
        <f t="shared" si="148"/>
        <v/>
      </c>
      <c r="W699" s="3" t="s">
        <v>51</v>
      </c>
      <c r="X699" s="32">
        <f t="shared" si="145"/>
        <v>7.7266787804546766E-2</v>
      </c>
      <c r="Z699" s="38">
        <f t="shared" si="149"/>
        <v>0</v>
      </c>
      <c r="AC699" s="36">
        <v>0.125</v>
      </c>
      <c r="AL699" t="str">
        <f t="shared" si="150"/>
        <v>Normal</v>
      </c>
      <c r="AM699" t="str">
        <f t="shared" si="151"/>
        <v>No</v>
      </c>
      <c r="AN699" t="str">
        <f t="shared" si="152"/>
        <v>Elective</v>
      </c>
      <c r="AO699" t="str">
        <f t="shared" si="153"/>
        <v>General Ward</v>
      </c>
    </row>
    <row r="700" spans="1:41" x14ac:dyDescent="0.3">
      <c r="A700" s="21" t="str">
        <f t="shared" si="146"/>
        <v>UHID-00699</v>
      </c>
      <c r="B700" s="18">
        <v>36</v>
      </c>
      <c r="C700" s="10" t="s">
        <v>17</v>
      </c>
      <c r="D700" s="13" t="s">
        <v>26</v>
      </c>
      <c r="E700" s="13" t="s">
        <v>5</v>
      </c>
      <c r="F700" s="15">
        <v>46173.947070567097</v>
      </c>
      <c r="G700" s="4">
        <v>46173</v>
      </c>
      <c r="H700" s="1">
        <v>46177.563358148102</v>
      </c>
      <c r="I700" s="22">
        <v>46177</v>
      </c>
      <c r="J700" s="24">
        <f t="shared" si="140"/>
        <v>46177.431463665343</v>
      </c>
      <c r="K700" s="24">
        <f t="shared" si="141"/>
        <v>0.56335814810154261</v>
      </c>
      <c r="L700" s="29">
        <f t="shared" si="147"/>
        <v>46176</v>
      </c>
      <c r="M700" s="27" t="str">
        <f t="shared" si="142"/>
        <v>TPA Approval Delay</v>
      </c>
      <c r="N700" s="31">
        <f t="shared" si="143"/>
        <v>4</v>
      </c>
      <c r="O700" s="27"/>
      <c r="Q700" s="8">
        <v>0.55560385764155951</v>
      </c>
      <c r="R700" s="8" t="str">
        <f t="shared" si="144"/>
        <v>Major Delay</v>
      </c>
      <c r="S700" s="33">
        <v>3.1654675862582495</v>
      </c>
      <c r="T700" t="s">
        <v>31</v>
      </c>
      <c r="U700" s="3">
        <v>0</v>
      </c>
      <c r="V700" s="3" t="str">
        <f t="shared" si="148"/>
        <v>Normal</v>
      </c>
      <c r="W700" s="3" t="s">
        <v>51</v>
      </c>
      <c r="X700" s="32">
        <f t="shared" si="145"/>
        <v>0.13189448275807081</v>
      </c>
      <c r="Z700" s="38">
        <f t="shared" si="149"/>
        <v>6.8944827580708079E-3</v>
      </c>
      <c r="AC700" s="36">
        <v>0.125</v>
      </c>
      <c r="AL700" t="str">
        <f t="shared" si="150"/>
        <v>TPA Approval Delay</v>
      </c>
      <c r="AM700" t="str">
        <f t="shared" si="151"/>
        <v>No</v>
      </c>
      <c r="AN700" t="str">
        <f t="shared" si="152"/>
        <v>Elective</v>
      </c>
      <c r="AO700" t="str">
        <f t="shared" si="153"/>
        <v>HDU</v>
      </c>
    </row>
    <row r="701" spans="1:41" x14ac:dyDescent="0.3">
      <c r="A701" s="21" t="str">
        <f t="shared" si="146"/>
        <v>UHID-00700</v>
      </c>
      <c r="B701" s="18">
        <v>65</v>
      </c>
      <c r="C701" s="10" t="s">
        <v>17</v>
      </c>
      <c r="D701" s="13" t="s">
        <v>26</v>
      </c>
      <c r="E701" s="13" t="s">
        <v>5</v>
      </c>
      <c r="F701" s="15">
        <v>46171.830517708302</v>
      </c>
      <c r="G701" s="4">
        <v>46171</v>
      </c>
      <c r="H701" s="1">
        <v>46177.589664409701</v>
      </c>
      <c r="I701" s="22">
        <v>46177</v>
      </c>
      <c r="J701" s="24">
        <f t="shared" si="140"/>
        <v>46177.357842292899</v>
      </c>
      <c r="K701" s="24">
        <f t="shared" si="141"/>
        <v>0.58966440970107215</v>
      </c>
      <c r="L701" s="29">
        <f t="shared" si="147"/>
        <v>46176</v>
      </c>
      <c r="M701" s="27" t="str">
        <f t="shared" si="142"/>
        <v>Health Deterioration/TPA Approval Delay</v>
      </c>
      <c r="N701" s="31">
        <f t="shared" si="143"/>
        <v>6</v>
      </c>
      <c r="O701" s="27"/>
      <c r="Q701" s="8">
        <v>0.70839372499146669</v>
      </c>
      <c r="R701" s="8" t="str">
        <f t="shared" si="144"/>
        <v>Critical Delay</v>
      </c>
      <c r="S701" s="33">
        <v>3.5637308032959214</v>
      </c>
      <c r="T701" t="s">
        <v>31</v>
      </c>
      <c r="U701" s="3">
        <v>2</v>
      </c>
      <c r="V701" s="3" t="str">
        <f t="shared" si="148"/>
        <v>Normal</v>
      </c>
      <c r="W701" s="3" t="s">
        <v>50</v>
      </c>
      <c r="X701" s="32">
        <f t="shared" si="145"/>
        <v>0.23182211680250475</v>
      </c>
      <c r="Z701" s="38">
        <f t="shared" si="149"/>
        <v>0.10682211680250475</v>
      </c>
      <c r="AC701" s="36">
        <v>0.125</v>
      </c>
      <c r="AL701" t="str">
        <f t="shared" si="150"/>
        <v>Health Deterioration/TPA Approval Delay</v>
      </c>
      <c r="AM701" t="str">
        <f t="shared" si="151"/>
        <v>No</v>
      </c>
      <c r="AN701" t="str">
        <f t="shared" si="152"/>
        <v>Emergency</v>
      </c>
      <c r="AO701" t="str">
        <f t="shared" si="153"/>
        <v>HDU</v>
      </c>
    </row>
    <row r="702" spans="1:41" x14ac:dyDescent="0.3">
      <c r="A702" s="21" t="str">
        <f t="shared" si="146"/>
        <v>UHID-00701</v>
      </c>
      <c r="B702" s="18">
        <v>72</v>
      </c>
      <c r="C702" s="10" t="s">
        <v>18</v>
      </c>
      <c r="D702" s="13" t="s">
        <v>27</v>
      </c>
      <c r="E702" s="13" t="s">
        <v>5</v>
      </c>
      <c r="F702" s="15">
        <v>46174.511884907399</v>
      </c>
      <c r="G702" s="4">
        <v>46174</v>
      </c>
      <c r="H702" s="1">
        <v>46177.707677465303</v>
      </c>
      <c r="I702" s="22">
        <v>46177</v>
      </c>
      <c r="J702" s="24">
        <f t="shared" si="140"/>
        <v>46177.664896072856</v>
      </c>
      <c r="K702" s="24">
        <f t="shared" si="141"/>
        <v>0.70767746530327713</v>
      </c>
      <c r="L702" s="29">
        <f t="shared" si="147"/>
        <v>46176</v>
      </c>
      <c r="M702" s="27" t="str">
        <f t="shared" si="142"/>
        <v>Normal</v>
      </c>
      <c r="N702" s="31">
        <f t="shared" si="143"/>
        <v>3</v>
      </c>
      <c r="O702" s="27"/>
      <c r="Q702" s="8">
        <v>1.5489458116275334E-2</v>
      </c>
      <c r="R702" s="8" t="str">
        <f t="shared" si="144"/>
        <v>On Time</v>
      </c>
      <c r="S702" s="33">
        <v>1.0267534188103533</v>
      </c>
      <c r="T702" t="s">
        <v>30</v>
      </c>
      <c r="U702" s="3">
        <v>0</v>
      </c>
      <c r="V702" s="3" t="str">
        <f t="shared" si="148"/>
        <v/>
      </c>
      <c r="W702" s="3" t="s">
        <v>51</v>
      </c>
      <c r="X702" s="32">
        <f t="shared" si="145"/>
        <v>4.2781392447068356E-2</v>
      </c>
      <c r="Z702" s="38">
        <f t="shared" si="149"/>
        <v>0</v>
      </c>
      <c r="AC702" s="36">
        <v>0.125</v>
      </c>
      <c r="AL702" t="str">
        <f t="shared" si="150"/>
        <v>Normal</v>
      </c>
      <c r="AM702" t="str">
        <f t="shared" si="151"/>
        <v>No</v>
      </c>
      <c r="AN702" t="str">
        <f t="shared" si="152"/>
        <v>Elective</v>
      </c>
      <c r="AO702" t="str">
        <f t="shared" si="153"/>
        <v>General Ward</v>
      </c>
    </row>
    <row r="703" spans="1:41" x14ac:dyDescent="0.3">
      <c r="A703" s="21" t="str">
        <f t="shared" si="146"/>
        <v>UHID-00702</v>
      </c>
      <c r="B703" s="18">
        <v>81</v>
      </c>
      <c r="C703" s="10" t="s">
        <v>18</v>
      </c>
      <c r="D703" s="13" t="s">
        <v>27</v>
      </c>
      <c r="E703" s="13" t="s">
        <v>5</v>
      </c>
      <c r="F703" s="15">
        <v>46173.312790787</v>
      </c>
      <c r="G703" s="4">
        <v>46173</v>
      </c>
      <c r="H703" s="1">
        <v>46174.797916666699</v>
      </c>
      <c r="I703" s="22">
        <v>46174</v>
      </c>
      <c r="J703" s="24">
        <f t="shared" si="140"/>
        <v>46174.655819922038</v>
      </c>
      <c r="K703" s="24">
        <f t="shared" si="141"/>
        <v>0.79791666669916594</v>
      </c>
      <c r="L703" s="29">
        <f t="shared" si="147"/>
        <v>46173</v>
      </c>
      <c r="M703" s="27" t="str">
        <f t="shared" si="142"/>
        <v>Medication Change</v>
      </c>
      <c r="N703" s="31">
        <f t="shared" si="143"/>
        <v>1</v>
      </c>
      <c r="O703" s="27"/>
      <c r="Q703" s="8">
        <v>0.20718165815235678</v>
      </c>
      <c r="R703" s="8" t="str">
        <f t="shared" si="144"/>
        <v>Major Delay</v>
      </c>
      <c r="S703" s="33">
        <v>1.4103218718270691</v>
      </c>
      <c r="T703" t="s">
        <v>30</v>
      </c>
      <c r="U703" s="3">
        <v>2</v>
      </c>
      <c r="V703" s="3" t="str">
        <f t="shared" si="148"/>
        <v/>
      </c>
      <c r="W703" s="3" t="s">
        <v>50</v>
      </c>
      <c r="X703" s="32">
        <f t="shared" si="145"/>
        <v>0.142096744661103</v>
      </c>
      <c r="Z703" s="38">
        <f t="shared" si="149"/>
        <v>1.7096744661103003E-2</v>
      </c>
      <c r="AC703" s="36">
        <v>0.125</v>
      </c>
      <c r="AL703" t="str">
        <f t="shared" si="150"/>
        <v>Medication Change</v>
      </c>
      <c r="AM703" t="str">
        <f t="shared" si="151"/>
        <v>No</v>
      </c>
      <c r="AN703" t="str">
        <f t="shared" si="152"/>
        <v>Elective</v>
      </c>
      <c r="AO703" t="str">
        <f t="shared" si="153"/>
        <v>General Ward</v>
      </c>
    </row>
    <row r="704" spans="1:41" x14ac:dyDescent="0.3">
      <c r="A704" s="21" t="str">
        <f t="shared" si="146"/>
        <v>UHID-00703</v>
      </c>
      <c r="B704" s="18">
        <v>46</v>
      </c>
      <c r="C704" s="10" t="s">
        <v>17</v>
      </c>
      <c r="D704" s="13" t="s">
        <v>27</v>
      </c>
      <c r="E704" s="13" t="s">
        <v>5</v>
      </c>
      <c r="F704" s="15">
        <v>46175.428275509301</v>
      </c>
      <c r="G704" s="4">
        <v>46175</v>
      </c>
      <c r="H704" s="1">
        <v>46177.724337673601</v>
      </c>
      <c r="I704" s="22">
        <v>46177</v>
      </c>
      <c r="J704" s="24">
        <f t="shared" si="140"/>
        <v>46177.522699732799</v>
      </c>
      <c r="K704" s="24">
        <f t="shared" si="141"/>
        <v>0.72433767360053025</v>
      </c>
      <c r="L704" s="29">
        <f t="shared" si="147"/>
        <v>46176</v>
      </c>
      <c r="M704" s="27" t="str">
        <f t="shared" si="142"/>
        <v>Medication Change</v>
      </c>
      <c r="N704" s="31">
        <f t="shared" si="143"/>
        <v>2</v>
      </c>
      <c r="O704" s="27"/>
      <c r="Q704" s="8">
        <v>0.14640516068996456</v>
      </c>
      <c r="R704" s="8" t="str">
        <f t="shared" si="144"/>
        <v>Major Delay</v>
      </c>
      <c r="S704" s="33">
        <v>1.839310579213316</v>
      </c>
      <c r="T704" t="s">
        <v>30</v>
      </c>
      <c r="U704" s="3">
        <v>3</v>
      </c>
      <c r="V704" s="3" t="str">
        <f t="shared" si="148"/>
        <v/>
      </c>
      <c r="W704" s="3" t="s">
        <v>50</v>
      </c>
      <c r="X704" s="32">
        <f t="shared" si="145"/>
        <v>0.20163794080144726</v>
      </c>
      <c r="Z704" s="38">
        <f t="shared" si="149"/>
        <v>7.6637940801447257E-2</v>
      </c>
      <c r="AC704" s="36">
        <v>0.125</v>
      </c>
      <c r="AL704" t="str">
        <f t="shared" si="150"/>
        <v>Medication Change</v>
      </c>
      <c r="AM704" t="str">
        <f t="shared" si="151"/>
        <v>No</v>
      </c>
      <c r="AN704" t="str">
        <f t="shared" si="152"/>
        <v>Elective</v>
      </c>
      <c r="AO704" t="str">
        <f t="shared" si="153"/>
        <v>General Ward</v>
      </c>
    </row>
    <row r="705" spans="1:41" x14ac:dyDescent="0.3">
      <c r="A705" s="21" t="str">
        <f t="shared" si="146"/>
        <v>UHID-00704</v>
      </c>
      <c r="B705" s="18">
        <v>60</v>
      </c>
      <c r="C705" s="10" t="s">
        <v>17</v>
      </c>
      <c r="D705" s="13" t="s">
        <v>26</v>
      </c>
      <c r="E705" s="13" t="s">
        <v>5</v>
      </c>
      <c r="F705" s="15">
        <v>46175.124196111101</v>
      </c>
      <c r="G705" s="4">
        <v>46175</v>
      </c>
      <c r="H705" s="1">
        <v>46178.684796921298</v>
      </c>
      <c r="I705" s="22">
        <v>46178</v>
      </c>
      <c r="J705" s="24">
        <f t="shared" si="140"/>
        <v>46178.540347413596</v>
      </c>
      <c r="K705" s="24">
        <f t="shared" si="141"/>
        <v>0.684796921297675</v>
      </c>
      <c r="L705" s="29">
        <f t="shared" si="147"/>
        <v>46177</v>
      </c>
      <c r="M705" s="27" t="str">
        <f t="shared" si="142"/>
        <v>TPA Approval Delay</v>
      </c>
      <c r="N705" s="31">
        <f t="shared" si="143"/>
        <v>3</v>
      </c>
      <c r="O705" s="27"/>
      <c r="Q705" s="8">
        <v>0.67807183008823646</v>
      </c>
      <c r="R705" s="8" t="str">
        <f t="shared" si="144"/>
        <v>Major Delay</v>
      </c>
      <c r="S705" s="33">
        <v>3.4667881847642996</v>
      </c>
      <c r="T705" t="s">
        <v>31</v>
      </c>
      <c r="U705" s="3">
        <v>0</v>
      </c>
      <c r="V705" s="3" t="str">
        <f t="shared" si="148"/>
        <v>Normal</v>
      </c>
      <c r="W705" s="3" t="s">
        <v>51</v>
      </c>
      <c r="X705" s="32">
        <f t="shared" si="145"/>
        <v>0.14444950770121068</v>
      </c>
      <c r="Z705" s="38">
        <f t="shared" si="149"/>
        <v>1.9449507701210678E-2</v>
      </c>
      <c r="AC705" s="36">
        <v>0.125</v>
      </c>
      <c r="AL705" t="str">
        <f t="shared" si="150"/>
        <v>TPA Approval Delay</v>
      </c>
      <c r="AM705" t="str">
        <f t="shared" si="151"/>
        <v>No</v>
      </c>
      <c r="AN705" t="str">
        <f t="shared" si="152"/>
        <v>Elective</v>
      </c>
      <c r="AO705" t="str">
        <f t="shared" si="153"/>
        <v>General Ward</v>
      </c>
    </row>
    <row r="706" spans="1:41" x14ac:dyDescent="0.3">
      <c r="A706" s="21" t="str">
        <f t="shared" si="146"/>
        <v>UHID-00705</v>
      </c>
      <c r="B706" s="18">
        <v>57</v>
      </c>
      <c r="C706" s="10" t="s">
        <v>18</v>
      </c>
      <c r="D706" s="13" t="s">
        <v>26</v>
      </c>
      <c r="E706" s="13" t="s">
        <v>5</v>
      </c>
      <c r="F706" s="15">
        <v>46177.834775601797</v>
      </c>
      <c r="G706" s="4">
        <v>46177</v>
      </c>
      <c r="H706" s="1">
        <v>46178.709845023099</v>
      </c>
      <c r="I706" s="22">
        <v>46178</v>
      </c>
      <c r="J706" s="24">
        <f t="shared" ref="J706:J769" si="154">I706+K706-((S706+U706)/24)</f>
        <v>46178.555211590043</v>
      </c>
      <c r="K706" s="24">
        <f t="shared" ref="K706:K769" si="155">MOD(H706,1)</f>
        <v>0.70984502309875097</v>
      </c>
      <c r="L706" s="29">
        <f t="shared" si="147"/>
        <v>46177</v>
      </c>
      <c r="M706" s="27" t="str">
        <f t="shared" ref="M706:M769" si="156">IF(X706="","",IF(X706&lt;=TIME(2,0,0),"Normal",IF(X706&lt;=TIME(3,0,0),IF(D706="CASH","Bill Settlement Delay","Doctor Round Delay/Report Delay"),IF(X706&lt;=TIME(5,0,0),IF(D706="TPA","TPA Approval Delay","Medication Change"),IF(D706="TPA","Health Deterioration/TPA Approval Delay","Health Deterioration")))))</f>
        <v>TPA Approval Delay</v>
      </c>
      <c r="N706" s="31">
        <f t="shared" ref="N706:N769" si="157">I706-G706</f>
        <v>1</v>
      </c>
      <c r="O706" s="27"/>
      <c r="Q706" s="8">
        <v>0.62522436616726973</v>
      </c>
      <c r="R706" s="8" t="str">
        <f t="shared" ref="R706:R769" si="158">IF(X706="","",IF(X706&lt;=TIME(2,0,0),"On Time",IF(X706&lt;=TIME(3,0,0),"Minor Delay",IF(X706&lt;=TIME(5,0,0),"Major Delay","Critical Delay"))))</f>
        <v>Major Delay</v>
      </c>
      <c r="S706" s="33">
        <v>3.7112023934100735</v>
      </c>
      <c r="T706" t="s">
        <v>31</v>
      </c>
      <c r="U706" s="3">
        <v>0</v>
      </c>
      <c r="V706" s="3" t="str">
        <f t="shared" si="148"/>
        <v>Normal</v>
      </c>
      <c r="W706" s="3" t="s">
        <v>51</v>
      </c>
      <c r="X706" s="32">
        <f t="shared" ref="X706:X769" si="159">MOD(K706-J706,1)</f>
        <v>0.15463343305600574</v>
      </c>
      <c r="Z706" s="38">
        <f t="shared" si="149"/>
        <v>2.9633433056005742E-2</v>
      </c>
      <c r="AC706" s="36">
        <v>0.125</v>
      </c>
      <c r="AL706" t="str">
        <f t="shared" si="150"/>
        <v>TPA Approval Delay</v>
      </c>
      <c r="AM706" t="str">
        <f t="shared" si="151"/>
        <v>No</v>
      </c>
      <c r="AN706" t="str">
        <f t="shared" si="152"/>
        <v>Elective</v>
      </c>
      <c r="AO706" t="str">
        <f t="shared" si="153"/>
        <v>General Ward</v>
      </c>
    </row>
    <row r="707" spans="1:41" x14ac:dyDescent="0.3">
      <c r="A707" s="21" t="str">
        <f t="shared" ref="A707:A770" si="160">"UHID-"&amp;TEXT(ROW(A707)-1,"00000")</f>
        <v>UHID-00706</v>
      </c>
      <c r="B707" s="18">
        <v>47</v>
      </c>
      <c r="C707" s="10" t="s">
        <v>18</v>
      </c>
      <c r="D707" s="13" t="s">
        <v>27</v>
      </c>
      <c r="E707" s="13" t="s">
        <v>5</v>
      </c>
      <c r="F707" s="15">
        <v>46175.882162060203</v>
      </c>
      <c r="G707" s="4">
        <v>46175</v>
      </c>
      <c r="H707" s="1">
        <v>46178.7072956829</v>
      </c>
      <c r="I707" s="22">
        <v>46178</v>
      </c>
      <c r="J707" s="24">
        <f t="shared" si="154"/>
        <v>46178.210879996506</v>
      </c>
      <c r="K707" s="24">
        <f t="shared" si="155"/>
        <v>0.70729568289971212</v>
      </c>
      <c r="L707" s="29">
        <f t="shared" ref="L707:L770" si="161">IF(J707&gt;MOD(H707,1),INT(H707)-1,INT(H707))</f>
        <v>46177</v>
      </c>
      <c r="M707" s="27" t="str">
        <f t="shared" si="156"/>
        <v>Health Deterioration</v>
      </c>
      <c r="N707" s="31">
        <f t="shared" si="157"/>
        <v>3</v>
      </c>
      <c r="O707" s="27"/>
      <c r="Q707" s="8">
        <v>0.3828955063259688</v>
      </c>
      <c r="R707" s="8" t="str">
        <f t="shared" si="158"/>
        <v>Critical Delay</v>
      </c>
      <c r="S707" s="33">
        <v>1.9139764735195366</v>
      </c>
      <c r="T707" t="s">
        <v>31</v>
      </c>
      <c r="U707" s="3">
        <v>10</v>
      </c>
      <c r="V707" s="3" t="str">
        <f t="shared" ref="V707:V770" si="162">IF(T707="NO","Normal","")</f>
        <v>Normal</v>
      </c>
      <c r="W707" s="3" t="s">
        <v>52</v>
      </c>
      <c r="X707" s="32">
        <f t="shared" si="159"/>
        <v>0.49641568639344769</v>
      </c>
      <c r="Z707" s="38">
        <f t="shared" ref="Z707:Z770" si="163">IF(X707 &gt; TIME(3,0,0), X707 - TIME(3,0,0), 0)</f>
        <v>0.37141568639344769</v>
      </c>
      <c r="AC707" s="36">
        <v>0.125</v>
      </c>
      <c r="AL707" t="str">
        <f t="shared" ref="AL707:AL770" si="164">IF(X707="","",IF(X707&lt;=TIME(2,0,0),"Normal",IF(X707&lt;=TIME(3,0,0),IF(D707="CASH","Bill Settlement Delay","Doctor Round Delay/Report Delay"),IF(Z707&lt;=TIME(2,0,0),IF(D707="TPA","TPA Approval Delay","Medication Change"),IF(D707="TPA","Health Deterioration/TPA Approval Delay","Health Deterioration")))))</f>
        <v>Health Deterioration</v>
      </c>
      <c r="AM707" t="str">
        <f t="shared" ref="AM707:AM770" si="165">IF(OR(AND(B707&gt;65, R707="Critical Delay"), N707&gt;10), "Yes", "No")</f>
        <v>No</v>
      </c>
      <c r="AN707" t="str">
        <f t="shared" ref="AN707:AN770" si="166">IF(E707="Cardiology &amp; Cardiothoracic", IF(MOD(ROW(),10)&lt;3, "Emergency", "Elective"), IF(E707="Neurology &amp; Neurosurgery", IF(MOD(ROW(),10)&lt;4, "Emergency", "Elective"), IF(D707="COR", IF(MOD(ROW(),20)&lt;7, "Emergency", "Elective"), IF(OR(R707="Critical Delay", N707&gt;=7), "Emergency", "Elective"))))</f>
        <v>Emergency</v>
      </c>
      <c r="AO707" t="str">
        <f t="shared" ref="AO707:AO770" si="167">IF(OR(N707&gt;6, AND(E707="Cardiology &amp; Cardiothoracic", MOD(ROW(),10)&lt;4), AND(E707="Neurology &amp; Neurosurgery", MOD(ROW(),10)&lt;6)), "ICU", IF(OR(N707&gt;3, AND(E707="Cardiology &amp; Cardiothoracic", MOD(ROW(),10)&lt;6), E707="Neurology &amp; Neurosurgery"), "HDU", "General Ward"))</f>
        <v>General Ward</v>
      </c>
    </row>
    <row r="708" spans="1:41" x14ac:dyDescent="0.3">
      <c r="A708" s="21" t="str">
        <f t="shared" si="160"/>
        <v>UHID-00707</v>
      </c>
      <c r="B708" s="18">
        <v>62</v>
      </c>
      <c r="C708" s="10" t="s">
        <v>17</v>
      </c>
      <c r="D708" s="13" t="s">
        <v>28</v>
      </c>
      <c r="E708" s="13" t="s">
        <v>5</v>
      </c>
      <c r="F708" s="15">
        <v>46141.885517094903</v>
      </c>
      <c r="G708" s="4">
        <v>46141</v>
      </c>
      <c r="H708" s="1">
        <v>46178.717524455999</v>
      </c>
      <c r="I708" s="22">
        <v>46178</v>
      </c>
      <c r="J708" s="24">
        <f t="shared" si="154"/>
        <v>46178.624857693954</v>
      </c>
      <c r="K708" s="24">
        <f t="shared" si="155"/>
        <v>0.71752445599850034</v>
      </c>
      <c r="L708" s="29">
        <f t="shared" si="161"/>
        <v>46177</v>
      </c>
      <c r="M708" s="27" t="str">
        <f t="shared" si="156"/>
        <v>Doctor Round Delay/Report Delay</v>
      </c>
      <c r="N708" s="31">
        <f t="shared" si="157"/>
        <v>37</v>
      </c>
      <c r="O708" s="27"/>
      <c r="Q708" s="8">
        <v>0.86588598880206358</v>
      </c>
      <c r="R708" s="8" t="str">
        <f t="shared" si="158"/>
        <v>Minor Delay</v>
      </c>
      <c r="S708" s="33">
        <v>2.2240022889758486</v>
      </c>
      <c r="T708" t="s">
        <v>31</v>
      </c>
      <c r="U708" s="3">
        <v>0</v>
      </c>
      <c r="V708" s="3" t="str">
        <f t="shared" si="162"/>
        <v>Normal</v>
      </c>
      <c r="W708" s="3" t="s">
        <v>51</v>
      </c>
      <c r="X708" s="32">
        <f t="shared" si="159"/>
        <v>9.2666762044245843E-2</v>
      </c>
      <c r="Z708" s="38">
        <f t="shared" si="163"/>
        <v>0</v>
      </c>
      <c r="AC708" s="36">
        <v>0.125</v>
      </c>
      <c r="AL708" t="str">
        <f t="shared" si="164"/>
        <v>Doctor Round Delay/Report Delay</v>
      </c>
      <c r="AM708" t="str">
        <f t="shared" si="165"/>
        <v>Yes</v>
      </c>
      <c r="AN708" t="str">
        <f t="shared" si="166"/>
        <v>Elective</v>
      </c>
      <c r="AO708" t="str">
        <f t="shared" si="167"/>
        <v>ICU</v>
      </c>
    </row>
    <row r="709" spans="1:41" x14ac:dyDescent="0.3">
      <c r="A709" s="21" t="str">
        <f t="shared" si="160"/>
        <v>UHID-00708</v>
      </c>
      <c r="B709" s="18">
        <v>77</v>
      </c>
      <c r="C709" s="10" t="s">
        <v>18</v>
      </c>
      <c r="D709" s="13" t="s">
        <v>27</v>
      </c>
      <c r="E709" s="13" t="s">
        <v>5</v>
      </c>
      <c r="F709" s="15">
        <v>46173.688940277803</v>
      </c>
      <c r="G709" s="4">
        <v>46173</v>
      </c>
      <c r="H709" s="1">
        <v>46178.874359710702</v>
      </c>
      <c r="I709" s="22">
        <v>46178</v>
      </c>
      <c r="J709" s="24">
        <f t="shared" si="154"/>
        <v>46178.62721818166</v>
      </c>
      <c r="K709" s="24">
        <f t="shared" si="155"/>
        <v>0.87435971070226515</v>
      </c>
      <c r="L709" s="29">
        <f t="shared" si="161"/>
        <v>46177</v>
      </c>
      <c r="M709" s="27" t="str">
        <f t="shared" si="156"/>
        <v>Health Deterioration</v>
      </c>
      <c r="N709" s="31">
        <f t="shared" si="157"/>
        <v>5</v>
      </c>
      <c r="O709" s="27"/>
      <c r="Q709" s="8">
        <v>0.37146413592301464</v>
      </c>
      <c r="R709" s="8" t="str">
        <f t="shared" si="158"/>
        <v>Critical Delay</v>
      </c>
      <c r="S709" s="33">
        <v>1.9313966969848062</v>
      </c>
      <c r="T709" t="s">
        <v>31</v>
      </c>
      <c r="U709" s="3">
        <v>4</v>
      </c>
      <c r="V709" s="3" t="str">
        <f t="shared" si="162"/>
        <v>Normal</v>
      </c>
      <c r="W709" s="3" t="s">
        <v>50</v>
      </c>
      <c r="X709" s="32">
        <f t="shared" si="159"/>
        <v>0.24714152904198272</v>
      </c>
      <c r="Z709" s="38">
        <f t="shared" si="163"/>
        <v>0.12214152904198272</v>
      </c>
      <c r="AC709" s="36">
        <v>0.125</v>
      </c>
      <c r="AL709" t="str">
        <f t="shared" si="164"/>
        <v>Health Deterioration</v>
      </c>
      <c r="AM709" t="str">
        <f t="shared" si="165"/>
        <v>Yes</v>
      </c>
      <c r="AN709" t="str">
        <f t="shared" si="166"/>
        <v>Emergency</v>
      </c>
      <c r="AO709" t="str">
        <f t="shared" si="167"/>
        <v>HDU</v>
      </c>
    </row>
    <row r="710" spans="1:41" x14ac:dyDescent="0.3">
      <c r="A710" s="21" t="str">
        <f t="shared" si="160"/>
        <v>UHID-00709</v>
      </c>
      <c r="B710" s="18">
        <v>72</v>
      </c>
      <c r="C710" s="10" t="s">
        <v>18</v>
      </c>
      <c r="D710" s="13" t="s">
        <v>26</v>
      </c>
      <c r="E710" s="13" t="s">
        <v>5</v>
      </c>
      <c r="F710" s="15">
        <v>46174.988110902799</v>
      </c>
      <c r="G710" s="4">
        <v>46174</v>
      </c>
      <c r="H710" s="1">
        <v>46179.711164768501</v>
      </c>
      <c r="I710" s="22">
        <v>46179</v>
      </c>
      <c r="J710" s="24">
        <f t="shared" si="154"/>
        <v>46179.433028962369</v>
      </c>
      <c r="K710" s="24">
        <f t="shared" si="155"/>
        <v>0.71116476850147592</v>
      </c>
      <c r="L710" s="29">
        <f t="shared" si="161"/>
        <v>46178</v>
      </c>
      <c r="M710" s="27" t="str">
        <f t="shared" si="156"/>
        <v>Health Deterioration/TPA Approval Delay</v>
      </c>
      <c r="N710" s="31">
        <f t="shared" si="157"/>
        <v>5</v>
      </c>
      <c r="O710" s="27"/>
      <c r="Q710" s="8">
        <v>0.54995970484458667</v>
      </c>
      <c r="R710" s="8" t="str">
        <f t="shared" si="158"/>
        <v>Critical Delay</v>
      </c>
      <c r="S710" s="33">
        <v>3.6752593471613939</v>
      </c>
      <c r="T710" t="s">
        <v>31</v>
      </c>
      <c r="U710" s="3">
        <v>3</v>
      </c>
      <c r="V710" s="3" t="str">
        <f t="shared" si="162"/>
        <v>Normal</v>
      </c>
      <c r="W710" s="3" t="s">
        <v>50</v>
      </c>
      <c r="X710" s="32">
        <f t="shared" si="159"/>
        <v>0.27813580613292288</v>
      </c>
      <c r="Z710" s="38">
        <f t="shared" si="163"/>
        <v>0.15313580613292288</v>
      </c>
      <c r="AC710" s="36">
        <v>0.125</v>
      </c>
      <c r="AL710" t="str">
        <f t="shared" si="164"/>
        <v>Health Deterioration/TPA Approval Delay</v>
      </c>
      <c r="AM710" t="str">
        <f t="shared" si="165"/>
        <v>Yes</v>
      </c>
      <c r="AN710" t="str">
        <f t="shared" si="166"/>
        <v>Emergency</v>
      </c>
      <c r="AO710" t="str">
        <f t="shared" si="167"/>
        <v>HDU</v>
      </c>
    </row>
    <row r="711" spans="1:41" x14ac:dyDescent="0.3">
      <c r="A711" s="21" t="str">
        <f t="shared" si="160"/>
        <v>UHID-00710</v>
      </c>
      <c r="B711" s="18">
        <v>65</v>
      </c>
      <c r="C711" s="10" t="s">
        <v>18</v>
      </c>
      <c r="D711" s="13" t="s">
        <v>26</v>
      </c>
      <c r="E711" s="13" t="s">
        <v>5</v>
      </c>
      <c r="F711" s="15">
        <v>46176.712082407401</v>
      </c>
      <c r="G711" s="4">
        <v>46176</v>
      </c>
      <c r="H711" s="1">
        <v>46179.770233958297</v>
      </c>
      <c r="I711" s="22">
        <v>46179</v>
      </c>
      <c r="J711" s="24">
        <f t="shared" si="154"/>
        <v>46179.549437619396</v>
      </c>
      <c r="K711" s="24">
        <f t="shared" si="155"/>
        <v>0.77023395829746732</v>
      </c>
      <c r="L711" s="29">
        <f t="shared" si="161"/>
        <v>46178</v>
      </c>
      <c r="M711" s="27" t="str">
        <f t="shared" si="156"/>
        <v>Health Deterioration/TPA Approval Delay</v>
      </c>
      <c r="N711" s="31">
        <f t="shared" si="157"/>
        <v>3</v>
      </c>
      <c r="O711" s="27"/>
      <c r="Q711" s="8">
        <v>0.8233084904621385</v>
      </c>
      <c r="R711" s="8" t="str">
        <f t="shared" si="158"/>
        <v>Critical Delay</v>
      </c>
      <c r="S711" s="33">
        <v>3.2991121337081988</v>
      </c>
      <c r="T711" t="s">
        <v>31</v>
      </c>
      <c r="U711" s="3">
        <v>2</v>
      </c>
      <c r="V711" s="3" t="str">
        <f t="shared" si="162"/>
        <v>Normal</v>
      </c>
      <c r="W711" s="3" t="s">
        <v>50</v>
      </c>
      <c r="X711" s="32">
        <f t="shared" si="159"/>
        <v>0.22079633890098194</v>
      </c>
      <c r="Z711" s="38">
        <f t="shared" si="163"/>
        <v>9.5796338900981937E-2</v>
      </c>
      <c r="AC711" s="36">
        <v>0.125</v>
      </c>
      <c r="AL711" t="str">
        <f t="shared" si="164"/>
        <v>Health Deterioration/TPA Approval Delay</v>
      </c>
      <c r="AM711" t="str">
        <f t="shared" si="165"/>
        <v>No</v>
      </c>
      <c r="AN711" t="str">
        <f t="shared" si="166"/>
        <v>Emergency</v>
      </c>
      <c r="AO711" t="str">
        <f t="shared" si="167"/>
        <v>General Ward</v>
      </c>
    </row>
    <row r="712" spans="1:41" x14ac:dyDescent="0.3">
      <c r="A712" s="21" t="str">
        <f t="shared" si="160"/>
        <v>UHID-00711</v>
      </c>
      <c r="B712" s="18">
        <v>68</v>
      </c>
      <c r="C712" s="10" t="s">
        <v>18</v>
      </c>
      <c r="D712" s="13" t="s">
        <v>26</v>
      </c>
      <c r="E712" s="13" t="s">
        <v>5</v>
      </c>
      <c r="F712" s="15">
        <v>46176.538525173601</v>
      </c>
      <c r="G712" s="4">
        <v>46176</v>
      </c>
      <c r="H712" s="1">
        <v>46179.396616944403</v>
      </c>
      <c r="I712" s="22">
        <v>46179</v>
      </c>
      <c r="J712" s="24">
        <f t="shared" si="154"/>
        <v>46179.181427221396</v>
      </c>
      <c r="K712" s="24">
        <f t="shared" si="155"/>
        <v>0.39661694440292194</v>
      </c>
      <c r="L712" s="29">
        <f t="shared" si="161"/>
        <v>46178</v>
      </c>
      <c r="M712" s="27" t="str">
        <f t="shared" si="156"/>
        <v>Health Deterioration/TPA Approval Delay</v>
      </c>
      <c r="N712" s="31">
        <f t="shared" si="157"/>
        <v>3</v>
      </c>
      <c r="O712" s="27"/>
      <c r="Q712" s="8">
        <v>0.75124528803443358</v>
      </c>
      <c r="R712" s="8" t="str">
        <f t="shared" si="158"/>
        <v>Critical Delay</v>
      </c>
      <c r="S712" s="33">
        <v>3.1645533521397926</v>
      </c>
      <c r="T712" t="s">
        <v>31</v>
      </c>
      <c r="U712" s="3">
        <v>2</v>
      </c>
      <c r="V712" s="3" t="str">
        <f t="shared" si="162"/>
        <v>Normal</v>
      </c>
      <c r="W712" s="3" t="s">
        <v>50</v>
      </c>
      <c r="X712" s="32">
        <f t="shared" si="159"/>
        <v>0.2151897230069153</v>
      </c>
      <c r="Z712" s="38">
        <f t="shared" si="163"/>
        <v>9.0189723006915301E-2</v>
      </c>
      <c r="AC712" s="36">
        <v>0.125</v>
      </c>
      <c r="AL712" t="str">
        <f t="shared" si="164"/>
        <v>Health Deterioration/TPA Approval Delay</v>
      </c>
      <c r="AM712" t="str">
        <f t="shared" si="165"/>
        <v>Yes</v>
      </c>
      <c r="AN712" t="str">
        <f t="shared" si="166"/>
        <v>Emergency</v>
      </c>
      <c r="AO712" t="str">
        <f t="shared" si="167"/>
        <v>General Ward</v>
      </c>
    </row>
    <row r="713" spans="1:41" x14ac:dyDescent="0.3">
      <c r="A713" s="21" t="str">
        <f t="shared" si="160"/>
        <v>UHID-00712</v>
      </c>
      <c r="B713" s="18">
        <v>38</v>
      </c>
      <c r="C713" s="10" t="s">
        <v>18</v>
      </c>
      <c r="D713" s="13" t="s">
        <v>27</v>
      </c>
      <c r="E713" s="13" t="s">
        <v>5</v>
      </c>
      <c r="F713" s="15">
        <v>46174.785537731499</v>
      </c>
      <c r="G713" s="4">
        <v>46174</v>
      </c>
      <c r="H713" s="1">
        <v>46179.647368009297</v>
      </c>
      <c r="I713" s="22">
        <v>46179</v>
      </c>
      <c r="J713" s="24">
        <f t="shared" si="154"/>
        <v>46179.44163696171</v>
      </c>
      <c r="K713" s="24">
        <f t="shared" si="155"/>
        <v>0.64736800929676974</v>
      </c>
      <c r="L713" s="29">
        <f t="shared" si="161"/>
        <v>46178</v>
      </c>
      <c r="M713" s="27" t="str">
        <f t="shared" si="156"/>
        <v>Medication Change</v>
      </c>
      <c r="N713" s="31">
        <f t="shared" si="157"/>
        <v>5</v>
      </c>
      <c r="O713" s="27"/>
      <c r="Q713" s="8">
        <v>0.16199150463349965</v>
      </c>
      <c r="R713" s="8" t="str">
        <f t="shared" si="158"/>
        <v>Major Delay</v>
      </c>
      <c r="S713" s="33">
        <v>1.9375451420585064</v>
      </c>
      <c r="T713" t="s">
        <v>30</v>
      </c>
      <c r="U713" s="3">
        <v>3</v>
      </c>
      <c r="V713" s="3" t="str">
        <f t="shared" si="162"/>
        <v/>
      </c>
      <c r="W713" s="3" t="s">
        <v>50</v>
      </c>
      <c r="X713" s="32">
        <f t="shared" si="159"/>
        <v>0.20573104758659611</v>
      </c>
      <c r="Z713" s="38">
        <f t="shared" si="163"/>
        <v>8.0731047586596105E-2</v>
      </c>
      <c r="AC713" s="36">
        <v>0.125</v>
      </c>
      <c r="AL713" t="str">
        <f t="shared" si="164"/>
        <v>Medication Change</v>
      </c>
      <c r="AM713" t="str">
        <f t="shared" si="165"/>
        <v>No</v>
      </c>
      <c r="AN713" t="str">
        <f t="shared" si="166"/>
        <v>Elective</v>
      </c>
      <c r="AO713" t="str">
        <f t="shared" si="167"/>
        <v>HDU</v>
      </c>
    </row>
    <row r="714" spans="1:41" x14ac:dyDescent="0.3">
      <c r="A714" s="21" t="str">
        <f t="shared" si="160"/>
        <v>UHID-00713</v>
      </c>
      <c r="B714" s="18">
        <v>83</v>
      </c>
      <c r="C714" s="10" t="s">
        <v>18</v>
      </c>
      <c r="D714" s="13" t="s">
        <v>28</v>
      </c>
      <c r="E714" s="13" t="s">
        <v>5</v>
      </c>
      <c r="F714" s="15">
        <v>46175.843885486101</v>
      </c>
      <c r="G714" s="4">
        <v>46175</v>
      </c>
      <c r="H714" s="1">
        <v>46179.496556794002</v>
      </c>
      <c r="I714" s="22">
        <v>46179</v>
      </c>
      <c r="J714" s="24">
        <f t="shared" si="154"/>
        <v>46179.374536304618</v>
      </c>
      <c r="K714" s="24">
        <f t="shared" si="155"/>
        <v>0.49655679400166264</v>
      </c>
      <c r="L714" s="29">
        <f t="shared" si="161"/>
        <v>46178</v>
      </c>
      <c r="M714" s="27" t="str">
        <f t="shared" si="156"/>
        <v>Doctor Round Delay/Report Delay</v>
      </c>
      <c r="N714" s="31">
        <f t="shared" si="157"/>
        <v>4</v>
      </c>
      <c r="O714" s="27"/>
      <c r="Q714" s="8">
        <v>0.9376037219823028</v>
      </c>
      <c r="R714" s="8" t="str">
        <f t="shared" si="158"/>
        <v>Minor Delay</v>
      </c>
      <c r="S714" s="33">
        <v>2.9284917452314896</v>
      </c>
      <c r="T714" t="s">
        <v>31</v>
      </c>
      <c r="U714" s="3">
        <v>0</v>
      </c>
      <c r="V714" s="3" t="str">
        <f t="shared" si="162"/>
        <v>Normal</v>
      </c>
      <c r="W714" s="3" t="s">
        <v>51</v>
      </c>
      <c r="X714" s="32">
        <f t="shared" si="159"/>
        <v>0.12202048938343069</v>
      </c>
      <c r="Z714" s="38">
        <f t="shared" si="163"/>
        <v>0</v>
      </c>
      <c r="AC714" s="36">
        <v>0.125</v>
      </c>
      <c r="AL714" t="str">
        <f t="shared" si="164"/>
        <v>Doctor Round Delay/Report Delay</v>
      </c>
      <c r="AM714" t="str">
        <f t="shared" si="165"/>
        <v>No</v>
      </c>
      <c r="AN714" t="str">
        <f t="shared" si="166"/>
        <v>Elective</v>
      </c>
      <c r="AO714" t="str">
        <f t="shared" si="167"/>
        <v>HDU</v>
      </c>
    </row>
    <row r="715" spans="1:41" x14ac:dyDescent="0.3">
      <c r="A715" s="21" t="str">
        <f t="shared" si="160"/>
        <v>UHID-00714</v>
      </c>
      <c r="B715" s="18">
        <v>41</v>
      </c>
      <c r="C715" s="10" t="s">
        <v>18</v>
      </c>
      <c r="D715" s="13" t="s">
        <v>27</v>
      </c>
      <c r="E715" s="13" t="s">
        <v>5</v>
      </c>
      <c r="F715" s="15">
        <v>46175.717655162</v>
      </c>
      <c r="G715" s="4">
        <v>46175</v>
      </c>
      <c r="H715" s="1">
        <v>46179.694501226899</v>
      </c>
      <c r="I715" s="22">
        <v>46179</v>
      </c>
      <c r="J715" s="24">
        <f t="shared" si="154"/>
        <v>46179.61219825533</v>
      </c>
      <c r="K715" s="24">
        <f t="shared" si="155"/>
        <v>0.69450122689886484</v>
      </c>
      <c r="L715" s="29">
        <f t="shared" si="161"/>
        <v>46178</v>
      </c>
      <c r="M715" s="27" t="str">
        <f t="shared" si="156"/>
        <v>Normal</v>
      </c>
      <c r="N715" s="31">
        <f t="shared" si="157"/>
        <v>4</v>
      </c>
      <c r="O715" s="27"/>
      <c r="Q715" s="8">
        <v>0.29773972355115019</v>
      </c>
      <c r="R715" s="8" t="str">
        <f t="shared" si="158"/>
        <v>On Time</v>
      </c>
      <c r="S715" s="33">
        <v>1.9752713177055607</v>
      </c>
      <c r="T715" t="s">
        <v>30</v>
      </c>
      <c r="U715" s="3">
        <v>0</v>
      </c>
      <c r="V715" s="3" t="str">
        <f t="shared" si="162"/>
        <v/>
      </c>
      <c r="W715" s="3" t="s">
        <v>51</v>
      </c>
      <c r="X715" s="32">
        <f t="shared" si="159"/>
        <v>8.2302971568424255E-2</v>
      </c>
      <c r="Z715" s="38">
        <f t="shared" si="163"/>
        <v>0</v>
      </c>
      <c r="AC715" s="36">
        <v>0.125</v>
      </c>
      <c r="AL715" t="str">
        <f t="shared" si="164"/>
        <v>Normal</v>
      </c>
      <c r="AM715" t="str">
        <f t="shared" si="165"/>
        <v>No</v>
      </c>
      <c r="AN715" t="str">
        <f t="shared" si="166"/>
        <v>Elective</v>
      </c>
      <c r="AO715" t="str">
        <f t="shared" si="167"/>
        <v>HDU</v>
      </c>
    </row>
    <row r="716" spans="1:41" x14ac:dyDescent="0.3">
      <c r="A716" s="21" t="str">
        <f t="shared" si="160"/>
        <v>UHID-00715</v>
      </c>
      <c r="B716" s="18">
        <v>45</v>
      </c>
      <c r="C716" s="10" t="s">
        <v>17</v>
      </c>
      <c r="D716" s="13" t="s">
        <v>28</v>
      </c>
      <c r="E716" s="13" t="s">
        <v>5</v>
      </c>
      <c r="F716" s="15">
        <v>46172.773991689799</v>
      </c>
      <c r="G716" s="4">
        <v>46172</v>
      </c>
      <c r="H716" s="1">
        <v>46179.559813796302</v>
      </c>
      <c r="I716" s="22">
        <v>46179</v>
      </c>
      <c r="J716" s="24">
        <f t="shared" si="154"/>
        <v>46179.366184697035</v>
      </c>
      <c r="K716" s="24">
        <f t="shared" si="155"/>
        <v>0.55981379630247829</v>
      </c>
      <c r="L716" s="29">
        <f t="shared" si="161"/>
        <v>46178</v>
      </c>
      <c r="M716" s="27" t="str">
        <f t="shared" si="156"/>
        <v>Medication Change</v>
      </c>
      <c r="N716" s="31">
        <f t="shared" si="157"/>
        <v>7</v>
      </c>
      <c r="O716" s="27"/>
      <c r="Q716" s="8">
        <v>0.92601251767600778</v>
      </c>
      <c r="R716" s="8" t="str">
        <f t="shared" si="158"/>
        <v>Major Delay</v>
      </c>
      <c r="S716" s="33">
        <v>2.6470983824015821</v>
      </c>
      <c r="T716" t="s">
        <v>31</v>
      </c>
      <c r="U716" s="3">
        <v>2</v>
      </c>
      <c r="V716" s="3" t="str">
        <f t="shared" si="162"/>
        <v>Normal</v>
      </c>
      <c r="W716" s="3" t="s">
        <v>50</v>
      </c>
      <c r="X716" s="32">
        <f t="shared" si="159"/>
        <v>0.19362909926712746</v>
      </c>
      <c r="Z716" s="38">
        <f t="shared" si="163"/>
        <v>6.8629099267127458E-2</v>
      </c>
      <c r="AC716" s="36">
        <v>0.125</v>
      </c>
      <c r="AL716" t="str">
        <f t="shared" si="164"/>
        <v>Medication Change</v>
      </c>
      <c r="AM716" t="str">
        <f t="shared" si="165"/>
        <v>No</v>
      </c>
      <c r="AN716" t="str">
        <f t="shared" si="166"/>
        <v>Elective</v>
      </c>
      <c r="AO716" t="str">
        <f t="shared" si="167"/>
        <v>ICU</v>
      </c>
    </row>
    <row r="717" spans="1:41" x14ac:dyDescent="0.3">
      <c r="A717" s="21" t="str">
        <f t="shared" si="160"/>
        <v>UHID-00716</v>
      </c>
      <c r="B717" s="18">
        <v>47</v>
      </c>
      <c r="C717" s="10" t="s">
        <v>17</v>
      </c>
      <c r="D717" s="13" t="s">
        <v>26</v>
      </c>
      <c r="E717" s="13" t="s">
        <v>5</v>
      </c>
      <c r="F717" s="15">
        <v>46178.047746423603</v>
      </c>
      <c r="G717" s="4">
        <v>46178</v>
      </c>
      <c r="H717" s="1">
        <v>46179.729626296299</v>
      </c>
      <c r="I717" s="22">
        <v>46179</v>
      </c>
      <c r="J717" s="24">
        <f t="shared" si="154"/>
        <v>46179.575887356281</v>
      </c>
      <c r="K717" s="24">
        <f t="shared" si="155"/>
        <v>0.72962629629910225</v>
      </c>
      <c r="L717" s="29">
        <f t="shared" si="161"/>
        <v>46178</v>
      </c>
      <c r="M717" s="27" t="str">
        <f t="shared" si="156"/>
        <v>TPA Approval Delay</v>
      </c>
      <c r="N717" s="31">
        <f t="shared" si="157"/>
        <v>1</v>
      </c>
      <c r="O717" s="27"/>
      <c r="Q717" s="8">
        <v>0.54397435413788364</v>
      </c>
      <c r="R717" s="8" t="str">
        <f t="shared" si="158"/>
        <v>Major Delay</v>
      </c>
      <c r="S717" s="33">
        <v>3.6897345603808009</v>
      </c>
      <c r="T717" t="s">
        <v>31</v>
      </c>
      <c r="U717" s="3">
        <v>0</v>
      </c>
      <c r="V717" s="3" t="str">
        <f t="shared" si="162"/>
        <v>Normal</v>
      </c>
      <c r="W717" s="3" t="s">
        <v>51</v>
      </c>
      <c r="X717" s="32">
        <f t="shared" si="159"/>
        <v>0.15373894001822919</v>
      </c>
      <c r="Z717" s="38">
        <f t="shared" si="163"/>
        <v>2.8738940018229187E-2</v>
      </c>
      <c r="AC717" s="36">
        <v>0.125</v>
      </c>
      <c r="AL717" t="str">
        <f t="shared" si="164"/>
        <v>TPA Approval Delay</v>
      </c>
      <c r="AM717" t="str">
        <f t="shared" si="165"/>
        <v>No</v>
      </c>
      <c r="AN717" t="str">
        <f t="shared" si="166"/>
        <v>Elective</v>
      </c>
      <c r="AO717" t="str">
        <f t="shared" si="167"/>
        <v>General Ward</v>
      </c>
    </row>
    <row r="718" spans="1:41" x14ac:dyDescent="0.3">
      <c r="A718" s="21" t="str">
        <f t="shared" si="160"/>
        <v>UHID-00717</v>
      </c>
      <c r="B718" s="18">
        <v>61</v>
      </c>
      <c r="C718" s="10" t="s">
        <v>18</v>
      </c>
      <c r="D718" s="13" t="s">
        <v>28</v>
      </c>
      <c r="E718" s="13" t="s">
        <v>5</v>
      </c>
      <c r="F718" s="15">
        <v>46171.789367338002</v>
      </c>
      <c r="G718" s="4">
        <v>46171</v>
      </c>
      <c r="H718" s="1">
        <v>46179.508962419</v>
      </c>
      <c r="I718" s="22">
        <v>46179</v>
      </c>
      <c r="J718" s="24">
        <f t="shared" si="154"/>
        <v>46179.25791742139</v>
      </c>
      <c r="K718" s="24">
        <f t="shared" si="155"/>
        <v>0.50896241900045425</v>
      </c>
      <c r="L718" s="29">
        <f t="shared" si="161"/>
        <v>46178</v>
      </c>
      <c r="M718" s="27" t="str">
        <f t="shared" si="156"/>
        <v>Health Deterioration</v>
      </c>
      <c r="N718" s="31">
        <f t="shared" si="157"/>
        <v>8</v>
      </c>
      <c r="O718" s="27"/>
      <c r="Q718" s="8">
        <v>0.96104479612076144</v>
      </c>
      <c r="R718" s="8" t="str">
        <f t="shared" si="158"/>
        <v>Critical Delay</v>
      </c>
      <c r="S718" s="33">
        <v>2.0250799425897945</v>
      </c>
      <c r="T718" t="s">
        <v>31</v>
      </c>
      <c r="U718" s="3">
        <v>4</v>
      </c>
      <c r="V718" s="3" t="str">
        <f t="shared" si="162"/>
        <v>Normal</v>
      </c>
      <c r="W718" s="3" t="s">
        <v>50</v>
      </c>
      <c r="X718" s="32">
        <f t="shared" si="159"/>
        <v>0.25104499761073384</v>
      </c>
      <c r="Z718" s="38">
        <f t="shared" si="163"/>
        <v>0.12604499761073384</v>
      </c>
      <c r="AC718" s="36">
        <v>0.125</v>
      </c>
      <c r="AL718" t="str">
        <f t="shared" si="164"/>
        <v>Health Deterioration</v>
      </c>
      <c r="AM718" t="str">
        <f t="shared" si="165"/>
        <v>No</v>
      </c>
      <c r="AN718" t="str">
        <f t="shared" si="166"/>
        <v>Elective</v>
      </c>
      <c r="AO718" t="str">
        <f t="shared" si="167"/>
        <v>ICU</v>
      </c>
    </row>
    <row r="719" spans="1:41" x14ac:dyDescent="0.3">
      <c r="A719" s="21" t="str">
        <f t="shared" si="160"/>
        <v>UHID-00718</v>
      </c>
      <c r="B719" s="18">
        <v>77</v>
      </c>
      <c r="C719" s="10" t="s">
        <v>17</v>
      </c>
      <c r="D719" s="13" t="s">
        <v>26</v>
      </c>
      <c r="E719" s="13" t="s">
        <v>5</v>
      </c>
      <c r="F719" s="15">
        <v>46175.488896620402</v>
      </c>
      <c r="G719" s="4">
        <v>46175</v>
      </c>
      <c r="H719" s="1">
        <v>46180.3125</v>
      </c>
      <c r="I719" s="22">
        <v>46180</v>
      </c>
      <c r="J719" s="24">
        <f t="shared" si="154"/>
        <v>46180.154115128193</v>
      </c>
      <c r="K719" s="24">
        <f t="shared" si="155"/>
        <v>0.3125</v>
      </c>
      <c r="L719" s="29">
        <f t="shared" si="161"/>
        <v>46179</v>
      </c>
      <c r="M719" s="27" t="str">
        <f t="shared" si="156"/>
        <v>TPA Approval Delay</v>
      </c>
      <c r="N719" s="31">
        <f t="shared" si="157"/>
        <v>5</v>
      </c>
      <c r="O719" s="27"/>
      <c r="Q719" s="8">
        <v>0.51716128246162629</v>
      </c>
      <c r="R719" s="8" t="str">
        <f t="shared" si="158"/>
        <v>Major Delay</v>
      </c>
      <c r="S719" s="33">
        <v>3.8012369234394465</v>
      </c>
      <c r="T719" t="s">
        <v>31</v>
      </c>
      <c r="U719" s="3">
        <v>0</v>
      </c>
      <c r="V719" s="3" t="str">
        <f t="shared" si="162"/>
        <v>Normal</v>
      </c>
      <c r="W719" s="3" t="s">
        <v>51</v>
      </c>
      <c r="X719" s="32">
        <f t="shared" si="159"/>
        <v>0.15838487180735683</v>
      </c>
      <c r="Z719" s="38">
        <f t="shared" si="163"/>
        <v>3.3384871807356831E-2</v>
      </c>
      <c r="AC719" s="36">
        <v>0.125</v>
      </c>
      <c r="AL719" t="str">
        <f t="shared" si="164"/>
        <v>TPA Approval Delay</v>
      </c>
      <c r="AM719" t="str">
        <f t="shared" si="165"/>
        <v>No</v>
      </c>
      <c r="AN719" t="str">
        <f t="shared" si="166"/>
        <v>Elective</v>
      </c>
      <c r="AO719" t="str">
        <f t="shared" si="167"/>
        <v>HDU</v>
      </c>
    </row>
    <row r="720" spans="1:41" x14ac:dyDescent="0.3">
      <c r="A720" s="21" t="str">
        <f t="shared" si="160"/>
        <v>UHID-00719</v>
      </c>
      <c r="B720" s="18">
        <v>46</v>
      </c>
      <c r="C720" s="10" t="s">
        <v>17</v>
      </c>
      <c r="D720" s="13" t="s">
        <v>26</v>
      </c>
      <c r="E720" s="13" t="s">
        <v>5</v>
      </c>
      <c r="F720" s="15">
        <v>46171.684567569398</v>
      </c>
      <c r="G720" s="4">
        <v>46171</v>
      </c>
      <c r="H720" s="1">
        <v>46180.5758492245</v>
      </c>
      <c r="I720" s="22">
        <v>46180</v>
      </c>
      <c r="J720" s="24">
        <f t="shared" si="154"/>
        <v>46180.414682764858</v>
      </c>
      <c r="K720" s="24">
        <f t="shared" si="155"/>
        <v>0.57584922450041631</v>
      </c>
      <c r="L720" s="29">
        <f t="shared" si="161"/>
        <v>46179</v>
      </c>
      <c r="M720" s="27" t="str">
        <f t="shared" si="156"/>
        <v>TPA Approval Delay</v>
      </c>
      <c r="N720" s="31">
        <f t="shared" si="157"/>
        <v>9</v>
      </c>
      <c r="O720" s="27"/>
      <c r="Q720" s="8">
        <v>0.75360024222445621</v>
      </c>
      <c r="R720" s="8" t="str">
        <f t="shared" si="158"/>
        <v>Major Delay</v>
      </c>
      <c r="S720" s="33">
        <v>3.8679950314184408</v>
      </c>
      <c r="T720" t="s">
        <v>31</v>
      </c>
      <c r="U720" s="3">
        <v>0</v>
      </c>
      <c r="V720" s="3" t="str">
        <f t="shared" si="162"/>
        <v>Normal</v>
      </c>
      <c r="W720" s="3" t="s">
        <v>51</v>
      </c>
      <c r="X720" s="32">
        <f t="shared" si="159"/>
        <v>0.16116645964211784</v>
      </c>
      <c r="Z720" s="38">
        <f t="shared" si="163"/>
        <v>3.6166459642117843E-2</v>
      </c>
      <c r="AC720" s="36">
        <v>0.125</v>
      </c>
      <c r="AL720" t="str">
        <f t="shared" si="164"/>
        <v>TPA Approval Delay</v>
      </c>
      <c r="AM720" t="str">
        <f t="shared" si="165"/>
        <v>No</v>
      </c>
      <c r="AN720" t="str">
        <f t="shared" si="166"/>
        <v>Emergency</v>
      </c>
      <c r="AO720" t="str">
        <f t="shared" si="167"/>
        <v>ICU</v>
      </c>
    </row>
    <row r="721" spans="1:41" x14ac:dyDescent="0.3">
      <c r="A721" s="21" t="str">
        <f t="shared" si="160"/>
        <v>UHID-00720</v>
      </c>
      <c r="B721" s="18">
        <v>49</v>
      </c>
      <c r="C721" s="10" t="s">
        <v>17</v>
      </c>
      <c r="D721" s="13" t="s">
        <v>27</v>
      </c>
      <c r="E721" s="13" t="s">
        <v>5</v>
      </c>
      <c r="F721" s="15">
        <v>46179.802397326399</v>
      </c>
      <c r="G721" s="4">
        <v>46179</v>
      </c>
      <c r="H721" s="1">
        <v>46180.623807905104</v>
      </c>
      <c r="I721" s="22">
        <v>46180</v>
      </c>
      <c r="J721" s="24">
        <f t="shared" si="154"/>
        <v>46180.546042822818</v>
      </c>
      <c r="K721" s="24">
        <f t="shared" si="155"/>
        <v>0.62380790510360384</v>
      </c>
      <c r="L721" s="29">
        <f t="shared" si="161"/>
        <v>46179</v>
      </c>
      <c r="M721" s="27" t="str">
        <f t="shared" si="156"/>
        <v>Normal</v>
      </c>
      <c r="N721" s="31">
        <f t="shared" si="157"/>
        <v>1</v>
      </c>
      <c r="O721" s="27"/>
      <c r="Q721" s="8">
        <v>0.27660685673438934</v>
      </c>
      <c r="R721" s="8" t="str">
        <f t="shared" si="158"/>
        <v>On Time</v>
      </c>
      <c r="S721" s="33">
        <v>1.8663619749224956</v>
      </c>
      <c r="T721" t="s">
        <v>30</v>
      </c>
      <c r="U721" s="3">
        <v>0</v>
      </c>
      <c r="V721" s="3" t="str">
        <f t="shared" si="162"/>
        <v/>
      </c>
      <c r="W721" s="3" t="s">
        <v>51</v>
      </c>
      <c r="X721" s="32">
        <f t="shared" si="159"/>
        <v>7.7765082285623066E-2</v>
      </c>
      <c r="Z721" s="38">
        <f t="shared" si="163"/>
        <v>0</v>
      </c>
      <c r="AC721" s="36">
        <v>0.125</v>
      </c>
      <c r="AL721" t="str">
        <f t="shared" si="164"/>
        <v>Normal</v>
      </c>
      <c r="AM721" t="str">
        <f t="shared" si="165"/>
        <v>No</v>
      </c>
      <c r="AN721" t="str">
        <f t="shared" si="166"/>
        <v>Elective</v>
      </c>
      <c r="AO721" t="str">
        <f t="shared" si="167"/>
        <v>General Ward</v>
      </c>
    </row>
    <row r="722" spans="1:41" x14ac:dyDescent="0.3">
      <c r="A722" s="21" t="str">
        <f t="shared" si="160"/>
        <v>UHID-00721</v>
      </c>
      <c r="B722" s="18">
        <v>55</v>
      </c>
      <c r="C722" s="10" t="s">
        <v>18</v>
      </c>
      <c r="D722" s="13" t="s">
        <v>28</v>
      </c>
      <c r="E722" s="13" t="s">
        <v>5</v>
      </c>
      <c r="F722" s="15">
        <v>46176.007720544003</v>
      </c>
      <c r="G722" s="4">
        <v>46176</v>
      </c>
      <c r="H722" s="1">
        <v>46181.583404456003</v>
      </c>
      <c r="I722" s="22">
        <v>46181</v>
      </c>
      <c r="J722" s="24">
        <f t="shared" si="154"/>
        <v>46181.326049475159</v>
      </c>
      <c r="K722" s="24">
        <f t="shared" si="155"/>
        <v>0.58340445600333624</v>
      </c>
      <c r="L722" s="29">
        <f t="shared" si="161"/>
        <v>46180</v>
      </c>
      <c r="M722" s="27" t="str">
        <f t="shared" si="156"/>
        <v>Health Deterioration</v>
      </c>
      <c r="N722" s="31">
        <f t="shared" si="157"/>
        <v>5</v>
      </c>
      <c r="O722" s="27"/>
      <c r="Q722" s="8">
        <v>0.94826476989205755</v>
      </c>
      <c r="R722" s="8" t="str">
        <f t="shared" si="158"/>
        <v>Critical Delay</v>
      </c>
      <c r="S722" s="33">
        <v>2.1765195403404207</v>
      </c>
      <c r="T722" t="s">
        <v>31</v>
      </c>
      <c r="U722" s="3">
        <v>4</v>
      </c>
      <c r="V722" s="3" t="str">
        <f t="shared" si="162"/>
        <v>Normal</v>
      </c>
      <c r="W722" s="3" t="s">
        <v>50</v>
      </c>
      <c r="X722" s="32">
        <f t="shared" si="159"/>
        <v>0.25735498084395658</v>
      </c>
      <c r="Z722" s="38">
        <f t="shared" si="163"/>
        <v>0.13235498084395658</v>
      </c>
      <c r="AC722" s="36">
        <v>0.125</v>
      </c>
      <c r="AL722" t="str">
        <f t="shared" si="164"/>
        <v>Health Deterioration</v>
      </c>
      <c r="AM722" t="str">
        <f t="shared" si="165"/>
        <v>No</v>
      </c>
      <c r="AN722" t="str">
        <f t="shared" si="166"/>
        <v>Emergency</v>
      </c>
      <c r="AO722" t="str">
        <f t="shared" si="167"/>
        <v>HDU</v>
      </c>
    </row>
    <row r="723" spans="1:41" x14ac:dyDescent="0.3">
      <c r="A723" s="21" t="str">
        <f t="shared" si="160"/>
        <v>UHID-00722</v>
      </c>
      <c r="B723" s="18">
        <v>73</v>
      </c>
      <c r="C723" s="10" t="s">
        <v>18</v>
      </c>
      <c r="D723" s="13" t="s">
        <v>26</v>
      </c>
      <c r="E723" s="13" t="s">
        <v>5</v>
      </c>
      <c r="F723" s="15">
        <v>46175.821444618101</v>
      </c>
      <c r="G723" s="4">
        <v>46175</v>
      </c>
      <c r="H723" s="1">
        <v>46181.757074641202</v>
      </c>
      <c r="I723" s="22">
        <v>46181</v>
      </c>
      <c r="J723" s="24">
        <f t="shared" si="154"/>
        <v>46181.630698314468</v>
      </c>
      <c r="K723" s="24">
        <f t="shared" si="155"/>
        <v>0.75707464120205259</v>
      </c>
      <c r="L723" s="29">
        <f t="shared" si="161"/>
        <v>46180</v>
      </c>
      <c r="M723" s="27" t="str">
        <f t="shared" si="156"/>
        <v>TPA Approval Delay</v>
      </c>
      <c r="N723" s="31">
        <f t="shared" si="157"/>
        <v>6</v>
      </c>
      <c r="O723" s="27"/>
      <c r="Q723" s="8">
        <v>0.84523809136534278</v>
      </c>
      <c r="R723" s="8" t="str">
        <f t="shared" si="158"/>
        <v>Major Delay</v>
      </c>
      <c r="S723" s="33">
        <v>3.0330318415876021</v>
      </c>
      <c r="T723" t="s">
        <v>31</v>
      </c>
      <c r="U723" s="3">
        <v>0</v>
      </c>
      <c r="V723" s="3" t="str">
        <f t="shared" si="162"/>
        <v>Normal</v>
      </c>
      <c r="W723" s="3" t="s">
        <v>51</v>
      </c>
      <c r="X723" s="32">
        <f t="shared" si="159"/>
        <v>0.12637632673431654</v>
      </c>
      <c r="Z723" s="38">
        <f t="shared" si="163"/>
        <v>1.3763267343165353E-3</v>
      </c>
      <c r="AC723" s="36">
        <v>0.125</v>
      </c>
      <c r="AL723" t="str">
        <f t="shared" si="164"/>
        <v>TPA Approval Delay</v>
      </c>
      <c r="AM723" t="str">
        <f t="shared" si="165"/>
        <v>No</v>
      </c>
      <c r="AN723" t="str">
        <f t="shared" si="166"/>
        <v>Elective</v>
      </c>
      <c r="AO723" t="str">
        <f t="shared" si="167"/>
        <v>HDU</v>
      </c>
    </row>
    <row r="724" spans="1:41" x14ac:dyDescent="0.3">
      <c r="A724" s="21" t="str">
        <f t="shared" si="160"/>
        <v>UHID-00723</v>
      </c>
      <c r="B724" s="18">
        <v>52</v>
      </c>
      <c r="C724" s="10" t="s">
        <v>17</v>
      </c>
      <c r="D724" s="13" t="s">
        <v>27</v>
      </c>
      <c r="E724" s="13" t="s">
        <v>5</v>
      </c>
      <c r="F724" s="15">
        <v>46178.836292534703</v>
      </c>
      <c r="G724" s="4">
        <v>46178</v>
      </c>
      <c r="H724" s="1">
        <v>46181.500026643502</v>
      </c>
      <c r="I724" s="22">
        <v>46181</v>
      </c>
      <c r="J724" s="24">
        <f t="shared" si="154"/>
        <v>46181.32719271956</v>
      </c>
      <c r="K724" s="24">
        <f t="shared" si="155"/>
        <v>0.50002664350176929</v>
      </c>
      <c r="L724" s="29">
        <f t="shared" si="161"/>
        <v>46180</v>
      </c>
      <c r="M724" s="27" t="str">
        <f t="shared" si="156"/>
        <v>Medication Change</v>
      </c>
      <c r="N724" s="31">
        <f t="shared" si="157"/>
        <v>3</v>
      </c>
      <c r="O724" s="27"/>
      <c r="Q724" s="8">
        <v>0.42800557761204283</v>
      </c>
      <c r="R724" s="8" t="str">
        <f t="shared" si="158"/>
        <v>Major Delay</v>
      </c>
      <c r="S724" s="33">
        <v>1.1480141746727357</v>
      </c>
      <c r="T724" t="s">
        <v>31</v>
      </c>
      <c r="U724" s="3">
        <v>3</v>
      </c>
      <c r="V724" s="3" t="str">
        <f t="shared" si="162"/>
        <v>Normal</v>
      </c>
      <c r="W724" s="3" t="s">
        <v>50</v>
      </c>
      <c r="X724" s="32">
        <f t="shared" si="159"/>
        <v>0.17283392394165276</v>
      </c>
      <c r="Z724" s="38">
        <f t="shared" si="163"/>
        <v>4.7833923941652756E-2</v>
      </c>
      <c r="AC724" s="36">
        <v>0.125</v>
      </c>
      <c r="AL724" t="str">
        <f t="shared" si="164"/>
        <v>Medication Change</v>
      </c>
      <c r="AM724" t="str">
        <f t="shared" si="165"/>
        <v>No</v>
      </c>
      <c r="AN724" t="str">
        <f t="shared" si="166"/>
        <v>Elective</v>
      </c>
      <c r="AO724" t="str">
        <f t="shared" si="167"/>
        <v>General Ward</v>
      </c>
    </row>
    <row r="725" spans="1:41" x14ac:dyDescent="0.3">
      <c r="A725" s="21" t="str">
        <f t="shared" si="160"/>
        <v>UHID-00724</v>
      </c>
      <c r="B725" s="18">
        <v>68</v>
      </c>
      <c r="C725" s="10" t="s">
        <v>18</v>
      </c>
      <c r="D725" s="13" t="s">
        <v>28</v>
      </c>
      <c r="E725" s="13" t="s">
        <v>5</v>
      </c>
      <c r="F725" s="15">
        <v>46175.753034097201</v>
      </c>
      <c r="G725" s="4">
        <v>46175</v>
      </c>
      <c r="H725" s="1">
        <v>46181.844528449103</v>
      </c>
      <c r="I725" s="22">
        <v>46181</v>
      </c>
      <c r="J725" s="24">
        <f t="shared" si="154"/>
        <v>46181.736487620321</v>
      </c>
      <c r="K725" s="24">
        <f t="shared" si="155"/>
        <v>0.84452844910265412</v>
      </c>
      <c r="L725" s="29">
        <f t="shared" si="161"/>
        <v>46180</v>
      </c>
      <c r="M725" s="27" t="str">
        <f t="shared" si="156"/>
        <v>Doctor Round Delay/Report Delay</v>
      </c>
      <c r="N725" s="31">
        <f t="shared" si="157"/>
        <v>6</v>
      </c>
      <c r="O725" s="27"/>
      <c r="Q725" s="8">
        <v>0.96022141392504134</v>
      </c>
      <c r="R725" s="8" t="str">
        <f t="shared" si="158"/>
        <v>Minor Delay</v>
      </c>
      <c r="S725" s="33">
        <v>2.5929798907271642</v>
      </c>
      <c r="T725" t="s">
        <v>31</v>
      </c>
      <c r="U725" s="3">
        <v>0</v>
      </c>
      <c r="V725" s="3" t="str">
        <f t="shared" si="162"/>
        <v>Normal</v>
      </c>
      <c r="W725" s="3" t="s">
        <v>51</v>
      </c>
      <c r="X725" s="32">
        <f t="shared" si="159"/>
        <v>0.1080408287816681</v>
      </c>
      <c r="Z725" s="38">
        <f t="shared" si="163"/>
        <v>0</v>
      </c>
      <c r="AC725" s="36">
        <v>0.125</v>
      </c>
      <c r="AL725" t="str">
        <f t="shared" si="164"/>
        <v>Doctor Round Delay/Report Delay</v>
      </c>
      <c r="AM725" t="str">
        <f t="shared" si="165"/>
        <v>No</v>
      </c>
      <c r="AN725" t="str">
        <f t="shared" si="166"/>
        <v>Emergency</v>
      </c>
      <c r="AO725" t="str">
        <f t="shared" si="167"/>
        <v>HDU</v>
      </c>
    </row>
    <row r="726" spans="1:41" x14ac:dyDescent="0.3">
      <c r="A726" s="21" t="str">
        <f t="shared" si="160"/>
        <v>UHID-00725</v>
      </c>
      <c r="B726" s="18">
        <v>69</v>
      </c>
      <c r="C726" s="10" t="s">
        <v>18</v>
      </c>
      <c r="D726" s="13" t="s">
        <v>28</v>
      </c>
      <c r="E726" s="13" t="s">
        <v>5</v>
      </c>
      <c r="F726" s="15">
        <v>46179.873352094903</v>
      </c>
      <c r="G726" s="4">
        <v>46179</v>
      </c>
      <c r="H726" s="1">
        <v>46181.841033912002</v>
      </c>
      <c r="I726" s="22">
        <v>46181</v>
      </c>
      <c r="J726" s="24">
        <f t="shared" si="154"/>
        <v>46181.644187184262</v>
      </c>
      <c r="K726" s="24">
        <f t="shared" si="155"/>
        <v>0.84103391200187616</v>
      </c>
      <c r="L726" s="29">
        <f t="shared" si="161"/>
        <v>46180</v>
      </c>
      <c r="M726" s="27" t="str">
        <f t="shared" si="156"/>
        <v>Medication Change</v>
      </c>
      <c r="N726" s="31">
        <f t="shared" si="157"/>
        <v>2</v>
      </c>
      <c r="O726" s="27"/>
      <c r="Q726" s="8">
        <v>0.96532424353413537</v>
      </c>
      <c r="R726" s="8" t="str">
        <f t="shared" si="158"/>
        <v>Major Delay</v>
      </c>
      <c r="S726" s="33">
        <v>2.7243214656856432</v>
      </c>
      <c r="T726" t="s">
        <v>31</v>
      </c>
      <c r="U726" s="3">
        <v>2</v>
      </c>
      <c r="V726" s="3" t="str">
        <f t="shared" si="162"/>
        <v>Normal</v>
      </c>
      <c r="W726" s="3" t="s">
        <v>50</v>
      </c>
      <c r="X726" s="32">
        <f t="shared" si="159"/>
        <v>0.19684672774019418</v>
      </c>
      <c r="Z726" s="38">
        <f t="shared" si="163"/>
        <v>7.1846727740194183E-2</v>
      </c>
      <c r="AC726" s="36">
        <v>0.125</v>
      </c>
      <c r="AL726" t="str">
        <f t="shared" si="164"/>
        <v>Medication Change</v>
      </c>
      <c r="AM726" t="str">
        <f t="shared" si="165"/>
        <v>No</v>
      </c>
      <c r="AN726" t="str">
        <f t="shared" si="166"/>
        <v>Emergency</v>
      </c>
      <c r="AO726" t="str">
        <f t="shared" si="167"/>
        <v>General Ward</v>
      </c>
    </row>
    <row r="727" spans="1:41" x14ac:dyDescent="0.3">
      <c r="A727" s="21" t="str">
        <f t="shared" si="160"/>
        <v>UHID-00726</v>
      </c>
      <c r="B727" s="18">
        <v>76</v>
      </c>
      <c r="C727" s="10" t="s">
        <v>18</v>
      </c>
      <c r="D727" s="13" t="s">
        <v>26</v>
      </c>
      <c r="E727" s="13" t="s">
        <v>5</v>
      </c>
      <c r="F727" s="15">
        <v>46171.531842384298</v>
      </c>
      <c r="G727" s="4">
        <v>46171</v>
      </c>
      <c r="H727" s="1">
        <v>46182.711267592596</v>
      </c>
      <c r="I727" s="22">
        <v>46182</v>
      </c>
      <c r="J727" s="24">
        <f t="shared" si="154"/>
        <v>46182.409864149682</v>
      </c>
      <c r="K727" s="24">
        <f t="shared" si="155"/>
        <v>0.71126759259641403</v>
      </c>
      <c r="L727" s="29">
        <f t="shared" si="161"/>
        <v>46181</v>
      </c>
      <c r="M727" s="27" t="str">
        <f t="shared" si="156"/>
        <v>Health Deterioration/TPA Approval Delay</v>
      </c>
      <c r="N727" s="31">
        <f t="shared" si="157"/>
        <v>11</v>
      </c>
      <c r="O727" s="27"/>
      <c r="Q727" s="8">
        <v>0.82014943067359314</v>
      </c>
      <c r="R727" s="8" t="str">
        <f t="shared" si="158"/>
        <v>Critical Delay</v>
      </c>
      <c r="S727" s="33">
        <v>3.2336826299544619</v>
      </c>
      <c r="T727" t="s">
        <v>31</v>
      </c>
      <c r="U727" s="3">
        <v>4</v>
      </c>
      <c r="V727" s="3" t="str">
        <f t="shared" si="162"/>
        <v>Normal</v>
      </c>
      <c r="W727" s="3" t="s">
        <v>50</v>
      </c>
      <c r="X727" s="32">
        <f t="shared" si="159"/>
        <v>0.30140344291430665</v>
      </c>
      <c r="Z727" s="38">
        <f t="shared" si="163"/>
        <v>0.17640344291430665</v>
      </c>
      <c r="AC727" s="36">
        <v>0.125</v>
      </c>
      <c r="AL727" t="str">
        <f t="shared" si="164"/>
        <v>Health Deterioration/TPA Approval Delay</v>
      </c>
      <c r="AM727" t="str">
        <f t="shared" si="165"/>
        <v>Yes</v>
      </c>
      <c r="AN727" t="str">
        <f t="shared" si="166"/>
        <v>Emergency</v>
      </c>
      <c r="AO727" t="str">
        <f t="shared" si="167"/>
        <v>ICU</v>
      </c>
    </row>
    <row r="728" spans="1:41" x14ac:dyDescent="0.3">
      <c r="A728" s="21" t="str">
        <f t="shared" si="160"/>
        <v>UHID-00727</v>
      </c>
      <c r="B728" s="18">
        <v>30</v>
      </c>
      <c r="C728" s="10" t="s">
        <v>18</v>
      </c>
      <c r="D728" s="13" t="s">
        <v>28</v>
      </c>
      <c r="E728" s="13" t="s">
        <v>5</v>
      </c>
      <c r="F728" s="15">
        <v>46176.902045185197</v>
      </c>
      <c r="G728" s="4">
        <v>46176</v>
      </c>
      <c r="H728" s="1">
        <v>46182.675046203702</v>
      </c>
      <c r="I728" s="22">
        <v>46182</v>
      </c>
      <c r="J728" s="24">
        <f t="shared" si="154"/>
        <v>46182.587561108165</v>
      </c>
      <c r="K728" s="24">
        <f t="shared" si="155"/>
        <v>0.67504620370164048</v>
      </c>
      <c r="L728" s="29">
        <f t="shared" si="161"/>
        <v>46181</v>
      </c>
      <c r="M728" s="27" t="str">
        <f t="shared" si="156"/>
        <v>Doctor Round Delay/Report Delay</v>
      </c>
      <c r="N728" s="31">
        <f t="shared" si="157"/>
        <v>6</v>
      </c>
      <c r="O728" s="27"/>
      <c r="Q728" s="8">
        <v>0.91976472108132878</v>
      </c>
      <c r="R728" s="8" t="str">
        <f t="shared" si="158"/>
        <v>Minor Delay</v>
      </c>
      <c r="S728" s="33">
        <v>2.0996422928738379</v>
      </c>
      <c r="T728" t="s">
        <v>31</v>
      </c>
      <c r="U728" s="3">
        <v>0</v>
      </c>
      <c r="V728" s="3" t="str">
        <f t="shared" si="162"/>
        <v>Normal</v>
      </c>
      <c r="W728" s="3" t="s">
        <v>51</v>
      </c>
      <c r="X728" s="32">
        <f t="shared" si="159"/>
        <v>8.7485095536976587E-2</v>
      </c>
      <c r="Z728" s="38">
        <f t="shared" si="163"/>
        <v>0</v>
      </c>
      <c r="AC728" s="36">
        <v>0.125</v>
      </c>
      <c r="AL728" t="str">
        <f t="shared" si="164"/>
        <v>Doctor Round Delay/Report Delay</v>
      </c>
      <c r="AM728" t="str">
        <f t="shared" si="165"/>
        <v>No</v>
      </c>
      <c r="AN728" t="str">
        <f t="shared" si="166"/>
        <v>Elective</v>
      </c>
      <c r="AO728" t="str">
        <f t="shared" si="167"/>
        <v>HDU</v>
      </c>
    </row>
    <row r="729" spans="1:41" x14ac:dyDescent="0.3">
      <c r="A729" s="21" t="str">
        <f t="shared" si="160"/>
        <v>UHID-00728</v>
      </c>
      <c r="B729" s="18">
        <v>50</v>
      </c>
      <c r="C729" s="10" t="s">
        <v>17</v>
      </c>
      <c r="D729" s="13" t="s">
        <v>28</v>
      </c>
      <c r="E729" s="13" t="s">
        <v>5</v>
      </c>
      <c r="F729" s="15">
        <v>46180.710169386599</v>
      </c>
      <c r="G729" s="4">
        <v>46180</v>
      </c>
      <c r="H729" s="1">
        <v>46182.673690150499</v>
      </c>
      <c r="I729" s="22">
        <v>46182</v>
      </c>
      <c r="J729" s="24">
        <f t="shared" si="154"/>
        <v>46182.549585512963</v>
      </c>
      <c r="K729" s="24">
        <f t="shared" si="155"/>
        <v>0.67369015049916925</v>
      </c>
      <c r="L729" s="29">
        <f t="shared" si="161"/>
        <v>46181</v>
      </c>
      <c r="M729" s="27" t="str">
        <f t="shared" si="156"/>
        <v>Doctor Round Delay/Report Delay</v>
      </c>
      <c r="N729" s="31">
        <f t="shared" si="157"/>
        <v>2</v>
      </c>
      <c r="O729" s="27"/>
      <c r="Q729" s="8">
        <v>0.98907683529725943</v>
      </c>
      <c r="R729" s="8" t="str">
        <f t="shared" si="158"/>
        <v>Minor Delay</v>
      </c>
      <c r="S729" s="33">
        <v>2.9785113007885897</v>
      </c>
      <c r="T729" t="s">
        <v>31</v>
      </c>
      <c r="U729" s="3">
        <v>0</v>
      </c>
      <c r="V729" s="3" t="str">
        <f t="shared" si="162"/>
        <v>Normal</v>
      </c>
      <c r="W729" s="3" t="s">
        <v>51</v>
      </c>
      <c r="X729" s="32">
        <f t="shared" si="159"/>
        <v>0.12410463753622025</v>
      </c>
      <c r="Z729" s="38">
        <f t="shared" si="163"/>
        <v>0</v>
      </c>
      <c r="AC729" s="36">
        <v>0.125</v>
      </c>
      <c r="AL729" t="str">
        <f t="shared" si="164"/>
        <v>Doctor Round Delay/Report Delay</v>
      </c>
      <c r="AM729" t="str">
        <f t="shared" si="165"/>
        <v>No</v>
      </c>
      <c r="AN729" t="str">
        <f t="shared" si="166"/>
        <v>Elective</v>
      </c>
      <c r="AO729" t="str">
        <f t="shared" si="167"/>
        <v>General Ward</v>
      </c>
    </row>
    <row r="730" spans="1:41" x14ac:dyDescent="0.3">
      <c r="A730" s="21" t="str">
        <f t="shared" si="160"/>
        <v>UHID-00729</v>
      </c>
      <c r="B730" s="18">
        <v>58</v>
      </c>
      <c r="C730" s="10" t="s">
        <v>18</v>
      </c>
      <c r="D730" s="13" t="s">
        <v>26</v>
      </c>
      <c r="E730" s="13" t="s">
        <v>5</v>
      </c>
      <c r="F730" s="15">
        <v>46177.923934583298</v>
      </c>
      <c r="G730" s="4">
        <v>46177</v>
      </c>
      <c r="H730" s="1">
        <v>46183.670892581002</v>
      </c>
      <c r="I730" s="22">
        <v>46183</v>
      </c>
      <c r="J730" s="24">
        <f t="shared" si="154"/>
        <v>46183.523731831738</v>
      </c>
      <c r="K730" s="24">
        <f t="shared" si="155"/>
        <v>0.67089258100168081</v>
      </c>
      <c r="L730" s="29">
        <f t="shared" si="161"/>
        <v>46182</v>
      </c>
      <c r="M730" s="27" t="str">
        <f t="shared" si="156"/>
        <v>TPA Approval Delay</v>
      </c>
      <c r="N730" s="31">
        <f t="shared" si="157"/>
        <v>6</v>
      </c>
      <c r="O730" s="27"/>
      <c r="Q730" s="8">
        <v>0.67656971255702758</v>
      </c>
      <c r="R730" s="8" t="str">
        <f t="shared" si="158"/>
        <v>Major Delay</v>
      </c>
      <c r="S730" s="33">
        <v>3.5318579822601395</v>
      </c>
      <c r="T730" t="s">
        <v>31</v>
      </c>
      <c r="U730" s="3">
        <v>0</v>
      </c>
      <c r="V730" s="3" t="str">
        <f t="shared" si="162"/>
        <v>Normal</v>
      </c>
      <c r="W730" s="3" t="s">
        <v>51</v>
      </c>
      <c r="X730" s="32">
        <f t="shared" si="159"/>
        <v>0.14716074926400324</v>
      </c>
      <c r="Z730" s="38">
        <f t="shared" si="163"/>
        <v>2.2160749264003243E-2</v>
      </c>
      <c r="AC730" s="36">
        <v>0.125</v>
      </c>
      <c r="AL730" t="str">
        <f t="shared" si="164"/>
        <v>TPA Approval Delay</v>
      </c>
      <c r="AM730" t="str">
        <f t="shared" si="165"/>
        <v>No</v>
      </c>
      <c r="AN730" t="str">
        <f t="shared" si="166"/>
        <v>Elective</v>
      </c>
      <c r="AO730" t="str">
        <f t="shared" si="167"/>
        <v>HDU</v>
      </c>
    </row>
    <row r="731" spans="1:41" x14ac:dyDescent="0.3">
      <c r="A731" s="21" t="str">
        <f t="shared" si="160"/>
        <v>UHID-00730</v>
      </c>
      <c r="B731" s="18">
        <v>47</v>
      </c>
      <c r="C731" s="10" t="s">
        <v>18</v>
      </c>
      <c r="D731" s="13" t="s">
        <v>26</v>
      </c>
      <c r="E731" s="13" t="s">
        <v>5</v>
      </c>
      <c r="F731" s="15">
        <v>46182.897257580997</v>
      </c>
      <c r="G731" s="4">
        <v>46182</v>
      </c>
      <c r="H731" s="1">
        <v>46183.640426608799</v>
      </c>
      <c r="I731" s="22">
        <v>46183</v>
      </c>
      <c r="J731" s="24">
        <f t="shared" si="154"/>
        <v>46183.292044652153</v>
      </c>
      <c r="K731" s="24">
        <f t="shared" si="155"/>
        <v>0.64042660879931645</v>
      </c>
      <c r="L731" s="29">
        <f t="shared" si="161"/>
        <v>46182</v>
      </c>
      <c r="M731" s="27" t="str">
        <f t="shared" si="156"/>
        <v>Health Deterioration/TPA Approval Delay</v>
      </c>
      <c r="N731" s="31">
        <f t="shared" si="157"/>
        <v>1</v>
      </c>
      <c r="O731" s="27"/>
      <c r="Q731" s="8">
        <v>0.65959747671727076</v>
      </c>
      <c r="R731" s="8" t="str">
        <f t="shared" si="158"/>
        <v>Critical Delay</v>
      </c>
      <c r="S731" s="33">
        <v>3.3611669594477398</v>
      </c>
      <c r="T731" t="s">
        <v>31</v>
      </c>
      <c r="U731" s="3">
        <v>5</v>
      </c>
      <c r="V731" s="3" t="str">
        <f t="shared" si="162"/>
        <v>Normal</v>
      </c>
      <c r="W731" s="3" t="s">
        <v>52</v>
      </c>
      <c r="X731" s="32">
        <f t="shared" si="159"/>
        <v>0.34838195664633531</v>
      </c>
      <c r="Z731" s="38">
        <f t="shared" si="163"/>
        <v>0.22338195664633531</v>
      </c>
      <c r="AC731" s="36">
        <v>0.125</v>
      </c>
      <c r="AL731" t="str">
        <f t="shared" si="164"/>
        <v>Health Deterioration/TPA Approval Delay</v>
      </c>
      <c r="AM731" t="str">
        <f t="shared" si="165"/>
        <v>No</v>
      </c>
      <c r="AN731" t="str">
        <f t="shared" si="166"/>
        <v>Emergency</v>
      </c>
      <c r="AO731" t="str">
        <f t="shared" si="167"/>
        <v>General Ward</v>
      </c>
    </row>
    <row r="732" spans="1:41" x14ac:dyDescent="0.3">
      <c r="A732" s="21" t="str">
        <f t="shared" si="160"/>
        <v>UHID-00731</v>
      </c>
      <c r="B732" s="18">
        <v>48</v>
      </c>
      <c r="C732" s="10" t="s">
        <v>18</v>
      </c>
      <c r="D732" s="13" t="s">
        <v>27</v>
      </c>
      <c r="E732" s="13" t="s">
        <v>5</v>
      </c>
      <c r="F732" s="15">
        <v>46180.484883530102</v>
      </c>
      <c r="G732" s="4">
        <v>46180</v>
      </c>
      <c r="H732" s="1">
        <v>46182.546527777798</v>
      </c>
      <c r="I732" s="22">
        <v>46182</v>
      </c>
      <c r="J732" s="24">
        <f t="shared" si="154"/>
        <v>46182.409361439728</v>
      </c>
      <c r="K732" s="24">
        <f t="shared" si="155"/>
        <v>0.54652777779847383</v>
      </c>
      <c r="L732" s="29">
        <f t="shared" si="161"/>
        <v>46181</v>
      </c>
      <c r="M732" s="27" t="str">
        <f t="shared" si="156"/>
        <v>Medication Change</v>
      </c>
      <c r="N732" s="31">
        <f t="shared" si="157"/>
        <v>2</v>
      </c>
      <c r="O732" s="27"/>
      <c r="Q732" s="8">
        <v>0.29674318466696759</v>
      </c>
      <c r="R732" s="8" t="str">
        <f t="shared" si="158"/>
        <v>Major Delay</v>
      </c>
      <c r="S732" s="33">
        <v>1.2919921137609072</v>
      </c>
      <c r="T732" t="s">
        <v>30</v>
      </c>
      <c r="U732" s="3">
        <v>2</v>
      </c>
      <c r="V732" s="3" t="str">
        <f t="shared" si="162"/>
        <v/>
      </c>
      <c r="W732" s="3" t="s">
        <v>50</v>
      </c>
      <c r="X732" s="32">
        <f t="shared" si="159"/>
        <v>0.13716633807052858</v>
      </c>
      <c r="Z732" s="38">
        <f t="shared" si="163"/>
        <v>1.2166338070528582E-2</v>
      </c>
      <c r="AC732" s="36">
        <v>0.125</v>
      </c>
      <c r="AL732" t="str">
        <f t="shared" si="164"/>
        <v>Medication Change</v>
      </c>
      <c r="AM732" t="str">
        <f t="shared" si="165"/>
        <v>No</v>
      </c>
      <c r="AN732" t="str">
        <f t="shared" si="166"/>
        <v>Elective</v>
      </c>
      <c r="AO732" t="str">
        <f t="shared" si="167"/>
        <v>General Ward</v>
      </c>
    </row>
    <row r="733" spans="1:41" x14ac:dyDescent="0.3">
      <c r="A733" s="21" t="str">
        <f t="shared" si="160"/>
        <v>UHID-00732</v>
      </c>
      <c r="B733" s="18">
        <v>49</v>
      </c>
      <c r="C733" s="10" t="s">
        <v>18</v>
      </c>
      <c r="D733" s="13" t="s">
        <v>27</v>
      </c>
      <c r="E733" s="13" t="s">
        <v>5</v>
      </c>
      <c r="F733" s="15">
        <v>46180.504814467597</v>
      </c>
      <c r="G733" s="4">
        <v>46180</v>
      </c>
      <c r="H733" s="1">
        <v>46183.6715747454</v>
      </c>
      <c r="I733" s="22">
        <v>46183</v>
      </c>
      <c r="J733" s="24">
        <f t="shared" si="154"/>
        <v>46183.62579501389</v>
      </c>
      <c r="K733" s="24">
        <f t="shared" si="155"/>
        <v>0.67157474539999384</v>
      </c>
      <c r="L733" s="29">
        <f t="shared" si="161"/>
        <v>46182</v>
      </c>
      <c r="M733" s="27" t="str">
        <f t="shared" si="156"/>
        <v>Normal</v>
      </c>
      <c r="N733" s="31">
        <f t="shared" si="157"/>
        <v>3</v>
      </c>
      <c r="O733" s="27"/>
      <c r="Q733" s="8">
        <v>0.19931458625792187</v>
      </c>
      <c r="R733" s="8" t="str">
        <f t="shared" si="158"/>
        <v>On Time</v>
      </c>
      <c r="S733" s="33">
        <v>1.0987135562582881</v>
      </c>
      <c r="T733" t="s">
        <v>30</v>
      </c>
      <c r="U733" s="3">
        <v>0</v>
      </c>
      <c r="V733" s="3" t="str">
        <f t="shared" si="162"/>
        <v/>
      </c>
      <c r="W733" s="3" t="s">
        <v>51</v>
      </c>
      <c r="X733" s="32">
        <f t="shared" si="159"/>
        <v>4.5779731510265265E-2</v>
      </c>
      <c r="Z733" s="38">
        <f t="shared" si="163"/>
        <v>0</v>
      </c>
      <c r="AC733" s="36">
        <v>0.125</v>
      </c>
      <c r="AL733" t="str">
        <f t="shared" si="164"/>
        <v>Normal</v>
      </c>
      <c r="AM733" t="str">
        <f t="shared" si="165"/>
        <v>No</v>
      </c>
      <c r="AN733" t="str">
        <f t="shared" si="166"/>
        <v>Elective</v>
      </c>
      <c r="AO733" t="str">
        <f t="shared" si="167"/>
        <v>General Ward</v>
      </c>
    </row>
    <row r="734" spans="1:41" x14ac:dyDescent="0.3">
      <c r="A734" s="21" t="str">
        <f t="shared" si="160"/>
        <v>UHID-00733</v>
      </c>
      <c r="B734" s="18">
        <v>47</v>
      </c>
      <c r="C734" s="10" t="s">
        <v>17</v>
      </c>
      <c r="D734" s="13" t="s">
        <v>28</v>
      </c>
      <c r="E734" s="13" t="s">
        <v>5</v>
      </c>
      <c r="F734" s="15">
        <v>46181.977843252302</v>
      </c>
      <c r="G734" s="4">
        <v>46181</v>
      </c>
      <c r="H734" s="1">
        <v>46184.634066794002</v>
      </c>
      <c r="I734" s="22">
        <v>46184</v>
      </c>
      <c r="J734" s="24">
        <f t="shared" si="154"/>
        <v>46184.515089679546</v>
      </c>
      <c r="K734" s="24">
        <f t="shared" si="155"/>
        <v>0.63406679400213761</v>
      </c>
      <c r="L734" s="29">
        <f t="shared" si="161"/>
        <v>46183</v>
      </c>
      <c r="M734" s="27" t="str">
        <f t="shared" si="156"/>
        <v>Doctor Round Delay/Report Delay</v>
      </c>
      <c r="N734" s="31">
        <f t="shared" si="157"/>
        <v>3</v>
      </c>
      <c r="O734" s="27"/>
      <c r="Q734" s="8">
        <v>0.86143178506174656</v>
      </c>
      <c r="R734" s="8" t="str">
        <f t="shared" si="158"/>
        <v>Minor Delay</v>
      </c>
      <c r="S734" s="33">
        <v>2.8554507469571853</v>
      </c>
      <c r="T734" t="s">
        <v>31</v>
      </c>
      <c r="U734" s="3">
        <v>0</v>
      </c>
      <c r="V734" s="3" t="str">
        <f t="shared" si="162"/>
        <v>Normal</v>
      </c>
      <c r="W734" s="3" t="s">
        <v>51</v>
      </c>
      <c r="X734" s="32">
        <f t="shared" si="159"/>
        <v>0.1189771144563565</v>
      </c>
      <c r="Z734" s="38">
        <f t="shared" si="163"/>
        <v>0</v>
      </c>
      <c r="AC734" s="36">
        <v>0.125</v>
      </c>
      <c r="AL734" t="str">
        <f t="shared" si="164"/>
        <v>Doctor Round Delay/Report Delay</v>
      </c>
      <c r="AM734" t="str">
        <f t="shared" si="165"/>
        <v>No</v>
      </c>
      <c r="AN734" t="str">
        <f t="shared" si="166"/>
        <v>Elective</v>
      </c>
      <c r="AO734" t="str">
        <f t="shared" si="167"/>
        <v>General Ward</v>
      </c>
    </row>
    <row r="735" spans="1:41" x14ac:dyDescent="0.3">
      <c r="A735" s="21" t="str">
        <f t="shared" si="160"/>
        <v>UHID-00734</v>
      </c>
      <c r="B735" s="18">
        <v>46</v>
      </c>
      <c r="C735" s="10" t="s">
        <v>18</v>
      </c>
      <c r="D735" s="13" t="s">
        <v>26</v>
      </c>
      <c r="E735" s="13" t="s">
        <v>5</v>
      </c>
      <c r="F735" s="15">
        <v>46174.575154224498</v>
      </c>
      <c r="G735" s="4">
        <v>46174</v>
      </c>
      <c r="H735" s="1">
        <v>46184.547975752299</v>
      </c>
      <c r="I735" s="22">
        <v>46184</v>
      </c>
      <c r="J735" s="24">
        <f t="shared" si="154"/>
        <v>46184.228782828694</v>
      </c>
      <c r="K735" s="24">
        <f t="shared" si="155"/>
        <v>0.54797575229895301</v>
      </c>
      <c r="L735" s="29">
        <f t="shared" si="161"/>
        <v>46183</v>
      </c>
      <c r="M735" s="27" t="str">
        <f t="shared" si="156"/>
        <v>Health Deterioration/TPA Approval Delay</v>
      </c>
      <c r="N735" s="31">
        <f t="shared" si="157"/>
        <v>10</v>
      </c>
      <c r="O735" s="27"/>
      <c r="Q735" s="8">
        <v>0.56848148563248024</v>
      </c>
      <c r="R735" s="8" t="str">
        <f t="shared" si="158"/>
        <v>Critical Delay</v>
      </c>
      <c r="S735" s="33">
        <v>3.6606301665352223</v>
      </c>
      <c r="T735" t="s">
        <v>31</v>
      </c>
      <c r="U735" s="3">
        <v>4</v>
      </c>
      <c r="V735" s="3" t="str">
        <f t="shared" si="162"/>
        <v>Normal</v>
      </c>
      <c r="W735" s="3" t="s">
        <v>50</v>
      </c>
      <c r="X735" s="32">
        <f t="shared" si="159"/>
        <v>0.31919292360544205</v>
      </c>
      <c r="Z735" s="38">
        <f t="shared" si="163"/>
        <v>0.19419292360544205</v>
      </c>
      <c r="AC735" s="36">
        <v>0.125</v>
      </c>
      <c r="AL735" t="str">
        <f t="shared" si="164"/>
        <v>Health Deterioration/TPA Approval Delay</v>
      </c>
      <c r="AM735" t="str">
        <f t="shared" si="165"/>
        <v>No</v>
      </c>
      <c r="AN735" t="str">
        <f t="shared" si="166"/>
        <v>Emergency</v>
      </c>
      <c r="AO735" t="str">
        <f t="shared" si="167"/>
        <v>ICU</v>
      </c>
    </row>
    <row r="736" spans="1:41" x14ac:dyDescent="0.3">
      <c r="A736" s="21" t="str">
        <f t="shared" si="160"/>
        <v>UHID-00735</v>
      </c>
      <c r="B736" s="18">
        <v>71</v>
      </c>
      <c r="C736" s="10" t="s">
        <v>18</v>
      </c>
      <c r="D736" s="13" t="s">
        <v>27</v>
      </c>
      <c r="E736" s="13" t="s">
        <v>5</v>
      </c>
      <c r="F736" s="15">
        <v>46180.023879108798</v>
      </c>
      <c r="G736" s="4">
        <v>46180</v>
      </c>
      <c r="H736" s="1">
        <v>46184.635463831</v>
      </c>
      <c r="I736" s="22">
        <v>46184</v>
      </c>
      <c r="J736" s="24">
        <f t="shared" si="154"/>
        <v>46184.554738571511</v>
      </c>
      <c r="K736" s="24">
        <f t="shared" si="155"/>
        <v>0.63546383100037929</v>
      </c>
      <c r="L736" s="29">
        <f t="shared" si="161"/>
        <v>46183</v>
      </c>
      <c r="M736" s="27" t="str">
        <f t="shared" si="156"/>
        <v>Normal</v>
      </c>
      <c r="N736" s="31">
        <f t="shared" si="157"/>
        <v>4</v>
      </c>
      <c r="O736" s="27"/>
      <c r="Q736" s="8">
        <v>1.4833221936810359E-2</v>
      </c>
      <c r="R736" s="8" t="str">
        <f t="shared" si="158"/>
        <v>On Time</v>
      </c>
      <c r="S736" s="33">
        <v>1.9374062278062683</v>
      </c>
      <c r="T736" t="s">
        <v>30</v>
      </c>
      <c r="U736" s="3">
        <v>0</v>
      </c>
      <c r="V736" s="3" t="str">
        <f t="shared" si="162"/>
        <v/>
      </c>
      <c r="W736" s="3" t="s">
        <v>51</v>
      </c>
      <c r="X736" s="32">
        <f t="shared" si="159"/>
        <v>8.0725259489554446E-2</v>
      </c>
      <c r="Z736" s="38">
        <f t="shared" si="163"/>
        <v>0</v>
      </c>
      <c r="AC736" s="36">
        <v>0.125</v>
      </c>
      <c r="AL736" t="str">
        <f t="shared" si="164"/>
        <v>Normal</v>
      </c>
      <c r="AM736" t="str">
        <f t="shared" si="165"/>
        <v>No</v>
      </c>
      <c r="AN736" t="str">
        <f t="shared" si="166"/>
        <v>Elective</v>
      </c>
      <c r="AO736" t="str">
        <f t="shared" si="167"/>
        <v>HDU</v>
      </c>
    </row>
    <row r="737" spans="1:41" x14ac:dyDescent="0.3">
      <c r="A737" s="21" t="str">
        <f t="shared" si="160"/>
        <v>UHID-00736</v>
      </c>
      <c r="B737" s="18">
        <v>63</v>
      </c>
      <c r="C737" s="10" t="s">
        <v>18</v>
      </c>
      <c r="D737" s="13" t="s">
        <v>26</v>
      </c>
      <c r="E737" s="13" t="s">
        <v>5</v>
      </c>
      <c r="F737" s="15">
        <v>46179.643624791701</v>
      </c>
      <c r="G737" s="4">
        <v>46179</v>
      </c>
      <c r="H737" s="1">
        <v>46184.735740625001</v>
      </c>
      <c r="I737" s="22">
        <v>46184</v>
      </c>
      <c r="J737" s="24">
        <f t="shared" si="154"/>
        <v>46184.522179664535</v>
      </c>
      <c r="K737" s="24">
        <f t="shared" si="155"/>
        <v>0.73574062500119908</v>
      </c>
      <c r="L737" s="29">
        <f t="shared" si="161"/>
        <v>46183</v>
      </c>
      <c r="M737" s="27" t="str">
        <f t="shared" si="156"/>
        <v>Health Deterioration/TPA Approval Delay</v>
      </c>
      <c r="N737" s="31">
        <f t="shared" si="157"/>
        <v>5</v>
      </c>
      <c r="O737" s="27"/>
      <c r="Q737" s="8">
        <v>0.70623005080288426</v>
      </c>
      <c r="R737" s="8" t="str">
        <f t="shared" si="158"/>
        <v>Critical Delay</v>
      </c>
      <c r="S737" s="33">
        <v>3.1254630511592261</v>
      </c>
      <c r="T737" t="s">
        <v>31</v>
      </c>
      <c r="U737" s="3">
        <v>2</v>
      </c>
      <c r="V737" s="3" t="str">
        <f t="shared" si="162"/>
        <v>Normal</v>
      </c>
      <c r="W737" s="3" t="s">
        <v>50</v>
      </c>
      <c r="X737" s="32">
        <f t="shared" si="159"/>
        <v>0.21356096046656603</v>
      </c>
      <c r="Z737" s="38">
        <f t="shared" si="163"/>
        <v>8.856096046656603E-2</v>
      </c>
      <c r="AC737" s="36">
        <v>0.125</v>
      </c>
      <c r="AL737" t="str">
        <f t="shared" si="164"/>
        <v>Health Deterioration/TPA Approval Delay</v>
      </c>
      <c r="AM737" t="str">
        <f t="shared" si="165"/>
        <v>No</v>
      </c>
      <c r="AN737" t="str">
        <f t="shared" si="166"/>
        <v>Emergency</v>
      </c>
      <c r="AO737" t="str">
        <f t="shared" si="167"/>
        <v>HDU</v>
      </c>
    </row>
    <row r="738" spans="1:41" x14ac:dyDescent="0.3">
      <c r="A738" s="21" t="str">
        <f t="shared" si="160"/>
        <v>UHID-00737</v>
      </c>
      <c r="B738" s="18">
        <v>60</v>
      </c>
      <c r="C738" s="10" t="s">
        <v>18</v>
      </c>
      <c r="D738" s="13" t="s">
        <v>26</v>
      </c>
      <c r="E738" s="13" t="s">
        <v>5</v>
      </c>
      <c r="F738" s="15">
        <v>46181.746876377299</v>
      </c>
      <c r="G738" s="4">
        <v>46181</v>
      </c>
      <c r="H738" s="1">
        <v>46184.731448044004</v>
      </c>
      <c r="I738" s="22">
        <v>46184</v>
      </c>
      <c r="J738" s="24">
        <f t="shared" si="154"/>
        <v>46184.467062195545</v>
      </c>
      <c r="K738" s="24">
        <f t="shared" si="155"/>
        <v>0.73144804400362773</v>
      </c>
      <c r="L738" s="29">
        <f t="shared" si="161"/>
        <v>46183</v>
      </c>
      <c r="M738" s="27" t="str">
        <f t="shared" si="156"/>
        <v>Health Deterioration/TPA Approval Delay</v>
      </c>
      <c r="N738" s="31">
        <f t="shared" si="157"/>
        <v>3</v>
      </c>
      <c r="O738" s="27"/>
      <c r="Q738" s="8">
        <v>0.69884918401544838</v>
      </c>
      <c r="R738" s="8" t="str">
        <f t="shared" si="158"/>
        <v>Critical Delay</v>
      </c>
      <c r="S738" s="33">
        <v>3.3452603630536237</v>
      </c>
      <c r="T738" t="s">
        <v>31</v>
      </c>
      <c r="U738" s="3">
        <v>3</v>
      </c>
      <c r="V738" s="3" t="str">
        <f t="shared" si="162"/>
        <v>Normal</v>
      </c>
      <c r="W738" s="3" t="s">
        <v>50</v>
      </c>
      <c r="X738" s="32">
        <f t="shared" si="159"/>
        <v>0.26438584845891455</v>
      </c>
      <c r="Z738" s="38">
        <f t="shared" si="163"/>
        <v>0.13938584845891455</v>
      </c>
      <c r="AC738" s="36">
        <v>0.125</v>
      </c>
      <c r="AL738" t="str">
        <f t="shared" si="164"/>
        <v>Health Deterioration/TPA Approval Delay</v>
      </c>
      <c r="AM738" t="str">
        <f t="shared" si="165"/>
        <v>No</v>
      </c>
      <c r="AN738" t="str">
        <f t="shared" si="166"/>
        <v>Emergency</v>
      </c>
      <c r="AO738" t="str">
        <f t="shared" si="167"/>
        <v>General Ward</v>
      </c>
    </row>
    <row r="739" spans="1:41" x14ac:dyDescent="0.3">
      <c r="A739" s="21" t="str">
        <f t="shared" si="160"/>
        <v>UHID-00738</v>
      </c>
      <c r="B739" s="18">
        <v>39</v>
      </c>
      <c r="C739" s="10" t="s">
        <v>17</v>
      </c>
      <c r="D739" s="13" t="s">
        <v>27</v>
      </c>
      <c r="E739" s="13" t="s">
        <v>5</v>
      </c>
      <c r="F739" s="15">
        <v>46182.944911342602</v>
      </c>
      <c r="G739" s="4">
        <v>46182</v>
      </c>
      <c r="H739" s="1">
        <v>46184.677821296304</v>
      </c>
      <c r="I739" s="22">
        <v>46184</v>
      </c>
      <c r="J739" s="24">
        <f t="shared" si="154"/>
        <v>46184.626451798023</v>
      </c>
      <c r="K739" s="24">
        <f t="shared" si="155"/>
        <v>0.67782129630359123</v>
      </c>
      <c r="L739" s="29">
        <f t="shared" si="161"/>
        <v>46183</v>
      </c>
      <c r="M739" s="27" t="str">
        <f t="shared" si="156"/>
        <v>Normal</v>
      </c>
      <c r="N739" s="31">
        <f t="shared" si="157"/>
        <v>2</v>
      </c>
      <c r="O739" s="27"/>
      <c r="Q739" s="8">
        <v>0.40007668429605692</v>
      </c>
      <c r="R739" s="8" t="str">
        <f t="shared" si="158"/>
        <v>On Time</v>
      </c>
      <c r="S739" s="33">
        <v>1.2328679587531215</v>
      </c>
      <c r="T739" t="s">
        <v>31</v>
      </c>
      <c r="U739" s="3">
        <v>0</v>
      </c>
      <c r="V739" s="3" t="str">
        <f t="shared" si="162"/>
        <v>Normal</v>
      </c>
      <c r="W739" s="3" t="s">
        <v>51</v>
      </c>
      <c r="X739" s="32">
        <f t="shared" si="159"/>
        <v>5.1369498280109838E-2</v>
      </c>
      <c r="Z739" s="38">
        <f t="shared" si="163"/>
        <v>0</v>
      </c>
      <c r="AC739" s="36">
        <v>0.125</v>
      </c>
      <c r="AL739" t="str">
        <f t="shared" si="164"/>
        <v>Normal</v>
      </c>
      <c r="AM739" t="str">
        <f t="shared" si="165"/>
        <v>No</v>
      </c>
      <c r="AN739" t="str">
        <f t="shared" si="166"/>
        <v>Elective</v>
      </c>
      <c r="AO739" t="str">
        <f t="shared" si="167"/>
        <v>General Ward</v>
      </c>
    </row>
    <row r="740" spans="1:41" x14ac:dyDescent="0.3">
      <c r="A740" s="21" t="str">
        <f t="shared" si="160"/>
        <v>UHID-00739</v>
      </c>
      <c r="B740" s="18">
        <v>52</v>
      </c>
      <c r="C740" s="10" t="s">
        <v>17</v>
      </c>
      <c r="D740" s="13" t="s">
        <v>28</v>
      </c>
      <c r="E740" s="13" t="s">
        <v>5</v>
      </c>
      <c r="F740" s="15">
        <v>46178.255835081</v>
      </c>
      <c r="G740" s="4">
        <v>46178</v>
      </c>
      <c r="H740" s="1">
        <v>46184.875448715298</v>
      </c>
      <c r="I740" s="22">
        <v>46184</v>
      </c>
      <c r="J740" s="24">
        <f t="shared" si="154"/>
        <v>46184.775175794122</v>
      </c>
      <c r="K740" s="24">
        <f t="shared" si="155"/>
        <v>0.87544871529826196</v>
      </c>
      <c r="L740" s="29">
        <f t="shared" si="161"/>
        <v>46183</v>
      </c>
      <c r="M740" s="27" t="str">
        <f t="shared" si="156"/>
        <v>Doctor Round Delay/Report Delay</v>
      </c>
      <c r="N740" s="31">
        <f t="shared" si="157"/>
        <v>6</v>
      </c>
      <c r="O740" s="27"/>
      <c r="Q740" s="8">
        <v>0.92937554591977367</v>
      </c>
      <c r="R740" s="8" t="str">
        <f t="shared" si="158"/>
        <v>Minor Delay</v>
      </c>
      <c r="S740" s="33">
        <v>2.4065501083020435</v>
      </c>
      <c r="T740" t="s">
        <v>31</v>
      </c>
      <c r="U740" s="3">
        <v>0</v>
      </c>
      <c r="V740" s="3" t="str">
        <f t="shared" si="162"/>
        <v>Normal</v>
      </c>
      <c r="W740" s="3" t="s">
        <v>51</v>
      </c>
      <c r="X740" s="32">
        <f t="shared" si="159"/>
        <v>0.10027292117592879</v>
      </c>
      <c r="Z740" s="38">
        <f t="shared" si="163"/>
        <v>0</v>
      </c>
      <c r="AC740" s="36">
        <v>0.125</v>
      </c>
      <c r="AL740" t="str">
        <f t="shared" si="164"/>
        <v>Doctor Round Delay/Report Delay</v>
      </c>
      <c r="AM740" t="str">
        <f t="shared" si="165"/>
        <v>No</v>
      </c>
      <c r="AN740" t="str">
        <f t="shared" si="166"/>
        <v>Emergency</v>
      </c>
      <c r="AO740" t="str">
        <f t="shared" si="167"/>
        <v>HDU</v>
      </c>
    </row>
    <row r="741" spans="1:41" x14ac:dyDescent="0.3">
      <c r="A741" s="21" t="str">
        <f t="shared" si="160"/>
        <v>UHID-00740</v>
      </c>
      <c r="B741" s="18">
        <v>74</v>
      </c>
      <c r="C741" s="10" t="s">
        <v>18</v>
      </c>
      <c r="D741" s="13" t="s">
        <v>26</v>
      </c>
      <c r="E741" s="13" t="s">
        <v>5</v>
      </c>
      <c r="F741" s="15">
        <v>46180.535404722199</v>
      </c>
      <c r="G741" s="4">
        <v>46180</v>
      </c>
      <c r="H741" s="1">
        <v>46185.249357419001</v>
      </c>
      <c r="I741" s="22">
        <v>46185</v>
      </c>
      <c r="J741" s="24">
        <f t="shared" si="154"/>
        <v>46185.099861633556</v>
      </c>
      <c r="K741" s="24">
        <f t="shared" si="155"/>
        <v>0.24935741900117137</v>
      </c>
      <c r="L741" s="29">
        <f t="shared" si="161"/>
        <v>46184</v>
      </c>
      <c r="M741" s="27" t="str">
        <f t="shared" si="156"/>
        <v>TPA Approval Delay</v>
      </c>
      <c r="N741" s="31">
        <f t="shared" si="157"/>
        <v>5</v>
      </c>
      <c r="O741" s="27"/>
      <c r="Q741" s="8">
        <v>0.77683157283544502</v>
      </c>
      <c r="R741" s="8" t="str">
        <f t="shared" si="158"/>
        <v>Major Delay</v>
      </c>
      <c r="S741" s="33">
        <v>3.5878988506210092</v>
      </c>
      <c r="T741" t="s">
        <v>31</v>
      </c>
      <c r="U741" s="3">
        <v>0</v>
      </c>
      <c r="V741" s="3" t="str">
        <f t="shared" si="162"/>
        <v>Normal</v>
      </c>
      <c r="W741" s="3" t="s">
        <v>51</v>
      </c>
      <c r="X741" s="32">
        <f t="shared" si="159"/>
        <v>0.14949578544474207</v>
      </c>
      <c r="Z741" s="38">
        <f t="shared" si="163"/>
        <v>2.4495785444742069E-2</v>
      </c>
      <c r="AC741" s="36">
        <v>0.125</v>
      </c>
      <c r="AL741" t="str">
        <f t="shared" si="164"/>
        <v>TPA Approval Delay</v>
      </c>
      <c r="AM741" t="str">
        <f t="shared" si="165"/>
        <v>No</v>
      </c>
      <c r="AN741" t="str">
        <f t="shared" si="166"/>
        <v>Elective</v>
      </c>
      <c r="AO741" t="str">
        <f t="shared" si="167"/>
        <v>HDU</v>
      </c>
    </row>
    <row r="742" spans="1:41" x14ac:dyDescent="0.3">
      <c r="A742" s="21" t="str">
        <f t="shared" si="160"/>
        <v>UHID-00741</v>
      </c>
      <c r="B742" s="18">
        <v>57</v>
      </c>
      <c r="C742" s="10" t="s">
        <v>17</v>
      </c>
      <c r="D742" s="13" t="s">
        <v>27</v>
      </c>
      <c r="E742" s="13" t="s">
        <v>5</v>
      </c>
      <c r="F742" s="15">
        <v>46182.765297291699</v>
      </c>
      <c r="G742" s="4">
        <v>46182</v>
      </c>
      <c r="H742" s="1">
        <v>46185.729315439799</v>
      </c>
      <c r="I742" s="22">
        <v>46185</v>
      </c>
      <c r="J742" s="24">
        <f t="shared" si="154"/>
        <v>46185.537077200308</v>
      </c>
      <c r="K742" s="24">
        <f t="shared" si="155"/>
        <v>0.72931543979939306</v>
      </c>
      <c r="L742" s="29">
        <f t="shared" si="161"/>
        <v>46184</v>
      </c>
      <c r="M742" s="27" t="str">
        <f t="shared" si="156"/>
        <v>Medication Change</v>
      </c>
      <c r="N742" s="31">
        <f t="shared" si="157"/>
        <v>3</v>
      </c>
      <c r="O742" s="27"/>
      <c r="Q742" s="8">
        <v>0.13657056086207231</v>
      </c>
      <c r="R742" s="8" t="str">
        <f t="shared" si="158"/>
        <v>Major Delay</v>
      </c>
      <c r="S742" s="33">
        <v>1.613717747819911</v>
      </c>
      <c r="T742" t="s">
        <v>30</v>
      </c>
      <c r="U742" s="3">
        <v>3</v>
      </c>
      <c r="V742" s="3" t="str">
        <f t="shared" si="162"/>
        <v/>
      </c>
      <c r="W742" s="3" t="s">
        <v>50</v>
      </c>
      <c r="X742" s="32">
        <f t="shared" si="159"/>
        <v>0.19223823949141661</v>
      </c>
      <c r="Z742" s="38">
        <f t="shared" si="163"/>
        <v>6.7238239491416607E-2</v>
      </c>
      <c r="AC742" s="36">
        <v>0.125</v>
      </c>
      <c r="AL742" t="str">
        <f t="shared" si="164"/>
        <v>Medication Change</v>
      </c>
      <c r="AM742" t="str">
        <f t="shared" si="165"/>
        <v>No</v>
      </c>
      <c r="AN742" t="str">
        <f t="shared" si="166"/>
        <v>Elective</v>
      </c>
      <c r="AO742" t="str">
        <f t="shared" si="167"/>
        <v>General Ward</v>
      </c>
    </row>
    <row r="743" spans="1:41" x14ac:dyDescent="0.3">
      <c r="A743" s="21" t="str">
        <f t="shared" si="160"/>
        <v>UHID-00742</v>
      </c>
      <c r="B743" s="18">
        <v>28</v>
      </c>
      <c r="C743" s="10" t="s">
        <v>17</v>
      </c>
      <c r="D743" s="13" t="s">
        <v>27</v>
      </c>
      <c r="E743" s="13" t="s">
        <v>5</v>
      </c>
      <c r="F743" s="15">
        <v>46176.988446539399</v>
      </c>
      <c r="G743" s="4">
        <v>46176</v>
      </c>
      <c r="H743" s="1">
        <v>46185.723702106501</v>
      </c>
      <c r="I743" s="22">
        <v>46185</v>
      </c>
      <c r="J743" s="24">
        <f t="shared" si="154"/>
        <v>46185.642707008396</v>
      </c>
      <c r="K743" s="24">
        <f t="shared" si="155"/>
        <v>0.72370210650115041</v>
      </c>
      <c r="L743" s="29">
        <f t="shared" si="161"/>
        <v>46184</v>
      </c>
      <c r="M743" s="27" t="str">
        <f t="shared" si="156"/>
        <v>Normal</v>
      </c>
      <c r="N743" s="31">
        <f t="shared" si="157"/>
        <v>9</v>
      </c>
      <c r="O743" s="27"/>
      <c r="Q743" s="8">
        <v>0.49691582659629963</v>
      </c>
      <c r="R743" s="8" t="str">
        <f t="shared" si="158"/>
        <v>On Time</v>
      </c>
      <c r="S743" s="33">
        <v>1.9438823545775996</v>
      </c>
      <c r="T743" t="s">
        <v>31</v>
      </c>
      <c r="U743" s="3">
        <v>0</v>
      </c>
      <c r="V743" s="3" t="str">
        <f t="shared" si="162"/>
        <v>Normal</v>
      </c>
      <c r="W743" s="3" t="s">
        <v>51</v>
      </c>
      <c r="X743" s="32">
        <f t="shared" si="159"/>
        <v>8.0995098105631769E-2</v>
      </c>
      <c r="Z743" s="38">
        <f t="shared" si="163"/>
        <v>0</v>
      </c>
      <c r="AC743" s="36">
        <v>0.125</v>
      </c>
      <c r="AL743" t="str">
        <f t="shared" si="164"/>
        <v>Normal</v>
      </c>
      <c r="AM743" t="str">
        <f t="shared" si="165"/>
        <v>No</v>
      </c>
      <c r="AN743" t="str">
        <f t="shared" si="166"/>
        <v>Emergency</v>
      </c>
      <c r="AO743" t="str">
        <f t="shared" si="167"/>
        <v>ICU</v>
      </c>
    </row>
    <row r="744" spans="1:41" x14ac:dyDescent="0.3">
      <c r="A744" s="21" t="str">
        <f t="shared" si="160"/>
        <v>UHID-00743</v>
      </c>
      <c r="B744" s="18">
        <v>63</v>
      </c>
      <c r="C744" s="10" t="s">
        <v>17</v>
      </c>
      <c r="D744" s="13" t="s">
        <v>27</v>
      </c>
      <c r="E744" s="13" t="s">
        <v>5</v>
      </c>
      <c r="F744" s="15">
        <v>46177.604929016197</v>
      </c>
      <c r="G744" s="4">
        <v>46177</v>
      </c>
      <c r="H744" s="1">
        <v>46185.792479189797</v>
      </c>
      <c r="I744" s="22">
        <v>46185</v>
      </c>
      <c r="J744" s="24">
        <f t="shared" si="154"/>
        <v>46185.710321761238</v>
      </c>
      <c r="K744" s="24">
        <f t="shared" si="155"/>
        <v>0.79247918979672249</v>
      </c>
      <c r="L744" s="29">
        <f t="shared" si="161"/>
        <v>46184</v>
      </c>
      <c r="M744" s="27" t="str">
        <f t="shared" si="156"/>
        <v>Normal</v>
      </c>
      <c r="N744" s="31">
        <f t="shared" si="157"/>
        <v>8</v>
      </c>
      <c r="O744" s="27"/>
      <c r="Q744" s="8">
        <v>0.22852995515441432</v>
      </c>
      <c r="R744" s="8" t="str">
        <f t="shared" si="158"/>
        <v>On Time</v>
      </c>
      <c r="S744" s="33">
        <v>1.9717782854648065</v>
      </c>
      <c r="T744" t="s">
        <v>30</v>
      </c>
      <c r="U744" s="3">
        <v>0</v>
      </c>
      <c r="V744" s="3" t="str">
        <f t="shared" si="162"/>
        <v/>
      </c>
      <c r="W744" s="3" t="s">
        <v>51</v>
      </c>
      <c r="X744" s="32">
        <f t="shared" si="159"/>
        <v>8.2157428558275569E-2</v>
      </c>
      <c r="Z744" s="38">
        <f t="shared" si="163"/>
        <v>0</v>
      </c>
      <c r="AC744" s="36">
        <v>0.125</v>
      </c>
      <c r="AL744" t="str">
        <f t="shared" si="164"/>
        <v>Normal</v>
      </c>
      <c r="AM744" t="str">
        <f t="shared" si="165"/>
        <v>No</v>
      </c>
      <c r="AN744" t="str">
        <f t="shared" si="166"/>
        <v>Emergency</v>
      </c>
      <c r="AO744" t="str">
        <f t="shared" si="167"/>
        <v>ICU</v>
      </c>
    </row>
    <row r="745" spans="1:41" x14ac:dyDescent="0.3">
      <c r="A745" s="21" t="str">
        <f t="shared" si="160"/>
        <v>UHID-00744</v>
      </c>
      <c r="B745" s="18">
        <v>63</v>
      </c>
      <c r="C745" s="10" t="s">
        <v>17</v>
      </c>
      <c r="D745" s="13" t="s">
        <v>28</v>
      </c>
      <c r="E745" s="13" t="s">
        <v>5</v>
      </c>
      <c r="F745" s="15">
        <v>46181.592338761599</v>
      </c>
      <c r="G745" s="4">
        <v>46181</v>
      </c>
      <c r="H745" s="1">
        <v>46186.578666886599</v>
      </c>
      <c r="I745" s="22">
        <v>46186</v>
      </c>
      <c r="J745" s="24">
        <f t="shared" si="154"/>
        <v>46186.308375794244</v>
      </c>
      <c r="K745" s="24">
        <f t="shared" si="155"/>
        <v>0.57866688659851206</v>
      </c>
      <c r="L745" s="29">
        <f t="shared" si="161"/>
        <v>46185</v>
      </c>
      <c r="M745" s="27" t="str">
        <f t="shared" si="156"/>
        <v>Health Deterioration</v>
      </c>
      <c r="N745" s="31">
        <f t="shared" si="157"/>
        <v>5</v>
      </c>
      <c r="O745" s="27"/>
      <c r="Q745" s="8">
        <v>0.94172046695740308</v>
      </c>
      <c r="R745" s="8" t="str">
        <f t="shared" si="158"/>
        <v>Critical Delay</v>
      </c>
      <c r="S745" s="33">
        <v>2.4869862165198717</v>
      </c>
      <c r="T745" t="s">
        <v>31</v>
      </c>
      <c r="U745" s="3">
        <v>4</v>
      </c>
      <c r="V745" s="3" t="str">
        <f t="shared" si="162"/>
        <v>Normal</v>
      </c>
      <c r="W745" s="3" t="s">
        <v>50</v>
      </c>
      <c r="X745" s="32">
        <f t="shared" si="159"/>
        <v>0.27029109235445503</v>
      </c>
      <c r="Z745" s="38">
        <f t="shared" si="163"/>
        <v>0.14529109235445503</v>
      </c>
      <c r="AC745" s="36">
        <v>0.125</v>
      </c>
      <c r="AL745" t="str">
        <f t="shared" si="164"/>
        <v>Health Deterioration</v>
      </c>
      <c r="AM745" t="str">
        <f t="shared" si="165"/>
        <v>No</v>
      </c>
      <c r="AN745" t="str">
        <f t="shared" si="166"/>
        <v>Emergency</v>
      </c>
      <c r="AO745" t="str">
        <f t="shared" si="167"/>
        <v>HDU</v>
      </c>
    </row>
    <row r="746" spans="1:41" x14ac:dyDescent="0.3">
      <c r="A746" s="21" t="str">
        <f t="shared" si="160"/>
        <v>UHID-00745</v>
      </c>
      <c r="B746" s="18">
        <v>61</v>
      </c>
      <c r="C746" s="10" t="s">
        <v>18</v>
      </c>
      <c r="D746" s="13" t="s">
        <v>27</v>
      </c>
      <c r="E746" s="13" t="s">
        <v>5</v>
      </c>
      <c r="F746" s="15">
        <v>46183.724520868098</v>
      </c>
      <c r="G746" s="4">
        <v>46183</v>
      </c>
      <c r="H746" s="1">
        <v>46186.675981296299</v>
      </c>
      <c r="I746" s="22">
        <v>46186</v>
      </c>
      <c r="J746" s="24">
        <f t="shared" si="154"/>
        <v>46186.489763455465</v>
      </c>
      <c r="K746" s="24">
        <f t="shared" si="155"/>
        <v>0.67598129629914183</v>
      </c>
      <c r="L746" s="29">
        <f t="shared" si="161"/>
        <v>46185</v>
      </c>
      <c r="M746" s="27" t="str">
        <f t="shared" si="156"/>
        <v>Medication Change</v>
      </c>
      <c r="N746" s="31">
        <f t="shared" si="157"/>
        <v>3</v>
      </c>
      <c r="O746" s="27"/>
      <c r="Q746" s="8">
        <v>0.36194909874318104</v>
      </c>
      <c r="R746" s="8" t="str">
        <f t="shared" si="158"/>
        <v>Major Delay</v>
      </c>
      <c r="S746" s="33">
        <v>1.4692281800622955</v>
      </c>
      <c r="T746" t="s">
        <v>31</v>
      </c>
      <c r="U746" s="3">
        <v>3</v>
      </c>
      <c r="V746" s="3" t="str">
        <f t="shared" si="162"/>
        <v>Normal</v>
      </c>
      <c r="W746" s="3" t="s">
        <v>50</v>
      </c>
      <c r="X746" s="32">
        <f t="shared" si="159"/>
        <v>0.18621784083370585</v>
      </c>
      <c r="Z746" s="38">
        <f t="shared" si="163"/>
        <v>6.121784083370585E-2</v>
      </c>
      <c r="AC746" s="36">
        <v>0.125</v>
      </c>
      <c r="AL746" t="str">
        <f t="shared" si="164"/>
        <v>Medication Change</v>
      </c>
      <c r="AM746" t="str">
        <f t="shared" si="165"/>
        <v>No</v>
      </c>
      <c r="AN746" t="str">
        <f t="shared" si="166"/>
        <v>Elective</v>
      </c>
      <c r="AO746" t="str">
        <f t="shared" si="167"/>
        <v>General Ward</v>
      </c>
    </row>
    <row r="747" spans="1:41" x14ac:dyDescent="0.3">
      <c r="A747" s="21" t="str">
        <f t="shared" si="160"/>
        <v>UHID-00746</v>
      </c>
      <c r="B747" s="18">
        <v>63</v>
      </c>
      <c r="C747" s="10" t="s">
        <v>18</v>
      </c>
      <c r="D747" s="13" t="s">
        <v>28</v>
      </c>
      <c r="E747" s="13" t="s">
        <v>5</v>
      </c>
      <c r="F747" s="15">
        <v>46184.954044247701</v>
      </c>
      <c r="G747" s="4">
        <v>46184</v>
      </c>
      <c r="H747" s="1">
        <v>46186.780804050897</v>
      </c>
      <c r="I747" s="22">
        <v>46186</v>
      </c>
      <c r="J747" s="24">
        <f t="shared" si="154"/>
        <v>46186.680789483522</v>
      </c>
      <c r="K747" s="24">
        <f t="shared" si="155"/>
        <v>0.78080405089713167</v>
      </c>
      <c r="L747" s="29">
        <f t="shared" si="161"/>
        <v>46185</v>
      </c>
      <c r="M747" s="27" t="str">
        <f t="shared" si="156"/>
        <v>Doctor Round Delay/Report Delay</v>
      </c>
      <c r="N747" s="31">
        <f t="shared" si="157"/>
        <v>2</v>
      </c>
      <c r="O747" s="27"/>
      <c r="Q747" s="8">
        <v>0.97142728857008254</v>
      </c>
      <c r="R747" s="8" t="str">
        <f t="shared" si="158"/>
        <v>Minor Delay</v>
      </c>
      <c r="S747" s="33">
        <v>2.4003496169542906</v>
      </c>
      <c r="T747" t="s">
        <v>31</v>
      </c>
      <c r="U747" s="3">
        <v>0</v>
      </c>
      <c r="V747" s="3" t="str">
        <f t="shared" si="162"/>
        <v>Normal</v>
      </c>
      <c r="W747" s="3" t="s">
        <v>51</v>
      </c>
      <c r="X747" s="32">
        <f t="shared" si="159"/>
        <v>0.10001456737518311</v>
      </c>
      <c r="Z747" s="38">
        <f t="shared" si="163"/>
        <v>0</v>
      </c>
      <c r="AC747" s="36">
        <v>0.125</v>
      </c>
      <c r="AL747" t="str">
        <f t="shared" si="164"/>
        <v>Doctor Round Delay/Report Delay</v>
      </c>
      <c r="AM747" t="str">
        <f t="shared" si="165"/>
        <v>No</v>
      </c>
      <c r="AN747" t="str">
        <f t="shared" si="166"/>
        <v>Elective</v>
      </c>
      <c r="AO747" t="str">
        <f t="shared" si="167"/>
        <v>General Ward</v>
      </c>
    </row>
    <row r="748" spans="1:41" x14ac:dyDescent="0.3">
      <c r="A748" s="21" t="str">
        <f t="shared" si="160"/>
        <v>UHID-00747</v>
      </c>
      <c r="B748" s="18">
        <v>53</v>
      </c>
      <c r="C748" s="10" t="s">
        <v>18</v>
      </c>
      <c r="D748" s="13" t="s">
        <v>26</v>
      </c>
      <c r="E748" s="13" t="s">
        <v>5</v>
      </c>
      <c r="F748" s="15">
        <v>46183.977643206003</v>
      </c>
      <c r="G748" s="4">
        <v>46183</v>
      </c>
      <c r="H748" s="1">
        <v>46186.835454722197</v>
      </c>
      <c r="I748" s="22">
        <v>46186</v>
      </c>
      <c r="J748" s="24">
        <f t="shared" si="154"/>
        <v>46186.582936630337</v>
      </c>
      <c r="K748" s="24">
        <f t="shared" si="155"/>
        <v>0.83545472219702788</v>
      </c>
      <c r="L748" s="29">
        <f t="shared" si="161"/>
        <v>46185</v>
      </c>
      <c r="M748" s="27" t="str">
        <f t="shared" si="156"/>
        <v>Health Deterioration/TPA Approval Delay</v>
      </c>
      <c r="N748" s="31">
        <f t="shared" si="157"/>
        <v>3</v>
      </c>
      <c r="O748" s="27"/>
      <c r="Q748" s="8">
        <v>0.66496682540595453</v>
      </c>
      <c r="R748" s="8" t="str">
        <f t="shared" si="158"/>
        <v>Critical Delay</v>
      </c>
      <c r="S748" s="33">
        <v>3.06043420463745</v>
      </c>
      <c r="T748" t="s">
        <v>31</v>
      </c>
      <c r="U748" s="3">
        <v>3</v>
      </c>
      <c r="V748" s="3" t="str">
        <f t="shared" si="162"/>
        <v>Normal</v>
      </c>
      <c r="W748" s="3" t="s">
        <v>50</v>
      </c>
      <c r="X748" s="32">
        <f t="shared" si="159"/>
        <v>0.25251809186011087</v>
      </c>
      <c r="Z748" s="38">
        <f t="shared" si="163"/>
        <v>0.12751809186011087</v>
      </c>
      <c r="AC748" s="36">
        <v>0.125</v>
      </c>
      <c r="AL748" t="str">
        <f t="shared" si="164"/>
        <v>Health Deterioration/TPA Approval Delay</v>
      </c>
      <c r="AM748" t="str">
        <f t="shared" si="165"/>
        <v>No</v>
      </c>
      <c r="AN748" t="str">
        <f t="shared" si="166"/>
        <v>Emergency</v>
      </c>
      <c r="AO748" t="str">
        <f t="shared" si="167"/>
        <v>General Ward</v>
      </c>
    </row>
    <row r="749" spans="1:41" x14ac:dyDescent="0.3">
      <c r="A749" s="21" t="str">
        <f t="shared" si="160"/>
        <v>UHID-00748</v>
      </c>
      <c r="B749" s="18">
        <v>69</v>
      </c>
      <c r="C749" s="10" t="s">
        <v>17</v>
      </c>
      <c r="D749" s="13" t="s">
        <v>27</v>
      </c>
      <c r="E749" s="13" t="s">
        <v>5</v>
      </c>
      <c r="F749" s="15">
        <v>46175.859955046297</v>
      </c>
      <c r="G749" s="4">
        <v>46175</v>
      </c>
      <c r="H749" s="1">
        <v>46187.491077199098</v>
      </c>
      <c r="I749" s="22">
        <v>46187</v>
      </c>
      <c r="J749" s="24">
        <f t="shared" si="154"/>
        <v>46187.436652629178</v>
      </c>
      <c r="K749" s="24">
        <f t="shared" si="155"/>
        <v>0.49107719909807201</v>
      </c>
      <c r="L749" s="29">
        <f t="shared" si="161"/>
        <v>46186</v>
      </c>
      <c r="M749" s="27" t="str">
        <f t="shared" si="156"/>
        <v>Normal</v>
      </c>
      <c r="N749" s="31">
        <f t="shared" si="157"/>
        <v>12</v>
      </c>
      <c r="O749" s="27"/>
      <c r="Q749" s="8">
        <v>3.333404112589744E-2</v>
      </c>
      <c r="R749" s="8" t="str">
        <f t="shared" si="158"/>
        <v>On Time</v>
      </c>
      <c r="S749" s="33">
        <v>1.3061896781137996</v>
      </c>
      <c r="T749" t="s">
        <v>30</v>
      </c>
      <c r="U749" s="3">
        <v>0</v>
      </c>
      <c r="V749" s="3" t="str">
        <f t="shared" si="162"/>
        <v/>
      </c>
      <c r="W749" s="3" t="s">
        <v>51</v>
      </c>
      <c r="X749" s="32">
        <f t="shared" si="159"/>
        <v>5.442456992022926E-2</v>
      </c>
      <c r="Z749" s="38">
        <f t="shared" si="163"/>
        <v>0</v>
      </c>
      <c r="AC749" s="36">
        <v>0.125</v>
      </c>
      <c r="AL749" t="str">
        <f t="shared" si="164"/>
        <v>Normal</v>
      </c>
      <c r="AM749" t="str">
        <f t="shared" si="165"/>
        <v>Yes</v>
      </c>
      <c r="AN749" t="str">
        <f t="shared" si="166"/>
        <v>Emergency</v>
      </c>
      <c r="AO749" t="str">
        <f t="shared" si="167"/>
        <v>ICU</v>
      </c>
    </row>
    <row r="750" spans="1:41" x14ac:dyDescent="0.3">
      <c r="A750" s="21" t="str">
        <f t="shared" si="160"/>
        <v>UHID-00749</v>
      </c>
      <c r="B750" s="18">
        <v>69</v>
      </c>
      <c r="C750" s="10" t="s">
        <v>18</v>
      </c>
      <c r="D750" s="13" t="s">
        <v>27</v>
      </c>
      <c r="E750" s="13" t="s">
        <v>5</v>
      </c>
      <c r="F750" s="15">
        <v>46182.035736921302</v>
      </c>
      <c r="G750" s="4">
        <v>46182</v>
      </c>
      <c r="H750" s="1">
        <v>46187.726498854201</v>
      </c>
      <c r="I750" s="22">
        <v>46187</v>
      </c>
      <c r="J750" s="24">
        <f t="shared" si="154"/>
        <v>46187.670249227565</v>
      </c>
      <c r="K750" s="24">
        <f t="shared" si="155"/>
        <v>0.7264988542010542</v>
      </c>
      <c r="L750" s="29">
        <f t="shared" si="161"/>
        <v>46186</v>
      </c>
      <c r="M750" s="27" t="str">
        <f t="shared" si="156"/>
        <v>Normal</v>
      </c>
      <c r="N750" s="31">
        <f t="shared" si="157"/>
        <v>5</v>
      </c>
      <c r="O750" s="27"/>
      <c r="Q750" s="8">
        <v>0.32068773105869519</v>
      </c>
      <c r="R750" s="8" t="str">
        <f t="shared" si="158"/>
        <v>On Time</v>
      </c>
      <c r="S750" s="33">
        <v>1.349991039313823</v>
      </c>
      <c r="T750" t="s">
        <v>30</v>
      </c>
      <c r="U750" s="3">
        <v>0</v>
      </c>
      <c r="V750" s="3" t="str">
        <f t="shared" si="162"/>
        <v/>
      </c>
      <c r="W750" s="3" t="s">
        <v>51</v>
      </c>
      <c r="X750" s="32">
        <f t="shared" si="159"/>
        <v>5.624962663569022E-2</v>
      </c>
      <c r="Z750" s="38">
        <f t="shared" si="163"/>
        <v>0</v>
      </c>
      <c r="AC750" s="36">
        <v>0.125</v>
      </c>
      <c r="AL750" t="str">
        <f t="shared" si="164"/>
        <v>Normal</v>
      </c>
      <c r="AM750" t="str">
        <f t="shared" si="165"/>
        <v>No</v>
      </c>
      <c r="AN750" t="str">
        <f t="shared" si="166"/>
        <v>Elective</v>
      </c>
      <c r="AO750" t="str">
        <f t="shared" si="167"/>
        <v>HDU</v>
      </c>
    </row>
    <row r="751" spans="1:41" x14ac:dyDescent="0.3">
      <c r="A751" s="21" t="str">
        <f t="shared" si="160"/>
        <v>UHID-00750</v>
      </c>
      <c r="B751" s="18">
        <v>43</v>
      </c>
      <c r="C751" s="10" t="s">
        <v>18</v>
      </c>
      <c r="D751" s="13" t="s">
        <v>28</v>
      </c>
      <c r="E751" s="13" t="s">
        <v>5</v>
      </c>
      <c r="F751" s="15">
        <v>46185.059305034702</v>
      </c>
      <c r="G751" s="4">
        <v>46185</v>
      </c>
      <c r="H751" s="1">
        <v>46187.639213645802</v>
      </c>
      <c r="I751" s="22">
        <v>46187</v>
      </c>
      <c r="J751" s="24">
        <f t="shared" si="154"/>
        <v>46187.523774313704</v>
      </c>
      <c r="K751" s="24">
        <f t="shared" si="155"/>
        <v>0.63921364580164663</v>
      </c>
      <c r="L751" s="29">
        <f t="shared" si="161"/>
        <v>46186</v>
      </c>
      <c r="M751" s="27" t="str">
        <f t="shared" si="156"/>
        <v>Doctor Round Delay/Report Delay</v>
      </c>
      <c r="N751" s="31">
        <f t="shared" si="157"/>
        <v>2</v>
      </c>
      <c r="O751" s="27"/>
      <c r="Q751" s="8">
        <v>0.99037756823042933</v>
      </c>
      <c r="R751" s="8" t="str">
        <f t="shared" si="158"/>
        <v>Minor Delay</v>
      </c>
      <c r="S751" s="33">
        <v>2.7705439704078616</v>
      </c>
      <c r="T751" t="s">
        <v>31</v>
      </c>
      <c r="U751" s="3">
        <v>0</v>
      </c>
      <c r="V751" s="3" t="str">
        <f t="shared" si="162"/>
        <v>Normal</v>
      </c>
      <c r="W751" s="3" t="s">
        <v>51</v>
      </c>
      <c r="X751" s="32">
        <f t="shared" si="159"/>
        <v>0.11543933209759416</v>
      </c>
      <c r="Z751" s="38">
        <f t="shared" si="163"/>
        <v>0</v>
      </c>
      <c r="AC751" s="36">
        <v>0.125</v>
      </c>
      <c r="AL751" t="str">
        <f t="shared" si="164"/>
        <v>Doctor Round Delay/Report Delay</v>
      </c>
      <c r="AM751" t="str">
        <f t="shared" si="165"/>
        <v>No</v>
      </c>
      <c r="AN751" t="str">
        <f t="shared" si="166"/>
        <v>Elective</v>
      </c>
      <c r="AO751" t="str">
        <f t="shared" si="167"/>
        <v>General Ward</v>
      </c>
    </row>
    <row r="752" spans="1:41" x14ac:dyDescent="0.3">
      <c r="A752" s="21" t="str">
        <f t="shared" si="160"/>
        <v>UHID-00751</v>
      </c>
      <c r="B752" s="18">
        <v>81</v>
      </c>
      <c r="C752" s="10" t="s">
        <v>17</v>
      </c>
      <c r="D752" s="13" t="s">
        <v>26</v>
      </c>
      <c r="E752" s="13" t="s">
        <v>5</v>
      </c>
      <c r="F752" s="15">
        <v>46186.144311423603</v>
      </c>
      <c r="G752" s="4">
        <v>46186</v>
      </c>
      <c r="H752" s="1">
        <v>46187.809857592598</v>
      </c>
      <c r="I752" s="22">
        <v>46187</v>
      </c>
      <c r="J752" s="24">
        <f t="shared" si="154"/>
        <v>46187.670053846668</v>
      </c>
      <c r="K752" s="24">
        <f t="shared" si="155"/>
        <v>0.80985759259783663</v>
      </c>
      <c r="L752" s="29">
        <f t="shared" si="161"/>
        <v>46186</v>
      </c>
      <c r="M752" s="27" t="str">
        <f t="shared" si="156"/>
        <v>TPA Approval Delay</v>
      </c>
      <c r="N752" s="31">
        <f t="shared" si="157"/>
        <v>1</v>
      </c>
      <c r="O752" s="27"/>
      <c r="Q752" s="8">
        <v>0.65500892176379433</v>
      </c>
      <c r="R752" s="8" t="str">
        <f t="shared" si="158"/>
        <v>Major Delay</v>
      </c>
      <c r="S752" s="33">
        <v>3.3552899023173568</v>
      </c>
      <c r="T752" t="s">
        <v>31</v>
      </c>
      <c r="U752" s="3">
        <v>0</v>
      </c>
      <c r="V752" s="3" t="str">
        <f t="shared" si="162"/>
        <v>Normal</v>
      </c>
      <c r="W752" s="3" t="s">
        <v>51</v>
      </c>
      <c r="X752" s="32">
        <f t="shared" si="159"/>
        <v>0.1398037459293846</v>
      </c>
      <c r="Z752" s="38">
        <f t="shared" si="163"/>
        <v>1.4803745929384604E-2</v>
      </c>
      <c r="AC752" s="36">
        <v>0.125</v>
      </c>
      <c r="AL752" t="str">
        <f t="shared" si="164"/>
        <v>TPA Approval Delay</v>
      </c>
      <c r="AM752" t="str">
        <f t="shared" si="165"/>
        <v>No</v>
      </c>
      <c r="AN752" t="str">
        <f t="shared" si="166"/>
        <v>Elective</v>
      </c>
      <c r="AO752" t="str">
        <f t="shared" si="167"/>
        <v>General Ward</v>
      </c>
    </row>
    <row r="753" spans="1:41" x14ac:dyDescent="0.3">
      <c r="A753" s="21" t="str">
        <f t="shared" si="160"/>
        <v>UHID-00752</v>
      </c>
      <c r="B753" s="18">
        <v>54</v>
      </c>
      <c r="C753" s="10" t="s">
        <v>18</v>
      </c>
      <c r="D753" s="13" t="s">
        <v>27</v>
      </c>
      <c r="E753" s="13" t="s">
        <v>5</v>
      </c>
      <c r="F753" s="15">
        <v>46182.718925567096</v>
      </c>
      <c r="G753" s="4">
        <v>46182</v>
      </c>
      <c r="H753" s="1">
        <v>46188.720181678204</v>
      </c>
      <c r="I753" s="22">
        <v>46188</v>
      </c>
      <c r="J753" s="24">
        <f t="shared" si="154"/>
        <v>46188.663998819211</v>
      </c>
      <c r="K753" s="24">
        <f t="shared" si="155"/>
        <v>0.72018167820351664</v>
      </c>
      <c r="L753" s="29">
        <f t="shared" si="161"/>
        <v>46187</v>
      </c>
      <c r="M753" s="27" t="str">
        <f t="shared" si="156"/>
        <v>Normal</v>
      </c>
      <c r="N753" s="31">
        <f t="shared" si="157"/>
        <v>6</v>
      </c>
      <c r="O753" s="27"/>
      <c r="Q753" s="8">
        <v>0.10408645093972013</v>
      </c>
      <c r="R753" s="8" t="str">
        <f t="shared" si="158"/>
        <v>On Time</v>
      </c>
      <c r="S753" s="33">
        <v>1.3483886158960208</v>
      </c>
      <c r="T753" t="s">
        <v>30</v>
      </c>
      <c r="U753" s="3">
        <v>0</v>
      </c>
      <c r="V753" s="3" t="str">
        <f t="shared" si="162"/>
        <v/>
      </c>
      <c r="W753" s="3" t="s">
        <v>51</v>
      </c>
      <c r="X753" s="32">
        <f t="shared" si="159"/>
        <v>5.6182858992542606E-2</v>
      </c>
      <c r="Z753" s="38">
        <f t="shared" si="163"/>
        <v>0</v>
      </c>
      <c r="AC753" s="36">
        <v>0.125</v>
      </c>
      <c r="AL753" t="str">
        <f t="shared" si="164"/>
        <v>Normal</v>
      </c>
      <c r="AM753" t="str">
        <f t="shared" si="165"/>
        <v>No</v>
      </c>
      <c r="AN753" t="str">
        <f t="shared" si="166"/>
        <v>Elective</v>
      </c>
      <c r="AO753" t="str">
        <f t="shared" si="167"/>
        <v>HDU</v>
      </c>
    </row>
    <row r="754" spans="1:41" x14ac:dyDescent="0.3">
      <c r="A754" s="21" t="str">
        <f t="shared" si="160"/>
        <v>UHID-00753</v>
      </c>
      <c r="B754" s="18">
        <v>70</v>
      </c>
      <c r="C754" s="10" t="s">
        <v>17</v>
      </c>
      <c r="D754" s="13" t="s">
        <v>27</v>
      </c>
      <c r="E754" s="13" t="s">
        <v>5</v>
      </c>
      <c r="F754" s="15">
        <v>46185.9737172569</v>
      </c>
      <c r="G754" s="4">
        <v>46185</v>
      </c>
      <c r="H754" s="1">
        <v>46187.993055555598</v>
      </c>
      <c r="I754" s="22">
        <v>46187</v>
      </c>
      <c r="J754" s="24">
        <f t="shared" si="154"/>
        <v>46187.66994270897</v>
      </c>
      <c r="K754" s="24">
        <f t="shared" si="155"/>
        <v>0.99305555559840286</v>
      </c>
      <c r="L754" s="29">
        <f t="shared" si="161"/>
        <v>46186</v>
      </c>
      <c r="M754" s="27" t="str">
        <f t="shared" si="156"/>
        <v>Health Deterioration</v>
      </c>
      <c r="N754" s="31">
        <f t="shared" si="157"/>
        <v>2</v>
      </c>
      <c r="O754" s="27"/>
      <c r="Q754" s="8">
        <v>0.25835773112303884</v>
      </c>
      <c r="R754" s="8" t="str">
        <f t="shared" si="158"/>
        <v>Critical Delay</v>
      </c>
      <c r="S754" s="33">
        <v>1.75470831913625</v>
      </c>
      <c r="T754" t="s">
        <v>30</v>
      </c>
      <c r="U754" s="3">
        <v>6</v>
      </c>
      <c r="V754" s="3" t="str">
        <f t="shared" si="162"/>
        <v/>
      </c>
      <c r="W754" s="3" t="s">
        <v>52</v>
      </c>
      <c r="X754" s="32">
        <f t="shared" si="159"/>
        <v>0.32311284662864637</v>
      </c>
      <c r="Z754" s="38">
        <f t="shared" si="163"/>
        <v>0.19811284662864637</v>
      </c>
      <c r="AC754" s="36">
        <v>0.125</v>
      </c>
      <c r="AL754" t="str">
        <f t="shared" si="164"/>
        <v>Health Deterioration</v>
      </c>
      <c r="AM754" t="str">
        <f t="shared" si="165"/>
        <v>Yes</v>
      </c>
      <c r="AN754" t="str">
        <f t="shared" si="166"/>
        <v>Emergency</v>
      </c>
      <c r="AO754" t="str">
        <f t="shared" si="167"/>
        <v>General Ward</v>
      </c>
    </row>
    <row r="755" spans="1:41" x14ac:dyDescent="0.3">
      <c r="A755" s="21" t="str">
        <f t="shared" si="160"/>
        <v>UHID-00754</v>
      </c>
      <c r="B755" s="18">
        <v>71</v>
      </c>
      <c r="C755" s="10" t="s">
        <v>17</v>
      </c>
      <c r="D755" s="13" t="s">
        <v>27</v>
      </c>
      <c r="E755" s="13" t="s">
        <v>5</v>
      </c>
      <c r="F755" s="15">
        <v>46176.806727534698</v>
      </c>
      <c r="G755" s="4">
        <v>46176</v>
      </c>
      <c r="H755" s="1">
        <v>46188.636897476797</v>
      </c>
      <c r="I755" s="22">
        <v>46188</v>
      </c>
      <c r="J755" s="24">
        <f t="shared" si="154"/>
        <v>46188.589020788801</v>
      </c>
      <c r="K755" s="24">
        <f t="shared" si="155"/>
        <v>0.63689747679745778</v>
      </c>
      <c r="L755" s="29">
        <f t="shared" si="161"/>
        <v>46187</v>
      </c>
      <c r="M755" s="27" t="str">
        <f t="shared" si="156"/>
        <v>Normal</v>
      </c>
      <c r="N755" s="31">
        <f t="shared" si="157"/>
        <v>12</v>
      </c>
      <c r="O755" s="27"/>
      <c r="Q755" s="8">
        <v>0.23244528081907034</v>
      </c>
      <c r="R755" s="8" t="str">
        <f t="shared" si="158"/>
        <v>On Time</v>
      </c>
      <c r="S755" s="33">
        <v>1.1490405119891858</v>
      </c>
      <c r="T755" t="s">
        <v>30</v>
      </c>
      <c r="U755" s="3">
        <v>0</v>
      </c>
      <c r="V755" s="3" t="str">
        <f t="shared" si="162"/>
        <v/>
      </c>
      <c r="W755" s="3" t="s">
        <v>51</v>
      </c>
      <c r="X755" s="32">
        <f t="shared" si="159"/>
        <v>4.7876687996904366E-2</v>
      </c>
      <c r="Z755" s="38">
        <f t="shared" si="163"/>
        <v>0</v>
      </c>
      <c r="AC755" s="36">
        <v>0.125</v>
      </c>
      <c r="AL755" t="str">
        <f t="shared" si="164"/>
        <v>Normal</v>
      </c>
      <c r="AM755" t="str">
        <f t="shared" si="165"/>
        <v>Yes</v>
      </c>
      <c r="AN755" t="str">
        <f t="shared" si="166"/>
        <v>Emergency</v>
      </c>
      <c r="AO755" t="str">
        <f t="shared" si="167"/>
        <v>ICU</v>
      </c>
    </row>
    <row r="756" spans="1:41" x14ac:dyDescent="0.3">
      <c r="A756" s="21" t="str">
        <f t="shared" si="160"/>
        <v>UHID-00755</v>
      </c>
      <c r="B756" s="18">
        <v>65</v>
      </c>
      <c r="C756" s="10" t="s">
        <v>18</v>
      </c>
      <c r="D756" s="13" t="s">
        <v>26</v>
      </c>
      <c r="E756" s="13" t="s">
        <v>5</v>
      </c>
      <c r="F756" s="15">
        <v>46186.710934340299</v>
      </c>
      <c r="G756" s="4">
        <v>46186</v>
      </c>
      <c r="H756" s="1">
        <v>46188.5736933218</v>
      </c>
      <c r="I756" s="22">
        <v>46188</v>
      </c>
      <c r="J756" s="24">
        <f t="shared" si="154"/>
        <v>46188.210802004898</v>
      </c>
      <c r="K756" s="24">
        <f t="shared" si="155"/>
        <v>0.57369332179951016</v>
      </c>
      <c r="L756" s="29">
        <f t="shared" si="161"/>
        <v>46187</v>
      </c>
      <c r="M756" s="27" t="str">
        <f t="shared" si="156"/>
        <v>Health Deterioration/TPA Approval Delay</v>
      </c>
      <c r="N756" s="31">
        <f t="shared" si="157"/>
        <v>2</v>
      </c>
      <c r="O756" s="27"/>
      <c r="Q756" s="8">
        <v>0.77300524653597136</v>
      </c>
      <c r="R756" s="8" t="str">
        <f t="shared" si="158"/>
        <v>Critical Delay</v>
      </c>
      <c r="S756" s="33">
        <v>3.7093916057178387</v>
      </c>
      <c r="T756" t="s">
        <v>31</v>
      </c>
      <c r="U756" s="3">
        <v>5</v>
      </c>
      <c r="V756" s="3" t="str">
        <f t="shared" si="162"/>
        <v>Normal</v>
      </c>
      <c r="W756" s="3" t="s">
        <v>52</v>
      </c>
      <c r="X756" s="32">
        <f t="shared" si="159"/>
        <v>0.36289131690136855</v>
      </c>
      <c r="Z756" s="38">
        <f t="shared" si="163"/>
        <v>0.23789131690136855</v>
      </c>
      <c r="AC756" s="36">
        <v>0.125</v>
      </c>
      <c r="AL756" t="str">
        <f t="shared" si="164"/>
        <v>Health Deterioration/TPA Approval Delay</v>
      </c>
      <c r="AM756" t="str">
        <f t="shared" si="165"/>
        <v>No</v>
      </c>
      <c r="AN756" t="str">
        <f t="shared" si="166"/>
        <v>Emergency</v>
      </c>
      <c r="AO756" t="str">
        <f t="shared" si="167"/>
        <v>General Ward</v>
      </c>
    </row>
    <row r="757" spans="1:41" x14ac:dyDescent="0.3">
      <c r="A757" s="21" t="str">
        <f t="shared" si="160"/>
        <v>UHID-00756</v>
      </c>
      <c r="B757" s="18">
        <v>58</v>
      </c>
      <c r="C757" s="10" t="s">
        <v>17</v>
      </c>
      <c r="D757" s="13" t="s">
        <v>28</v>
      </c>
      <c r="E757" s="13" t="s">
        <v>5</v>
      </c>
      <c r="F757" s="15">
        <v>46184.839311469899</v>
      </c>
      <c r="G757" s="4">
        <v>46184</v>
      </c>
      <c r="H757" s="1">
        <v>46188.714022268498</v>
      </c>
      <c r="I757" s="22">
        <v>46188</v>
      </c>
      <c r="J757" s="24">
        <f t="shared" si="154"/>
        <v>46188.59401923851</v>
      </c>
      <c r="K757" s="24">
        <f t="shared" si="155"/>
        <v>0.7140222684975015</v>
      </c>
      <c r="L757" s="29">
        <f t="shared" si="161"/>
        <v>46187</v>
      </c>
      <c r="M757" s="27" t="str">
        <f t="shared" si="156"/>
        <v>Doctor Round Delay/Report Delay</v>
      </c>
      <c r="N757" s="31">
        <f t="shared" si="157"/>
        <v>4</v>
      </c>
      <c r="O757" s="27"/>
      <c r="Q757" s="8">
        <v>0.95074444442299422</v>
      </c>
      <c r="R757" s="8" t="str">
        <f t="shared" si="158"/>
        <v>Minor Delay</v>
      </c>
      <c r="S757" s="33">
        <v>2.8800727196539957</v>
      </c>
      <c r="T757" t="s">
        <v>31</v>
      </c>
      <c r="U757" s="3">
        <v>0</v>
      </c>
      <c r="V757" s="3" t="str">
        <f t="shared" si="162"/>
        <v>Normal</v>
      </c>
      <c r="W757" s="3" t="s">
        <v>51</v>
      </c>
      <c r="X757" s="32">
        <f t="shared" si="159"/>
        <v>0.12000302998785628</v>
      </c>
      <c r="Z757" s="38">
        <f t="shared" si="163"/>
        <v>0</v>
      </c>
      <c r="AC757" s="36">
        <v>0.125</v>
      </c>
      <c r="AL757" t="str">
        <f t="shared" si="164"/>
        <v>Doctor Round Delay/Report Delay</v>
      </c>
      <c r="AM757" t="str">
        <f t="shared" si="165"/>
        <v>No</v>
      </c>
      <c r="AN757" t="str">
        <f t="shared" si="166"/>
        <v>Elective</v>
      </c>
      <c r="AO757" t="str">
        <f t="shared" si="167"/>
        <v>HDU</v>
      </c>
    </row>
    <row r="758" spans="1:41" x14ac:dyDescent="0.3">
      <c r="A758" s="21" t="str">
        <f t="shared" si="160"/>
        <v>UHID-00757</v>
      </c>
      <c r="B758" s="18">
        <v>44</v>
      </c>
      <c r="C758" s="10" t="s">
        <v>18</v>
      </c>
      <c r="D758" s="13" t="s">
        <v>27</v>
      </c>
      <c r="E758" s="13" t="s">
        <v>5</v>
      </c>
      <c r="F758" s="15">
        <v>46170.728180486098</v>
      </c>
      <c r="G758" s="4">
        <v>46170</v>
      </c>
      <c r="H758" s="1">
        <v>46188.7424224653</v>
      </c>
      <c r="I758" s="22">
        <v>46188</v>
      </c>
      <c r="J758" s="24">
        <f t="shared" si="154"/>
        <v>46188.686118472411</v>
      </c>
      <c r="K758" s="24">
        <f t="shared" si="155"/>
        <v>0.74242246530047851</v>
      </c>
      <c r="L758" s="29">
        <f t="shared" si="161"/>
        <v>46187</v>
      </c>
      <c r="M758" s="27" t="str">
        <f t="shared" si="156"/>
        <v>Normal</v>
      </c>
      <c r="N758" s="31">
        <f t="shared" si="157"/>
        <v>18</v>
      </c>
      <c r="O758" s="27"/>
      <c r="Q758" s="8">
        <v>0.37086573698474212</v>
      </c>
      <c r="R758" s="8" t="str">
        <f t="shared" si="158"/>
        <v>On Time</v>
      </c>
      <c r="S758" s="33">
        <v>1.3512958293134798</v>
      </c>
      <c r="T758" t="s">
        <v>31</v>
      </c>
      <c r="U758" s="3">
        <v>0</v>
      </c>
      <c r="V758" s="3" t="str">
        <f t="shared" si="162"/>
        <v>Normal</v>
      </c>
      <c r="W758" s="3" t="s">
        <v>51</v>
      </c>
      <c r="X758" s="32">
        <f t="shared" si="159"/>
        <v>5.630399288929766E-2</v>
      </c>
      <c r="Z758" s="38">
        <f t="shared" si="163"/>
        <v>0</v>
      </c>
      <c r="AC758" s="36">
        <v>0.125</v>
      </c>
      <c r="AL758" t="str">
        <f t="shared" si="164"/>
        <v>Normal</v>
      </c>
      <c r="AM758" t="str">
        <f t="shared" si="165"/>
        <v>Yes</v>
      </c>
      <c r="AN758" t="str">
        <f t="shared" si="166"/>
        <v>Emergency</v>
      </c>
      <c r="AO758" t="str">
        <f t="shared" si="167"/>
        <v>ICU</v>
      </c>
    </row>
    <row r="759" spans="1:41" x14ac:dyDescent="0.3">
      <c r="A759" s="21" t="str">
        <f t="shared" si="160"/>
        <v>UHID-00758</v>
      </c>
      <c r="B759" s="18">
        <v>26</v>
      </c>
      <c r="C759" s="10" t="s">
        <v>17</v>
      </c>
      <c r="D759" s="13" t="s">
        <v>27</v>
      </c>
      <c r="E759" s="13" t="s">
        <v>5</v>
      </c>
      <c r="F759" s="15">
        <v>46185.510343275499</v>
      </c>
      <c r="G759" s="4">
        <v>46185</v>
      </c>
      <c r="H759" s="1">
        <v>46188.970179062497</v>
      </c>
      <c r="I759" s="22">
        <v>46188</v>
      </c>
      <c r="J759" s="24">
        <f t="shared" si="154"/>
        <v>46188.899272154405</v>
      </c>
      <c r="K759" s="24">
        <f t="shared" si="155"/>
        <v>0.97017906249675434</v>
      </c>
      <c r="L759" s="29">
        <f t="shared" si="161"/>
        <v>46187</v>
      </c>
      <c r="M759" s="27" t="str">
        <f t="shared" si="156"/>
        <v>Normal</v>
      </c>
      <c r="N759" s="31">
        <f t="shared" si="157"/>
        <v>3</v>
      </c>
      <c r="O759" s="27"/>
      <c r="Q759" s="8">
        <v>0.27649163528292553</v>
      </c>
      <c r="R759" s="8" t="str">
        <f t="shared" si="158"/>
        <v>On Time</v>
      </c>
      <c r="S759" s="33">
        <v>1.7017657942209952</v>
      </c>
      <c r="T759" t="s">
        <v>30</v>
      </c>
      <c r="U759" s="3">
        <v>0</v>
      </c>
      <c r="V759" s="3" t="str">
        <f t="shared" si="162"/>
        <v/>
      </c>
      <c r="W759" s="3" t="s">
        <v>51</v>
      </c>
      <c r="X759" s="32">
        <f t="shared" si="159"/>
        <v>7.090690809127409E-2</v>
      </c>
      <c r="Z759" s="38">
        <f t="shared" si="163"/>
        <v>0</v>
      </c>
      <c r="AC759" s="36">
        <v>0.125</v>
      </c>
      <c r="AL759" t="str">
        <f t="shared" si="164"/>
        <v>Normal</v>
      </c>
      <c r="AM759" t="str">
        <f t="shared" si="165"/>
        <v>No</v>
      </c>
      <c r="AN759" t="str">
        <f t="shared" si="166"/>
        <v>Elective</v>
      </c>
      <c r="AO759" t="str">
        <f t="shared" si="167"/>
        <v>General Ward</v>
      </c>
    </row>
    <row r="760" spans="1:41" x14ac:dyDescent="0.3">
      <c r="A760" s="21" t="str">
        <f t="shared" si="160"/>
        <v>UHID-00759</v>
      </c>
      <c r="B760" s="18">
        <v>74</v>
      </c>
      <c r="C760" s="10" t="s">
        <v>18</v>
      </c>
      <c r="D760" s="13" t="s">
        <v>26</v>
      </c>
      <c r="E760" s="13" t="s">
        <v>5</v>
      </c>
      <c r="F760" s="15">
        <v>46179.471121053197</v>
      </c>
      <c r="G760" s="4">
        <v>46179</v>
      </c>
      <c r="H760" s="1">
        <v>46188.725694444402</v>
      </c>
      <c r="I760" s="22">
        <v>46188</v>
      </c>
      <c r="J760" s="24">
        <f t="shared" si="154"/>
        <v>46188.567923053335</v>
      </c>
      <c r="K760" s="24">
        <f t="shared" si="155"/>
        <v>0.72569444440159714</v>
      </c>
      <c r="L760" s="29">
        <f t="shared" si="161"/>
        <v>46187</v>
      </c>
      <c r="M760" s="27" t="str">
        <f t="shared" si="156"/>
        <v>TPA Approval Delay</v>
      </c>
      <c r="N760" s="31">
        <f t="shared" si="157"/>
        <v>9</v>
      </c>
      <c r="O760" s="27"/>
      <c r="Q760" s="8">
        <v>0.51574066962745024</v>
      </c>
      <c r="R760" s="8" t="str">
        <f t="shared" si="158"/>
        <v>Major Delay</v>
      </c>
      <c r="S760" s="33">
        <v>3.7865133855239281</v>
      </c>
      <c r="T760" t="s">
        <v>31</v>
      </c>
      <c r="U760" s="3">
        <v>0</v>
      </c>
      <c r="V760" s="3" t="str">
        <f t="shared" si="162"/>
        <v>Normal</v>
      </c>
      <c r="W760" s="3" t="s">
        <v>51</v>
      </c>
      <c r="X760" s="32">
        <f t="shared" si="159"/>
        <v>0.15777139106648974</v>
      </c>
      <c r="Z760" s="38">
        <f t="shared" si="163"/>
        <v>3.2771391066489741E-2</v>
      </c>
      <c r="AC760" s="36">
        <v>0.125</v>
      </c>
      <c r="AL760" t="str">
        <f t="shared" si="164"/>
        <v>TPA Approval Delay</v>
      </c>
      <c r="AM760" t="str">
        <f t="shared" si="165"/>
        <v>No</v>
      </c>
      <c r="AN760" t="str">
        <f t="shared" si="166"/>
        <v>Emergency</v>
      </c>
      <c r="AO760" t="str">
        <f t="shared" si="167"/>
        <v>ICU</v>
      </c>
    </row>
    <row r="761" spans="1:41" x14ac:dyDescent="0.3">
      <c r="A761" s="21" t="str">
        <f t="shared" si="160"/>
        <v>UHID-00760</v>
      </c>
      <c r="B761" s="18">
        <v>67</v>
      </c>
      <c r="C761" s="10" t="s">
        <v>18</v>
      </c>
      <c r="D761" s="13" t="s">
        <v>27</v>
      </c>
      <c r="E761" s="13" t="s">
        <v>5</v>
      </c>
      <c r="F761" s="15">
        <v>46181.755957800902</v>
      </c>
      <c r="G761" s="4">
        <v>46181</v>
      </c>
      <c r="H761" s="1">
        <v>46189.647109166697</v>
      </c>
      <c r="I761" s="22">
        <v>46189</v>
      </c>
      <c r="J761" s="24">
        <f t="shared" si="154"/>
        <v>46189.39951360035</v>
      </c>
      <c r="K761" s="24">
        <f t="shared" si="155"/>
        <v>0.64710916669719154</v>
      </c>
      <c r="L761" s="29">
        <f t="shared" si="161"/>
        <v>46188</v>
      </c>
      <c r="M761" s="27" t="str">
        <f t="shared" si="156"/>
        <v>Health Deterioration</v>
      </c>
      <c r="N761" s="31">
        <f t="shared" si="157"/>
        <v>8</v>
      </c>
      <c r="O761" s="27"/>
      <c r="Q761" s="8">
        <v>2.0175317667470938E-2</v>
      </c>
      <c r="R761" s="8" t="str">
        <f t="shared" si="158"/>
        <v>Critical Delay</v>
      </c>
      <c r="S761" s="33">
        <v>1.9422935923563598</v>
      </c>
      <c r="T761" t="s">
        <v>30</v>
      </c>
      <c r="U761" s="3">
        <v>4</v>
      </c>
      <c r="V761" s="3" t="str">
        <f t="shared" si="162"/>
        <v/>
      </c>
      <c r="W761" s="3" t="s">
        <v>50</v>
      </c>
      <c r="X761" s="32">
        <f t="shared" si="159"/>
        <v>0.24759556634671753</v>
      </c>
      <c r="Z761" s="38">
        <f t="shared" si="163"/>
        <v>0.12259556634671753</v>
      </c>
      <c r="AC761" s="36">
        <v>0.125</v>
      </c>
      <c r="AL761" t="str">
        <f t="shared" si="164"/>
        <v>Health Deterioration</v>
      </c>
      <c r="AM761" t="str">
        <f t="shared" si="165"/>
        <v>Yes</v>
      </c>
      <c r="AN761" t="str">
        <f t="shared" si="166"/>
        <v>Emergency</v>
      </c>
      <c r="AO761" t="str">
        <f t="shared" si="167"/>
        <v>ICU</v>
      </c>
    </row>
    <row r="762" spans="1:41" x14ac:dyDescent="0.3">
      <c r="A762" s="21" t="str">
        <f t="shared" si="160"/>
        <v>UHID-00761</v>
      </c>
      <c r="B762" s="18">
        <v>41</v>
      </c>
      <c r="C762" s="10" t="s">
        <v>18</v>
      </c>
      <c r="D762" s="13" t="s">
        <v>27</v>
      </c>
      <c r="E762" s="13" t="s">
        <v>5</v>
      </c>
      <c r="F762" s="15">
        <v>46185.5060204861</v>
      </c>
      <c r="G762" s="4">
        <v>46185</v>
      </c>
      <c r="H762" s="1">
        <v>46189.617391412001</v>
      </c>
      <c r="I762" s="22">
        <v>46189</v>
      </c>
      <c r="J762" s="24">
        <f t="shared" si="154"/>
        <v>46189.200850103931</v>
      </c>
      <c r="K762" s="24">
        <f t="shared" si="155"/>
        <v>0.61739141200087033</v>
      </c>
      <c r="L762" s="29">
        <f t="shared" si="161"/>
        <v>46188</v>
      </c>
      <c r="M762" s="27" t="str">
        <f t="shared" si="156"/>
        <v>Health Deterioration</v>
      </c>
      <c r="N762" s="31">
        <f t="shared" si="157"/>
        <v>4</v>
      </c>
      <c r="O762" s="27"/>
      <c r="Q762" s="8">
        <v>8.519407851985672E-2</v>
      </c>
      <c r="R762" s="8" t="str">
        <f t="shared" si="158"/>
        <v>Critical Delay</v>
      </c>
      <c r="S762" s="33">
        <v>1.9969913937480583</v>
      </c>
      <c r="T762" t="s">
        <v>30</v>
      </c>
      <c r="U762" s="3">
        <v>8</v>
      </c>
      <c r="V762" s="3" t="str">
        <f t="shared" si="162"/>
        <v/>
      </c>
      <c r="W762" s="3" t="s">
        <v>52</v>
      </c>
      <c r="X762" s="32">
        <f t="shared" si="159"/>
        <v>0.41654130807000911</v>
      </c>
      <c r="Z762" s="38">
        <f t="shared" si="163"/>
        <v>0.29154130807000911</v>
      </c>
      <c r="AC762" s="36">
        <v>0.125</v>
      </c>
      <c r="AL762" t="str">
        <f t="shared" si="164"/>
        <v>Health Deterioration</v>
      </c>
      <c r="AM762" t="str">
        <f t="shared" si="165"/>
        <v>No</v>
      </c>
      <c r="AN762" t="str">
        <f t="shared" si="166"/>
        <v>Emergency</v>
      </c>
      <c r="AO762" t="str">
        <f t="shared" si="167"/>
        <v>HDU</v>
      </c>
    </row>
    <row r="763" spans="1:41" x14ac:dyDescent="0.3">
      <c r="A763" s="21" t="str">
        <f t="shared" si="160"/>
        <v>UHID-00762</v>
      </c>
      <c r="B763" s="18">
        <v>70</v>
      </c>
      <c r="C763" s="10" t="s">
        <v>18</v>
      </c>
      <c r="D763" s="13" t="s">
        <v>28</v>
      </c>
      <c r="E763" s="13" t="s">
        <v>5</v>
      </c>
      <c r="F763" s="15">
        <v>46183.825206018497</v>
      </c>
      <c r="G763" s="4">
        <v>46183</v>
      </c>
      <c r="H763" s="1">
        <v>46189.675769768503</v>
      </c>
      <c r="I763" s="22">
        <v>46189</v>
      </c>
      <c r="J763" s="24">
        <f t="shared" si="154"/>
        <v>46189.58504307337</v>
      </c>
      <c r="K763" s="24">
        <f t="shared" si="155"/>
        <v>0.67576976850250503</v>
      </c>
      <c r="L763" s="29">
        <f t="shared" si="161"/>
        <v>46188</v>
      </c>
      <c r="M763" s="27" t="str">
        <f t="shared" si="156"/>
        <v>Doctor Round Delay/Report Delay</v>
      </c>
      <c r="N763" s="31">
        <f t="shared" si="157"/>
        <v>6</v>
      </c>
      <c r="O763" s="27"/>
      <c r="Q763" s="8">
        <v>0.90102633189739301</v>
      </c>
      <c r="R763" s="8" t="str">
        <f t="shared" si="158"/>
        <v>Minor Delay</v>
      </c>
      <c r="S763" s="33">
        <v>2.1774406832114308</v>
      </c>
      <c r="T763" t="s">
        <v>31</v>
      </c>
      <c r="U763" s="3">
        <v>0</v>
      </c>
      <c r="V763" s="3" t="str">
        <f t="shared" si="162"/>
        <v>Normal</v>
      </c>
      <c r="W763" s="3" t="s">
        <v>51</v>
      </c>
      <c r="X763" s="32">
        <f t="shared" si="159"/>
        <v>9.0726695132616442E-2</v>
      </c>
      <c r="Z763" s="38">
        <f t="shared" si="163"/>
        <v>0</v>
      </c>
      <c r="AC763" s="36">
        <v>0.125</v>
      </c>
      <c r="AL763" t="str">
        <f t="shared" si="164"/>
        <v>Doctor Round Delay/Report Delay</v>
      </c>
      <c r="AM763" t="str">
        <f t="shared" si="165"/>
        <v>No</v>
      </c>
      <c r="AN763" t="str">
        <f t="shared" si="166"/>
        <v>Emergency</v>
      </c>
      <c r="AO763" t="str">
        <f t="shared" si="167"/>
        <v>HDU</v>
      </c>
    </row>
    <row r="764" spans="1:41" x14ac:dyDescent="0.3">
      <c r="A764" s="21" t="str">
        <f t="shared" si="160"/>
        <v>UHID-00763</v>
      </c>
      <c r="B764" s="18">
        <v>46</v>
      </c>
      <c r="C764" s="10" t="s">
        <v>18</v>
      </c>
      <c r="D764" s="13" t="s">
        <v>27</v>
      </c>
      <c r="E764" s="13" t="s">
        <v>5</v>
      </c>
      <c r="F764" s="15">
        <v>46178.8639621412</v>
      </c>
      <c r="G764" s="4">
        <v>46178</v>
      </c>
      <c r="H764" s="1">
        <v>46188.630555555603</v>
      </c>
      <c r="I764" s="22">
        <v>46188</v>
      </c>
      <c r="J764" s="24">
        <f t="shared" si="154"/>
        <v>46188.478011485684</v>
      </c>
      <c r="K764" s="24">
        <f t="shared" si="155"/>
        <v>0.63055555560276844</v>
      </c>
      <c r="L764" s="29">
        <f t="shared" si="161"/>
        <v>46187</v>
      </c>
      <c r="M764" s="27" t="str">
        <f t="shared" si="156"/>
        <v>Medication Change</v>
      </c>
      <c r="N764" s="31">
        <f t="shared" si="157"/>
        <v>10</v>
      </c>
      <c r="O764" s="27"/>
      <c r="Q764" s="8">
        <v>6.4959069808731673E-2</v>
      </c>
      <c r="R764" s="8" t="str">
        <f t="shared" si="158"/>
        <v>Major Delay</v>
      </c>
      <c r="S764" s="33">
        <v>1.6610576780550175</v>
      </c>
      <c r="T764" t="s">
        <v>30</v>
      </c>
      <c r="U764" s="3">
        <v>2</v>
      </c>
      <c r="V764" s="3" t="str">
        <f t="shared" si="162"/>
        <v/>
      </c>
      <c r="W764" s="3" t="s">
        <v>50</v>
      </c>
      <c r="X764" s="32">
        <f t="shared" si="159"/>
        <v>0.15254406991880387</v>
      </c>
      <c r="Z764" s="38">
        <f t="shared" si="163"/>
        <v>2.7544069918803871E-2</v>
      </c>
      <c r="AC764" s="36">
        <v>0.125</v>
      </c>
      <c r="AL764" t="str">
        <f t="shared" si="164"/>
        <v>Medication Change</v>
      </c>
      <c r="AM764" t="str">
        <f t="shared" si="165"/>
        <v>No</v>
      </c>
      <c r="AN764" t="str">
        <f t="shared" si="166"/>
        <v>Emergency</v>
      </c>
      <c r="AO764" t="str">
        <f t="shared" si="167"/>
        <v>ICU</v>
      </c>
    </row>
    <row r="765" spans="1:41" x14ac:dyDescent="0.3">
      <c r="A765" s="21" t="str">
        <f t="shared" si="160"/>
        <v>UHID-00764</v>
      </c>
      <c r="B765" s="18">
        <v>57</v>
      </c>
      <c r="C765" s="10" t="s">
        <v>18</v>
      </c>
      <c r="D765" s="13" t="s">
        <v>26</v>
      </c>
      <c r="E765" s="13" t="s">
        <v>5</v>
      </c>
      <c r="F765" s="15">
        <v>46186.781317361099</v>
      </c>
      <c r="G765" s="4">
        <v>46186</v>
      </c>
      <c r="H765" s="1">
        <v>46189.773878935201</v>
      </c>
      <c r="I765" s="22">
        <v>46189</v>
      </c>
      <c r="J765" s="24">
        <f t="shared" si="154"/>
        <v>46189.646107504661</v>
      </c>
      <c r="K765" s="24">
        <f t="shared" si="155"/>
        <v>0.77387893520062789</v>
      </c>
      <c r="L765" s="29">
        <f t="shared" si="161"/>
        <v>46188</v>
      </c>
      <c r="M765" s="27" t="str">
        <f t="shared" si="156"/>
        <v>TPA Approval Delay</v>
      </c>
      <c r="N765" s="31">
        <f t="shared" si="157"/>
        <v>3</v>
      </c>
      <c r="O765" s="27"/>
      <c r="Q765" s="8">
        <v>0.56364060625067136</v>
      </c>
      <c r="R765" s="8" t="str">
        <f t="shared" si="158"/>
        <v>Major Delay</v>
      </c>
      <c r="S765" s="33">
        <v>3.0665143330136342</v>
      </c>
      <c r="T765" t="s">
        <v>31</v>
      </c>
      <c r="U765" s="3">
        <v>0</v>
      </c>
      <c r="V765" s="3" t="str">
        <f t="shared" si="162"/>
        <v>Normal</v>
      </c>
      <c r="W765" s="3" t="s">
        <v>51</v>
      </c>
      <c r="X765" s="32">
        <f t="shared" si="159"/>
        <v>0.12777143053972395</v>
      </c>
      <c r="Z765" s="38">
        <f t="shared" si="163"/>
        <v>2.7714305397239514E-3</v>
      </c>
      <c r="AC765" s="36">
        <v>0.125</v>
      </c>
      <c r="AL765" t="str">
        <f t="shared" si="164"/>
        <v>TPA Approval Delay</v>
      </c>
      <c r="AM765" t="str">
        <f t="shared" si="165"/>
        <v>No</v>
      </c>
      <c r="AN765" t="str">
        <f t="shared" si="166"/>
        <v>Elective</v>
      </c>
      <c r="AO765" t="str">
        <f t="shared" si="167"/>
        <v>General Ward</v>
      </c>
    </row>
    <row r="766" spans="1:41" x14ac:dyDescent="0.3">
      <c r="A766" s="21" t="str">
        <f t="shared" si="160"/>
        <v>UHID-00765</v>
      </c>
      <c r="B766" s="18">
        <v>61</v>
      </c>
      <c r="C766" s="10" t="s">
        <v>18</v>
      </c>
      <c r="D766" s="13" t="s">
        <v>26</v>
      </c>
      <c r="E766" s="13" t="s">
        <v>5</v>
      </c>
      <c r="F766" s="15">
        <v>46184.832598703702</v>
      </c>
      <c r="G766" s="4">
        <v>46184</v>
      </c>
      <c r="H766" s="1">
        <v>46190.569490960603</v>
      </c>
      <c r="I766" s="22">
        <v>46190</v>
      </c>
      <c r="J766" s="24">
        <f t="shared" si="154"/>
        <v>46190.415364372195</v>
      </c>
      <c r="K766" s="24">
        <f t="shared" si="155"/>
        <v>0.56949096060270676</v>
      </c>
      <c r="L766" s="29">
        <f t="shared" si="161"/>
        <v>46189</v>
      </c>
      <c r="M766" s="27" t="str">
        <f t="shared" si="156"/>
        <v>TPA Approval Delay</v>
      </c>
      <c r="N766" s="31">
        <f t="shared" si="157"/>
        <v>6</v>
      </c>
      <c r="O766" s="27"/>
      <c r="Q766" s="8">
        <v>0.80076512868850547</v>
      </c>
      <c r="R766" s="8" t="str">
        <f t="shared" si="158"/>
        <v>Major Delay</v>
      </c>
      <c r="S766" s="33">
        <v>3.6990381218522739</v>
      </c>
      <c r="T766" t="s">
        <v>31</v>
      </c>
      <c r="U766" s="3">
        <v>0</v>
      </c>
      <c r="V766" s="3" t="str">
        <f t="shared" si="162"/>
        <v>Normal</v>
      </c>
      <c r="W766" s="3" t="s">
        <v>51</v>
      </c>
      <c r="X766" s="32">
        <f t="shared" si="159"/>
        <v>0.15412658840796212</v>
      </c>
      <c r="Z766" s="38">
        <f t="shared" si="163"/>
        <v>2.9126588407962117E-2</v>
      </c>
      <c r="AC766" s="36">
        <v>0.125</v>
      </c>
      <c r="AL766" t="str">
        <f t="shared" si="164"/>
        <v>TPA Approval Delay</v>
      </c>
      <c r="AM766" t="str">
        <f t="shared" si="165"/>
        <v>No</v>
      </c>
      <c r="AN766" t="str">
        <f t="shared" si="166"/>
        <v>Elective</v>
      </c>
      <c r="AO766" t="str">
        <f t="shared" si="167"/>
        <v>HDU</v>
      </c>
    </row>
    <row r="767" spans="1:41" x14ac:dyDescent="0.3">
      <c r="A767" s="21" t="str">
        <f t="shared" si="160"/>
        <v>UHID-00766</v>
      </c>
      <c r="B767" s="18">
        <v>34</v>
      </c>
      <c r="C767" s="10" t="s">
        <v>18</v>
      </c>
      <c r="D767" s="13" t="s">
        <v>27</v>
      </c>
      <c r="E767" s="13" t="s">
        <v>5</v>
      </c>
      <c r="F767" s="15">
        <v>46188.6630807986</v>
      </c>
      <c r="G767" s="4">
        <v>46188</v>
      </c>
      <c r="H767" s="1">
        <v>46190.570369733803</v>
      </c>
      <c r="I767" s="22">
        <v>46190</v>
      </c>
      <c r="J767" s="24">
        <f t="shared" si="154"/>
        <v>46190.527801342287</v>
      </c>
      <c r="K767" s="24">
        <f t="shared" si="155"/>
        <v>0.57036973380309064</v>
      </c>
      <c r="L767" s="29">
        <f t="shared" si="161"/>
        <v>46189</v>
      </c>
      <c r="M767" s="27" t="str">
        <f t="shared" si="156"/>
        <v>Normal</v>
      </c>
      <c r="N767" s="31">
        <f t="shared" si="157"/>
        <v>2</v>
      </c>
      <c r="O767" s="27"/>
      <c r="Q767" s="8">
        <v>0.38814455496238653</v>
      </c>
      <c r="R767" s="8" t="str">
        <f t="shared" si="158"/>
        <v>On Time</v>
      </c>
      <c r="S767" s="33">
        <v>1.0216413963877204</v>
      </c>
      <c r="T767" t="s">
        <v>31</v>
      </c>
      <c r="U767" s="3">
        <v>0</v>
      </c>
      <c r="V767" s="3" t="str">
        <f t="shared" si="162"/>
        <v>Normal</v>
      </c>
      <c r="W767" s="3" t="s">
        <v>51</v>
      </c>
      <c r="X767" s="32">
        <f t="shared" si="159"/>
        <v>4.2568391516397242E-2</v>
      </c>
      <c r="Z767" s="38">
        <f t="shared" si="163"/>
        <v>0</v>
      </c>
      <c r="AC767" s="36">
        <v>0.125</v>
      </c>
      <c r="AL767" t="str">
        <f t="shared" si="164"/>
        <v>Normal</v>
      </c>
      <c r="AM767" t="str">
        <f t="shared" si="165"/>
        <v>No</v>
      </c>
      <c r="AN767" t="str">
        <f t="shared" si="166"/>
        <v>Elective</v>
      </c>
      <c r="AO767" t="str">
        <f t="shared" si="167"/>
        <v>General Ward</v>
      </c>
    </row>
    <row r="768" spans="1:41" x14ac:dyDescent="0.3">
      <c r="A768" s="21" t="str">
        <f t="shared" si="160"/>
        <v>UHID-00767</v>
      </c>
      <c r="B768" s="18">
        <v>80</v>
      </c>
      <c r="C768" s="10" t="s">
        <v>17</v>
      </c>
      <c r="D768" s="13" t="s">
        <v>26</v>
      </c>
      <c r="E768" s="13" t="s">
        <v>5</v>
      </c>
      <c r="F768" s="15">
        <v>46187.982302430602</v>
      </c>
      <c r="G768" s="4">
        <v>46187</v>
      </c>
      <c r="H768" s="1">
        <v>46190.582743611099</v>
      </c>
      <c r="I768" s="22">
        <v>46190</v>
      </c>
      <c r="J768" s="24">
        <f t="shared" si="154"/>
        <v>46190.437953322144</v>
      </c>
      <c r="K768" s="24">
        <f t="shared" si="155"/>
        <v>0.58274361109943129</v>
      </c>
      <c r="L768" s="29">
        <f t="shared" si="161"/>
        <v>46189</v>
      </c>
      <c r="M768" s="27" t="str">
        <f t="shared" si="156"/>
        <v>TPA Approval Delay</v>
      </c>
      <c r="N768" s="31">
        <f t="shared" si="157"/>
        <v>3</v>
      </c>
      <c r="O768" s="27"/>
      <c r="Q768" s="8">
        <v>0.82052105702468658</v>
      </c>
      <c r="R768" s="8" t="str">
        <f t="shared" si="158"/>
        <v>Major Delay</v>
      </c>
      <c r="S768" s="33">
        <v>3.4749669349770569</v>
      </c>
      <c r="T768" t="s">
        <v>31</v>
      </c>
      <c r="U768" s="3">
        <v>0</v>
      </c>
      <c r="V768" s="3" t="str">
        <f t="shared" si="162"/>
        <v>Normal</v>
      </c>
      <c r="W768" s="3" t="s">
        <v>51</v>
      </c>
      <c r="X768" s="32">
        <f t="shared" si="159"/>
        <v>0.14479028895584634</v>
      </c>
      <c r="Z768" s="38">
        <f t="shared" si="163"/>
        <v>1.9790288955846336E-2</v>
      </c>
      <c r="AC768" s="36">
        <v>0.125</v>
      </c>
      <c r="AL768" t="str">
        <f t="shared" si="164"/>
        <v>TPA Approval Delay</v>
      </c>
      <c r="AM768" t="str">
        <f t="shared" si="165"/>
        <v>No</v>
      </c>
      <c r="AN768" t="str">
        <f t="shared" si="166"/>
        <v>Elective</v>
      </c>
      <c r="AO768" t="str">
        <f t="shared" si="167"/>
        <v>General Ward</v>
      </c>
    </row>
    <row r="769" spans="1:41" x14ac:dyDescent="0.3">
      <c r="A769" s="21" t="str">
        <f t="shared" si="160"/>
        <v>UHID-00768</v>
      </c>
      <c r="B769" s="18">
        <v>76</v>
      </c>
      <c r="C769" s="10" t="s">
        <v>17</v>
      </c>
      <c r="D769" s="13" t="s">
        <v>27</v>
      </c>
      <c r="E769" s="13" t="s">
        <v>5</v>
      </c>
      <c r="F769" s="15">
        <v>46189.631496342598</v>
      </c>
      <c r="G769" s="4">
        <v>46189</v>
      </c>
      <c r="H769" s="1">
        <v>46190.691034039402</v>
      </c>
      <c r="I769" s="22">
        <v>46190</v>
      </c>
      <c r="J769" s="24">
        <f t="shared" si="154"/>
        <v>46190.636632403264</v>
      </c>
      <c r="K769" s="24">
        <f t="shared" si="155"/>
        <v>0.69103403940243879</v>
      </c>
      <c r="L769" s="29">
        <f t="shared" si="161"/>
        <v>46189</v>
      </c>
      <c r="M769" s="27" t="str">
        <f t="shared" si="156"/>
        <v>Normal</v>
      </c>
      <c r="N769" s="31">
        <f t="shared" si="157"/>
        <v>1</v>
      </c>
      <c r="O769" s="27"/>
      <c r="Q769" s="8">
        <v>0.12639857083645634</v>
      </c>
      <c r="R769" s="8" t="str">
        <f t="shared" si="158"/>
        <v>On Time</v>
      </c>
      <c r="S769" s="33">
        <v>1.3056392672685271</v>
      </c>
      <c r="T769" t="s">
        <v>30</v>
      </c>
      <c r="U769" s="3">
        <v>0</v>
      </c>
      <c r="V769" s="3" t="str">
        <f t="shared" si="162"/>
        <v/>
      </c>
      <c r="W769" s="3" t="s">
        <v>51</v>
      </c>
      <c r="X769" s="32">
        <f t="shared" si="159"/>
        <v>5.4401636138209142E-2</v>
      </c>
      <c r="Z769" s="38">
        <f t="shared" si="163"/>
        <v>0</v>
      </c>
      <c r="AC769" s="36">
        <v>0.125</v>
      </c>
      <c r="AL769" t="str">
        <f t="shared" si="164"/>
        <v>Normal</v>
      </c>
      <c r="AM769" t="str">
        <f t="shared" si="165"/>
        <v>No</v>
      </c>
      <c r="AN769" t="str">
        <f t="shared" si="166"/>
        <v>Elective</v>
      </c>
      <c r="AO769" t="str">
        <f t="shared" si="167"/>
        <v>General Ward</v>
      </c>
    </row>
    <row r="770" spans="1:41" x14ac:dyDescent="0.3">
      <c r="A770" s="21" t="str">
        <f t="shared" si="160"/>
        <v>UHID-00769</v>
      </c>
      <c r="B770" s="18">
        <v>53</v>
      </c>
      <c r="C770" s="10" t="s">
        <v>18</v>
      </c>
      <c r="D770" s="13" t="s">
        <v>27</v>
      </c>
      <c r="E770" s="13" t="s">
        <v>5</v>
      </c>
      <c r="F770" s="15">
        <v>46185.846857384298</v>
      </c>
      <c r="G770" s="4">
        <v>46185</v>
      </c>
      <c r="H770" s="1">
        <v>46190.6828602315</v>
      </c>
      <c r="I770" s="22">
        <v>46190</v>
      </c>
      <c r="J770" s="24">
        <f t="shared" ref="J770:J833" si="168">I770+K770-((S770+U770)/24)</f>
        <v>46190.609286063605</v>
      </c>
      <c r="K770" s="24">
        <f t="shared" ref="K770:K833" si="169">MOD(H770,1)</f>
        <v>0.68286023149994435</v>
      </c>
      <c r="L770" s="29">
        <f t="shared" si="161"/>
        <v>46189</v>
      </c>
      <c r="M770" s="27" t="str">
        <f t="shared" ref="M770:M833" si="170">IF(X770="","",IF(X770&lt;=TIME(2,0,0),"Normal",IF(X770&lt;=TIME(3,0,0),IF(D770="CASH","Bill Settlement Delay","Doctor Round Delay/Report Delay"),IF(X770&lt;=TIME(5,0,0),IF(D770="TPA","TPA Approval Delay","Medication Change"),IF(D770="TPA","Health Deterioration/TPA Approval Delay","Health Deterioration")))))</f>
        <v>Normal</v>
      </c>
      <c r="N770" s="31">
        <f t="shared" ref="N770:N833" si="171">I770-G770</f>
        <v>5</v>
      </c>
      <c r="O770" s="27"/>
      <c r="Q770" s="8">
        <v>0.38227686027709329</v>
      </c>
      <c r="R770" s="8" t="str">
        <f t="shared" ref="R770:R833" si="172">IF(X770="","",IF(X770&lt;=TIME(2,0,0),"On Time",IF(X770&lt;=TIME(3,0,0),"Minor Delay",IF(X770&lt;=TIME(5,0,0),"Major Delay","Critical Delay"))))</f>
        <v>On Time</v>
      </c>
      <c r="S770" s="33">
        <v>1.7657800294262027</v>
      </c>
      <c r="T770" t="s">
        <v>31</v>
      </c>
      <c r="U770" s="3">
        <v>0</v>
      </c>
      <c r="V770" s="3" t="str">
        <f t="shared" si="162"/>
        <v>Normal</v>
      </c>
      <c r="W770" s="3" t="s">
        <v>51</v>
      </c>
      <c r="X770" s="32">
        <f t="shared" ref="X770:X833" si="173">MOD(K770-J770,1)</f>
        <v>7.3574167894548737E-2</v>
      </c>
      <c r="Z770" s="38">
        <f t="shared" si="163"/>
        <v>0</v>
      </c>
      <c r="AC770" s="36">
        <v>0.125</v>
      </c>
      <c r="AL770" t="str">
        <f t="shared" si="164"/>
        <v>Normal</v>
      </c>
      <c r="AM770" t="str">
        <f t="shared" si="165"/>
        <v>No</v>
      </c>
      <c r="AN770" t="str">
        <f t="shared" si="166"/>
        <v>Elective</v>
      </c>
      <c r="AO770" t="str">
        <f t="shared" si="167"/>
        <v>HDU</v>
      </c>
    </row>
    <row r="771" spans="1:41" x14ac:dyDescent="0.3">
      <c r="A771" s="21" t="str">
        <f t="shared" ref="A771:A834" si="174">"UHID-"&amp;TEXT(ROW(A771)-1,"00000")</f>
        <v>UHID-00770</v>
      </c>
      <c r="B771" s="18">
        <v>58</v>
      </c>
      <c r="C771" s="10" t="s">
        <v>18</v>
      </c>
      <c r="D771" s="13" t="s">
        <v>27</v>
      </c>
      <c r="E771" s="13" t="s">
        <v>5</v>
      </c>
      <c r="F771" s="15">
        <v>46185.6954974537</v>
      </c>
      <c r="G771" s="4">
        <v>46185</v>
      </c>
      <c r="H771" s="1">
        <v>46190.710459965303</v>
      </c>
      <c r="I771" s="22">
        <v>46190</v>
      </c>
      <c r="J771" s="24">
        <f t="shared" si="168"/>
        <v>46190.530767549557</v>
      </c>
      <c r="K771" s="24">
        <f t="shared" si="169"/>
        <v>0.71045996530301636</v>
      </c>
      <c r="L771" s="29">
        <f t="shared" ref="L771:L834" si="175">IF(J771&gt;MOD(H771,1),INT(H771)-1,INT(H771))</f>
        <v>46189</v>
      </c>
      <c r="M771" s="27" t="str">
        <f t="shared" si="170"/>
        <v>Medication Change</v>
      </c>
      <c r="N771" s="31">
        <f t="shared" si="171"/>
        <v>5</v>
      </c>
      <c r="O771" s="27"/>
      <c r="Q771" s="8">
        <v>0.36992236027360792</v>
      </c>
      <c r="R771" s="8" t="str">
        <f t="shared" si="172"/>
        <v>Major Delay</v>
      </c>
      <c r="S771" s="33">
        <v>1.3126179779560048</v>
      </c>
      <c r="T771" t="s">
        <v>31</v>
      </c>
      <c r="U771" s="3">
        <v>3</v>
      </c>
      <c r="V771" s="3" t="str">
        <f t="shared" ref="V771:V834" si="176">IF(T771="NO","Normal","")</f>
        <v>Normal</v>
      </c>
      <c r="W771" s="3" t="s">
        <v>50</v>
      </c>
      <c r="X771" s="32">
        <f t="shared" si="173"/>
        <v>0.17969241574610351</v>
      </c>
      <c r="Z771" s="38">
        <f t="shared" ref="Z771:Z834" si="177">IF(X771 &gt; TIME(3,0,0), X771 - TIME(3,0,0), 0)</f>
        <v>5.4692415746103507E-2</v>
      </c>
      <c r="AC771" s="36">
        <v>0.125</v>
      </c>
      <c r="AL771" t="str">
        <f t="shared" ref="AL771:AL834" si="178">IF(X771="","",IF(X771&lt;=TIME(2,0,0),"Normal",IF(X771&lt;=TIME(3,0,0),IF(D771="CASH","Bill Settlement Delay","Doctor Round Delay/Report Delay"),IF(Z771&lt;=TIME(2,0,0),IF(D771="TPA","TPA Approval Delay","Medication Change"),IF(D771="TPA","Health Deterioration/TPA Approval Delay","Health Deterioration")))))</f>
        <v>Medication Change</v>
      </c>
      <c r="AM771" t="str">
        <f t="shared" ref="AM771:AM834" si="179">IF(OR(AND(B771&gt;65, R771="Critical Delay"), N771&gt;10), "Yes", "No")</f>
        <v>No</v>
      </c>
      <c r="AN771" t="str">
        <f t="shared" ref="AN771:AN834" si="180">IF(E771="Cardiology &amp; Cardiothoracic", IF(MOD(ROW(),10)&lt;3, "Emergency", "Elective"), IF(E771="Neurology &amp; Neurosurgery", IF(MOD(ROW(),10)&lt;4, "Emergency", "Elective"), IF(D771="COR", IF(MOD(ROW(),20)&lt;7, "Emergency", "Elective"), IF(OR(R771="Critical Delay", N771&gt;=7), "Emergency", "Elective"))))</f>
        <v>Elective</v>
      </c>
      <c r="AO771" t="str">
        <f t="shared" ref="AO771:AO834" si="181">IF(OR(N771&gt;6, AND(E771="Cardiology &amp; Cardiothoracic", MOD(ROW(),10)&lt;4), AND(E771="Neurology &amp; Neurosurgery", MOD(ROW(),10)&lt;6)), "ICU", IF(OR(N771&gt;3, AND(E771="Cardiology &amp; Cardiothoracic", MOD(ROW(),10)&lt;6), E771="Neurology &amp; Neurosurgery"), "HDU", "General Ward"))</f>
        <v>HDU</v>
      </c>
    </row>
    <row r="772" spans="1:41" x14ac:dyDescent="0.3">
      <c r="A772" s="21" t="str">
        <f t="shared" si="174"/>
        <v>UHID-00771</v>
      </c>
      <c r="B772" s="18">
        <v>40</v>
      </c>
      <c r="C772" s="10" t="s">
        <v>18</v>
      </c>
      <c r="D772" s="13" t="s">
        <v>27</v>
      </c>
      <c r="E772" s="13" t="s">
        <v>5</v>
      </c>
      <c r="F772" s="15">
        <v>46184.375063518499</v>
      </c>
      <c r="G772" s="4">
        <v>46184</v>
      </c>
      <c r="H772" s="1">
        <v>46190.680114652801</v>
      </c>
      <c r="I772" s="22">
        <v>46190</v>
      </c>
      <c r="J772" s="24">
        <f t="shared" si="168"/>
        <v>46190.493659319036</v>
      </c>
      <c r="K772" s="24">
        <f t="shared" si="169"/>
        <v>0.68011465280142147</v>
      </c>
      <c r="L772" s="29">
        <f t="shared" si="175"/>
        <v>46189</v>
      </c>
      <c r="M772" s="27" t="str">
        <f t="shared" si="170"/>
        <v>Medication Change</v>
      </c>
      <c r="N772" s="31">
        <f t="shared" si="171"/>
        <v>6</v>
      </c>
      <c r="O772" s="27"/>
      <c r="Q772" s="8">
        <v>0.31996229112930641</v>
      </c>
      <c r="R772" s="8" t="str">
        <f t="shared" si="172"/>
        <v>Major Delay</v>
      </c>
      <c r="S772" s="33">
        <v>1.4749280103676625</v>
      </c>
      <c r="T772" t="s">
        <v>30</v>
      </c>
      <c r="U772" s="3">
        <v>3</v>
      </c>
      <c r="V772" s="3" t="str">
        <f t="shared" si="176"/>
        <v/>
      </c>
      <c r="W772" s="3" t="s">
        <v>50</v>
      </c>
      <c r="X772" s="32">
        <f t="shared" si="173"/>
        <v>0.18645533376547974</v>
      </c>
      <c r="Z772" s="38">
        <f t="shared" si="177"/>
        <v>6.1455333765479736E-2</v>
      </c>
      <c r="AC772" s="36">
        <v>0.125</v>
      </c>
      <c r="AL772" t="str">
        <f t="shared" si="178"/>
        <v>Medication Change</v>
      </c>
      <c r="AM772" t="str">
        <f t="shared" si="179"/>
        <v>No</v>
      </c>
      <c r="AN772" t="str">
        <f t="shared" si="180"/>
        <v>Elective</v>
      </c>
      <c r="AO772" t="str">
        <f t="shared" si="181"/>
        <v>HDU</v>
      </c>
    </row>
    <row r="773" spans="1:41" x14ac:dyDescent="0.3">
      <c r="A773" s="21" t="str">
        <f t="shared" si="174"/>
        <v>UHID-00772</v>
      </c>
      <c r="B773" s="18">
        <v>67</v>
      </c>
      <c r="C773" s="10" t="s">
        <v>17</v>
      </c>
      <c r="D773" s="13" t="s">
        <v>27</v>
      </c>
      <c r="E773" s="13" t="s">
        <v>5</v>
      </c>
      <c r="F773" s="15">
        <v>46174.766002997698</v>
      </c>
      <c r="G773" s="4">
        <v>46174</v>
      </c>
      <c r="H773" s="1">
        <v>46190.628508668997</v>
      </c>
      <c r="I773" s="22">
        <v>46190</v>
      </c>
      <c r="J773" s="24">
        <f t="shared" si="168"/>
        <v>46190.453212300228</v>
      </c>
      <c r="K773" s="24">
        <f t="shared" si="169"/>
        <v>0.62850866899680113</v>
      </c>
      <c r="L773" s="29">
        <f t="shared" si="175"/>
        <v>46189</v>
      </c>
      <c r="M773" s="27" t="str">
        <f t="shared" si="170"/>
        <v>Medication Change</v>
      </c>
      <c r="N773" s="31">
        <f t="shared" si="171"/>
        <v>16</v>
      </c>
      <c r="O773" s="27"/>
      <c r="Q773" s="8">
        <v>0.34278981105840323</v>
      </c>
      <c r="R773" s="8" t="str">
        <f t="shared" si="172"/>
        <v>Major Delay</v>
      </c>
      <c r="S773" s="33">
        <v>1.207112850369731</v>
      </c>
      <c r="T773" t="s">
        <v>30</v>
      </c>
      <c r="U773" s="3">
        <v>3</v>
      </c>
      <c r="V773" s="3" t="str">
        <f t="shared" si="176"/>
        <v/>
      </c>
      <c r="W773" s="3" t="s">
        <v>50</v>
      </c>
      <c r="X773" s="32">
        <f t="shared" si="173"/>
        <v>0.17529636876861332</v>
      </c>
      <c r="Z773" s="38">
        <f t="shared" si="177"/>
        <v>5.029636876861332E-2</v>
      </c>
      <c r="AC773" s="36">
        <v>0.125</v>
      </c>
      <c r="AL773" t="str">
        <f t="shared" si="178"/>
        <v>Medication Change</v>
      </c>
      <c r="AM773" t="str">
        <f t="shared" si="179"/>
        <v>Yes</v>
      </c>
      <c r="AN773" t="str">
        <f t="shared" si="180"/>
        <v>Emergency</v>
      </c>
      <c r="AO773" t="str">
        <f t="shared" si="181"/>
        <v>ICU</v>
      </c>
    </row>
    <row r="774" spans="1:41" x14ac:dyDescent="0.3">
      <c r="A774" s="21" t="str">
        <f t="shared" si="174"/>
        <v>UHID-00773</v>
      </c>
      <c r="B774" s="18">
        <v>80</v>
      </c>
      <c r="C774" s="10" t="s">
        <v>18</v>
      </c>
      <c r="D774" s="13" t="s">
        <v>26</v>
      </c>
      <c r="E774" s="13" t="s">
        <v>5</v>
      </c>
      <c r="F774" s="15">
        <v>46186.845386828703</v>
      </c>
      <c r="G774" s="4">
        <v>46186</v>
      </c>
      <c r="H774" s="1">
        <v>46190.685070358799</v>
      </c>
      <c r="I774" s="22">
        <v>46190</v>
      </c>
      <c r="J774" s="24">
        <f t="shared" si="168"/>
        <v>46190.44470911636</v>
      </c>
      <c r="K774" s="24">
        <f t="shared" si="169"/>
        <v>0.68507035879883915</v>
      </c>
      <c r="L774" s="29">
        <f t="shared" si="175"/>
        <v>46189</v>
      </c>
      <c r="M774" s="27" t="str">
        <f t="shared" si="170"/>
        <v>Health Deterioration/TPA Approval Delay</v>
      </c>
      <c r="N774" s="31">
        <f t="shared" si="171"/>
        <v>4</v>
      </c>
      <c r="O774" s="27"/>
      <c r="Q774" s="8">
        <v>0.815926837904135</v>
      </c>
      <c r="R774" s="8" t="str">
        <f t="shared" si="172"/>
        <v>Critical Delay</v>
      </c>
      <c r="S774" s="33">
        <v>3.7686698185110803</v>
      </c>
      <c r="T774" t="s">
        <v>31</v>
      </c>
      <c r="U774" s="3">
        <v>2</v>
      </c>
      <c r="V774" s="3" t="str">
        <f t="shared" si="176"/>
        <v>Normal</v>
      </c>
      <c r="W774" s="3" t="s">
        <v>50</v>
      </c>
      <c r="X774" s="32">
        <f t="shared" si="173"/>
        <v>0.24036124243866652</v>
      </c>
      <c r="Z774" s="38">
        <f t="shared" si="177"/>
        <v>0.11536124243866652</v>
      </c>
      <c r="AC774" s="36">
        <v>0.125</v>
      </c>
      <c r="AL774" t="str">
        <f t="shared" si="178"/>
        <v>Health Deterioration/TPA Approval Delay</v>
      </c>
      <c r="AM774" t="str">
        <f t="shared" si="179"/>
        <v>Yes</v>
      </c>
      <c r="AN774" t="str">
        <f t="shared" si="180"/>
        <v>Emergency</v>
      </c>
      <c r="AO774" t="str">
        <f t="shared" si="181"/>
        <v>HDU</v>
      </c>
    </row>
    <row r="775" spans="1:41" x14ac:dyDescent="0.3">
      <c r="A775" s="21" t="str">
        <f t="shared" si="174"/>
        <v>UHID-00774</v>
      </c>
      <c r="B775" s="18">
        <v>70</v>
      </c>
      <c r="C775" s="10" t="s">
        <v>18</v>
      </c>
      <c r="D775" s="13" t="s">
        <v>27</v>
      </c>
      <c r="E775" s="13" t="s">
        <v>5</v>
      </c>
      <c r="F775" s="15">
        <v>46189.689570405098</v>
      </c>
      <c r="G775" s="4">
        <v>46189</v>
      </c>
      <c r="H775" s="1">
        <v>46191.584054942097</v>
      </c>
      <c r="I775" s="22">
        <v>46191</v>
      </c>
      <c r="J775" s="24">
        <f t="shared" si="168"/>
        <v>46191.501060417497</v>
      </c>
      <c r="K775" s="24">
        <f t="shared" si="169"/>
        <v>0.58405494209728204</v>
      </c>
      <c r="L775" s="29">
        <f t="shared" si="175"/>
        <v>46190</v>
      </c>
      <c r="M775" s="27" t="str">
        <f t="shared" si="170"/>
        <v>Normal</v>
      </c>
      <c r="N775" s="31">
        <f t="shared" si="171"/>
        <v>2</v>
      </c>
      <c r="O775" s="27"/>
      <c r="Q775" s="8">
        <v>8.703104004334794E-2</v>
      </c>
      <c r="R775" s="8" t="str">
        <f t="shared" si="172"/>
        <v>On Time</v>
      </c>
      <c r="S775" s="33">
        <v>1.9918685904644151</v>
      </c>
      <c r="T775" t="s">
        <v>30</v>
      </c>
      <c r="U775" s="3">
        <v>0</v>
      </c>
      <c r="V775" s="3" t="str">
        <f t="shared" si="176"/>
        <v/>
      </c>
      <c r="W775" s="3" t="s">
        <v>51</v>
      </c>
      <c r="X775" s="32">
        <f t="shared" si="173"/>
        <v>8.2994524600508157E-2</v>
      </c>
      <c r="Z775" s="38">
        <f t="shared" si="177"/>
        <v>0</v>
      </c>
      <c r="AC775" s="36">
        <v>0.125</v>
      </c>
      <c r="AL775" t="str">
        <f t="shared" si="178"/>
        <v>Normal</v>
      </c>
      <c r="AM775" t="str">
        <f t="shared" si="179"/>
        <v>No</v>
      </c>
      <c r="AN775" t="str">
        <f t="shared" si="180"/>
        <v>Elective</v>
      </c>
      <c r="AO775" t="str">
        <f t="shared" si="181"/>
        <v>General Ward</v>
      </c>
    </row>
    <row r="776" spans="1:41" x14ac:dyDescent="0.3">
      <c r="A776" s="21" t="str">
        <f t="shared" si="174"/>
        <v>UHID-00775</v>
      </c>
      <c r="B776" s="18">
        <v>66</v>
      </c>
      <c r="C776" s="10" t="s">
        <v>17</v>
      </c>
      <c r="D776" s="13" t="s">
        <v>26</v>
      </c>
      <c r="E776" s="13" t="s">
        <v>5</v>
      </c>
      <c r="F776" s="15">
        <v>46174.728097326399</v>
      </c>
      <c r="G776" s="4">
        <v>46174</v>
      </c>
      <c r="H776" s="1">
        <v>46191.6583862384</v>
      </c>
      <c r="I776" s="22">
        <v>46191</v>
      </c>
      <c r="J776" s="24">
        <f t="shared" si="168"/>
        <v>46191.493458115932</v>
      </c>
      <c r="K776" s="24">
        <f t="shared" si="169"/>
        <v>0.6583862383995438</v>
      </c>
      <c r="L776" s="29">
        <f t="shared" si="175"/>
        <v>46190</v>
      </c>
      <c r="M776" s="27" t="str">
        <f t="shared" si="170"/>
        <v>TPA Approval Delay</v>
      </c>
      <c r="N776" s="31">
        <f t="shared" si="171"/>
        <v>17</v>
      </c>
      <c r="O776" s="27"/>
      <c r="Q776" s="8">
        <v>0.68301874346080049</v>
      </c>
      <c r="R776" s="8" t="str">
        <f t="shared" si="172"/>
        <v>Major Delay</v>
      </c>
      <c r="S776" s="33">
        <v>3.9582749392838759</v>
      </c>
      <c r="T776" t="s">
        <v>31</v>
      </c>
      <c r="U776" s="3">
        <v>0</v>
      </c>
      <c r="V776" s="3" t="str">
        <f t="shared" si="176"/>
        <v>Normal</v>
      </c>
      <c r="W776" s="3" t="s">
        <v>51</v>
      </c>
      <c r="X776" s="32">
        <f t="shared" si="173"/>
        <v>0.16492812246724498</v>
      </c>
      <c r="Z776" s="38">
        <f t="shared" si="177"/>
        <v>3.9928122467244975E-2</v>
      </c>
      <c r="AC776" s="36">
        <v>0.125</v>
      </c>
      <c r="AL776" t="str">
        <f t="shared" si="178"/>
        <v>TPA Approval Delay</v>
      </c>
      <c r="AM776" t="str">
        <f t="shared" si="179"/>
        <v>Yes</v>
      </c>
      <c r="AN776" t="str">
        <f t="shared" si="180"/>
        <v>Emergency</v>
      </c>
      <c r="AO776" t="str">
        <f t="shared" si="181"/>
        <v>ICU</v>
      </c>
    </row>
    <row r="777" spans="1:41" x14ac:dyDescent="0.3">
      <c r="A777" s="21" t="str">
        <f t="shared" si="174"/>
        <v>UHID-00776</v>
      </c>
      <c r="B777" s="18">
        <v>60</v>
      </c>
      <c r="C777" s="10" t="s">
        <v>18</v>
      </c>
      <c r="D777" s="13" t="s">
        <v>27</v>
      </c>
      <c r="E777" s="13" t="s">
        <v>5</v>
      </c>
      <c r="F777" s="15">
        <v>46176.976716956</v>
      </c>
      <c r="G777" s="4">
        <v>46176</v>
      </c>
      <c r="H777" s="1">
        <v>46191.181944444397</v>
      </c>
      <c r="I777" s="22">
        <v>46191</v>
      </c>
      <c r="J777" s="24">
        <f t="shared" si="168"/>
        <v>46191.129440092955</v>
      </c>
      <c r="K777" s="24">
        <f t="shared" si="169"/>
        <v>0.18194444439723156</v>
      </c>
      <c r="L777" s="29">
        <f t="shared" si="175"/>
        <v>46190</v>
      </c>
      <c r="M777" s="27" t="str">
        <f t="shared" si="170"/>
        <v>Normal</v>
      </c>
      <c r="N777" s="31">
        <f t="shared" si="171"/>
        <v>15</v>
      </c>
      <c r="O777" s="27"/>
      <c r="Q777" s="8">
        <v>0.11686344892041489</v>
      </c>
      <c r="R777" s="8" t="str">
        <f t="shared" si="172"/>
        <v>On Time</v>
      </c>
      <c r="S777" s="33">
        <v>1.2601044346768187</v>
      </c>
      <c r="T777" t="s">
        <v>30</v>
      </c>
      <c r="U777" s="3">
        <v>0</v>
      </c>
      <c r="V777" s="3" t="str">
        <f t="shared" si="176"/>
        <v/>
      </c>
      <c r="W777" s="3" t="s">
        <v>51</v>
      </c>
      <c r="X777" s="32">
        <f t="shared" si="173"/>
        <v>5.2504351442621555E-2</v>
      </c>
      <c r="Z777" s="38">
        <f t="shared" si="177"/>
        <v>0</v>
      </c>
      <c r="AC777" s="36">
        <v>0.125</v>
      </c>
      <c r="AL777" t="str">
        <f t="shared" si="178"/>
        <v>Normal</v>
      </c>
      <c r="AM777" t="str">
        <f t="shared" si="179"/>
        <v>Yes</v>
      </c>
      <c r="AN777" t="str">
        <f t="shared" si="180"/>
        <v>Emergency</v>
      </c>
      <c r="AO777" t="str">
        <f t="shared" si="181"/>
        <v>ICU</v>
      </c>
    </row>
    <row r="778" spans="1:41" x14ac:dyDescent="0.3">
      <c r="A778" s="21" t="str">
        <f t="shared" si="174"/>
        <v>UHID-00777</v>
      </c>
      <c r="B778" s="18">
        <v>59</v>
      </c>
      <c r="C778" s="10" t="s">
        <v>17</v>
      </c>
      <c r="D778" s="13" t="s">
        <v>28</v>
      </c>
      <c r="E778" s="13" t="s">
        <v>5</v>
      </c>
      <c r="F778" s="15">
        <v>46185.916214999997</v>
      </c>
      <c r="G778" s="4">
        <v>46185</v>
      </c>
      <c r="H778" s="1">
        <v>46191.393795081</v>
      </c>
      <c r="I778" s="22">
        <v>46191</v>
      </c>
      <c r="J778" s="24">
        <f t="shared" si="168"/>
        <v>46191.309731833346</v>
      </c>
      <c r="K778" s="24">
        <f t="shared" si="169"/>
        <v>0.39379508099955274</v>
      </c>
      <c r="L778" s="29">
        <f t="shared" si="175"/>
        <v>46190</v>
      </c>
      <c r="M778" s="27" t="str">
        <f t="shared" si="170"/>
        <v>Doctor Round Delay/Report Delay</v>
      </c>
      <c r="N778" s="31">
        <f t="shared" si="171"/>
        <v>6</v>
      </c>
      <c r="O778" s="27"/>
      <c r="Q778" s="8">
        <v>0.85426991572947697</v>
      </c>
      <c r="R778" s="8" t="str">
        <f t="shared" si="172"/>
        <v>Minor Delay</v>
      </c>
      <c r="S778" s="33">
        <v>2.0175179437737332</v>
      </c>
      <c r="T778" t="s">
        <v>31</v>
      </c>
      <c r="U778" s="3">
        <v>0</v>
      </c>
      <c r="V778" s="3" t="str">
        <f t="shared" si="176"/>
        <v>Normal</v>
      </c>
      <c r="W778" s="3" t="s">
        <v>51</v>
      </c>
      <c r="X778" s="32">
        <f t="shared" si="173"/>
        <v>8.4063247653830331E-2</v>
      </c>
      <c r="Z778" s="38">
        <f t="shared" si="177"/>
        <v>0</v>
      </c>
      <c r="AC778" s="36">
        <v>0.125</v>
      </c>
      <c r="AL778" t="str">
        <f t="shared" si="178"/>
        <v>Doctor Round Delay/Report Delay</v>
      </c>
      <c r="AM778" t="str">
        <f t="shared" si="179"/>
        <v>No</v>
      </c>
      <c r="AN778" t="str">
        <f t="shared" si="180"/>
        <v>Elective</v>
      </c>
      <c r="AO778" t="str">
        <f t="shared" si="181"/>
        <v>HDU</v>
      </c>
    </row>
    <row r="779" spans="1:41" x14ac:dyDescent="0.3">
      <c r="A779" s="21" t="str">
        <f t="shared" si="174"/>
        <v>UHID-00778</v>
      </c>
      <c r="B779" s="18">
        <v>59</v>
      </c>
      <c r="C779" s="10" t="s">
        <v>18</v>
      </c>
      <c r="D779" s="13" t="s">
        <v>26</v>
      </c>
      <c r="E779" s="13" t="s">
        <v>5</v>
      </c>
      <c r="F779" s="15">
        <v>46189.493325787</v>
      </c>
      <c r="G779" s="4">
        <v>46189</v>
      </c>
      <c r="H779" s="1">
        <v>46191.452181967601</v>
      </c>
      <c r="I779" s="22">
        <v>46191</v>
      </c>
      <c r="J779" s="24">
        <f t="shared" si="168"/>
        <v>46191.288318030915</v>
      </c>
      <c r="K779" s="24">
        <f t="shared" si="169"/>
        <v>0.45218196760106366</v>
      </c>
      <c r="L779" s="29">
        <f t="shared" si="175"/>
        <v>46190</v>
      </c>
      <c r="M779" s="27" t="str">
        <f t="shared" si="170"/>
        <v>TPA Approval Delay</v>
      </c>
      <c r="N779" s="31">
        <f t="shared" si="171"/>
        <v>2</v>
      </c>
      <c r="O779" s="27"/>
      <c r="Q779" s="8">
        <v>0.6366546533082692</v>
      </c>
      <c r="R779" s="8" t="str">
        <f t="shared" si="172"/>
        <v>Major Delay</v>
      </c>
      <c r="S779" s="33">
        <v>3.9327344804590667</v>
      </c>
      <c r="T779" t="s">
        <v>31</v>
      </c>
      <c r="U779" s="3">
        <v>0</v>
      </c>
      <c r="V779" s="3" t="str">
        <f t="shared" si="176"/>
        <v>Normal</v>
      </c>
      <c r="W779" s="3" t="s">
        <v>51</v>
      </c>
      <c r="X779" s="32">
        <f t="shared" si="173"/>
        <v>0.16386393668653909</v>
      </c>
      <c r="Z779" s="38">
        <f t="shared" si="177"/>
        <v>3.8863936686539091E-2</v>
      </c>
      <c r="AC779" s="36">
        <v>0.125</v>
      </c>
      <c r="AL779" t="str">
        <f t="shared" si="178"/>
        <v>TPA Approval Delay</v>
      </c>
      <c r="AM779" t="str">
        <f t="shared" si="179"/>
        <v>No</v>
      </c>
      <c r="AN779" t="str">
        <f t="shared" si="180"/>
        <v>Elective</v>
      </c>
      <c r="AO779" t="str">
        <f t="shared" si="181"/>
        <v>General Ward</v>
      </c>
    </row>
    <row r="780" spans="1:41" x14ac:dyDescent="0.3">
      <c r="A780" s="21" t="str">
        <f t="shared" si="174"/>
        <v>UHID-00779</v>
      </c>
      <c r="B780" s="18">
        <v>61</v>
      </c>
      <c r="C780" s="10" t="s">
        <v>18</v>
      </c>
      <c r="D780" s="13" t="s">
        <v>27</v>
      </c>
      <c r="E780" s="13" t="s">
        <v>5</v>
      </c>
      <c r="F780" s="15">
        <v>46188.633011411999</v>
      </c>
      <c r="G780" s="4">
        <v>46188</v>
      </c>
      <c r="H780" s="1">
        <v>46191.611987812503</v>
      </c>
      <c r="I780" s="22">
        <v>46191</v>
      </c>
      <c r="J780" s="24">
        <f t="shared" si="168"/>
        <v>46191.540162143625</v>
      </c>
      <c r="K780" s="24">
        <f t="shared" si="169"/>
        <v>0.61198781250277534</v>
      </c>
      <c r="L780" s="29">
        <f t="shared" si="175"/>
        <v>46190</v>
      </c>
      <c r="M780" s="27" t="str">
        <f t="shared" si="170"/>
        <v>Normal</v>
      </c>
      <c r="N780" s="31">
        <f t="shared" si="171"/>
        <v>3</v>
      </c>
      <c r="O780" s="27"/>
      <c r="Q780" s="8">
        <v>0.38422603806039102</v>
      </c>
      <c r="R780" s="8" t="str">
        <f t="shared" si="172"/>
        <v>On Time</v>
      </c>
      <c r="S780" s="33">
        <v>1.7238160531550573</v>
      </c>
      <c r="T780" t="s">
        <v>31</v>
      </c>
      <c r="U780" s="3">
        <v>0</v>
      </c>
      <c r="V780" s="3" t="str">
        <f t="shared" si="176"/>
        <v>Normal</v>
      </c>
      <c r="W780" s="3" t="s">
        <v>51</v>
      </c>
      <c r="X780" s="32">
        <f t="shared" si="173"/>
        <v>7.1825668877863791E-2</v>
      </c>
      <c r="Z780" s="38">
        <f t="shared" si="177"/>
        <v>0</v>
      </c>
      <c r="AC780" s="36">
        <v>0.125</v>
      </c>
      <c r="AL780" t="str">
        <f t="shared" si="178"/>
        <v>Normal</v>
      </c>
      <c r="AM780" t="str">
        <f t="shared" si="179"/>
        <v>No</v>
      </c>
      <c r="AN780" t="str">
        <f t="shared" si="180"/>
        <v>Elective</v>
      </c>
      <c r="AO780" t="str">
        <f t="shared" si="181"/>
        <v>General Ward</v>
      </c>
    </row>
    <row r="781" spans="1:41" x14ac:dyDescent="0.3">
      <c r="A781" s="21" t="str">
        <f t="shared" si="174"/>
        <v>UHID-00780</v>
      </c>
      <c r="B781" s="18">
        <v>50</v>
      </c>
      <c r="C781" s="10" t="s">
        <v>18</v>
      </c>
      <c r="D781" s="13" t="s">
        <v>28</v>
      </c>
      <c r="E781" s="13" t="s">
        <v>5</v>
      </c>
      <c r="F781" s="15">
        <v>46185.462214525498</v>
      </c>
      <c r="G781" s="4">
        <v>46185</v>
      </c>
      <c r="H781" s="1">
        <v>46191.679927627301</v>
      </c>
      <c r="I781" s="22">
        <v>46191</v>
      </c>
      <c r="J781" s="24">
        <f t="shared" si="168"/>
        <v>46191.591244313837</v>
      </c>
      <c r="K781" s="24">
        <f t="shared" si="169"/>
        <v>0.67992762730136747</v>
      </c>
      <c r="L781" s="29">
        <f t="shared" si="175"/>
        <v>46190</v>
      </c>
      <c r="M781" s="27" t="str">
        <f t="shared" si="170"/>
        <v>Doctor Round Delay/Report Delay</v>
      </c>
      <c r="N781" s="31">
        <f t="shared" si="171"/>
        <v>6</v>
      </c>
      <c r="O781" s="27"/>
      <c r="Q781" s="8">
        <v>0.90749556927624619</v>
      </c>
      <c r="R781" s="8" t="str">
        <f t="shared" si="172"/>
        <v>Minor Delay</v>
      </c>
      <c r="S781" s="33">
        <v>2.1283995231242536</v>
      </c>
      <c r="T781" t="s">
        <v>31</v>
      </c>
      <c r="U781" s="3">
        <v>0</v>
      </c>
      <c r="V781" s="3" t="str">
        <f t="shared" si="176"/>
        <v>Normal</v>
      </c>
      <c r="W781" s="3" t="s">
        <v>51</v>
      </c>
      <c r="X781" s="32">
        <f t="shared" si="173"/>
        <v>8.8683313464571256E-2</v>
      </c>
      <c r="Z781" s="38">
        <f t="shared" si="177"/>
        <v>0</v>
      </c>
      <c r="AC781" s="36">
        <v>0.125</v>
      </c>
      <c r="AL781" t="str">
        <f t="shared" si="178"/>
        <v>Doctor Round Delay/Report Delay</v>
      </c>
      <c r="AM781" t="str">
        <f t="shared" si="179"/>
        <v>No</v>
      </c>
      <c r="AN781" t="str">
        <f t="shared" si="180"/>
        <v>Emergency</v>
      </c>
      <c r="AO781" t="str">
        <f t="shared" si="181"/>
        <v>HDU</v>
      </c>
    </row>
    <row r="782" spans="1:41" x14ac:dyDescent="0.3">
      <c r="A782" s="21" t="str">
        <f t="shared" si="174"/>
        <v>UHID-00781</v>
      </c>
      <c r="B782" s="18">
        <v>55</v>
      </c>
      <c r="C782" s="10" t="s">
        <v>18</v>
      </c>
      <c r="D782" s="13" t="s">
        <v>27</v>
      </c>
      <c r="E782" s="13" t="s">
        <v>5</v>
      </c>
      <c r="F782" s="15">
        <v>46180.436462418998</v>
      </c>
      <c r="G782" s="4">
        <v>46180</v>
      </c>
      <c r="H782" s="1">
        <v>46191.297222222202</v>
      </c>
      <c r="I782" s="22">
        <v>46191</v>
      </c>
      <c r="J782" s="24">
        <f t="shared" si="168"/>
        <v>46191.217378325055</v>
      </c>
      <c r="K782" s="24">
        <f t="shared" si="169"/>
        <v>0.29722222220152617</v>
      </c>
      <c r="L782" s="29">
        <f t="shared" si="175"/>
        <v>46190</v>
      </c>
      <c r="M782" s="27" t="str">
        <f t="shared" si="170"/>
        <v>Normal</v>
      </c>
      <c r="N782" s="31">
        <f t="shared" si="171"/>
        <v>11</v>
      </c>
      <c r="O782" s="27"/>
      <c r="Q782" s="8">
        <v>0.21755438374089542</v>
      </c>
      <c r="R782" s="8" t="str">
        <f t="shared" si="172"/>
        <v>On Time</v>
      </c>
      <c r="S782" s="33">
        <v>1.9162535315525937</v>
      </c>
      <c r="T782" t="s">
        <v>30</v>
      </c>
      <c r="U782" s="3">
        <v>0</v>
      </c>
      <c r="V782" s="3" t="str">
        <f t="shared" si="176"/>
        <v/>
      </c>
      <c r="W782" s="3" t="s">
        <v>51</v>
      </c>
      <c r="X782" s="32">
        <f t="shared" si="173"/>
        <v>7.9843897146929521E-2</v>
      </c>
      <c r="Z782" s="38">
        <f t="shared" si="177"/>
        <v>0</v>
      </c>
      <c r="AC782" s="36">
        <v>0.125</v>
      </c>
      <c r="AL782" t="str">
        <f t="shared" si="178"/>
        <v>Normal</v>
      </c>
      <c r="AM782" t="str">
        <f t="shared" si="179"/>
        <v>Yes</v>
      </c>
      <c r="AN782" t="str">
        <f t="shared" si="180"/>
        <v>Emergency</v>
      </c>
      <c r="AO782" t="str">
        <f t="shared" si="181"/>
        <v>ICU</v>
      </c>
    </row>
    <row r="783" spans="1:41" x14ac:dyDescent="0.3">
      <c r="A783" s="21" t="str">
        <f t="shared" si="174"/>
        <v>UHID-00782</v>
      </c>
      <c r="B783" s="18">
        <v>62</v>
      </c>
      <c r="C783" s="10" t="s">
        <v>17</v>
      </c>
      <c r="D783" s="13" t="s">
        <v>28</v>
      </c>
      <c r="E783" s="13" t="s">
        <v>5</v>
      </c>
      <c r="F783" s="15">
        <v>46191.411612661999</v>
      </c>
      <c r="G783" s="4">
        <v>46191</v>
      </c>
      <c r="H783" s="1">
        <v>46191.841120034704</v>
      </c>
      <c r="I783" s="22">
        <v>46191</v>
      </c>
      <c r="J783" s="24">
        <f t="shared" si="168"/>
        <v>46191.555902628352</v>
      </c>
      <c r="K783" s="24">
        <f t="shared" si="169"/>
        <v>0.84112003470363561</v>
      </c>
      <c r="L783" s="29">
        <f t="shared" si="175"/>
        <v>46190</v>
      </c>
      <c r="M783" s="27" t="str">
        <f t="shared" si="170"/>
        <v>Health Deterioration</v>
      </c>
      <c r="N783" s="31">
        <f t="shared" si="171"/>
        <v>0</v>
      </c>
      <c r="O783" s="27"/>
      <c r="Q783" s="8">
        <v>0.89606246965305991</v>
      </c>
      <c r="R783" s="8" t="str">
        <f t="shared" si="172"/>
        <v>Critical Delay</v>
      </c>
      <c r="S783" s="33">
        <v>2.8452177524466706</v>
      </c>
      <c r="T783" t="s">
        <v>31</v>
      </c>
      <c r="U783" s="3">
        <v>4</v>
      </c>
      <c r="V783" s="3" t="str">
        <f t="shared" si="176"/>
        <v>Normal</v>
      </c>
      <c r="W783" s="3" t="s">
        <v>50</v>
      </c>
      <c r="X783" s="32">
        <f t="shared" si="173"/>
        <v>0.28521740635187598</v>
      </c>
      <c r="Z783" s="38">
        <f t="shared" si="177"/>
        <v>0.16021740635187598</v>
      </c>
      <c r="AC783" s="36">
        <v>0.125</v>
      </c>
      <c r="AL783" t="str">
        <f t="shared" si="178"/>
        <v>Health Deterioration</v>
      </c>
      <c r="AM783" t="str">
        <f t="shared" si="179"/>
        <v>No</v>
      </c>
      <c r="AN783" t="str">
        <f t="shared" si="180"/>
        <v>Emergency</v>
      </c>
      <c r="AO783" t="str">
        <f t="shared" si="181"/>
        <v>General Ward</v>
      </c>
    </row>
    <row r="784" spans="1:41" x14ac:dyDescent="0.3">
      <c r="A784" s="21" t="str">
        <f t="shared" si="174"/>
        <v>UHID-00783</v>
      </c>
      <c r="B784" s="18">
        <v>45</v>
      </c>
      <c r="C784" s="10" t="s">
        <v>17</v>
      </c>
      <c r="D784" s="13" t="s">
        <v>26</v>
      </c>
      <c r="E784" s="13" t="s">
        <v>5</v>
      </c>
      <c r="F784" s="15">
        <v>46189.804154965299</v>
      </c>
      <c r="G784" s="4">
        <v>46189</v>
      </c>
      <c r="H784" s="1">
        <v>46191.859781145802</v>
      </c>
      <c r="I784" s="22">
        <v>46191</v>
      </c>
      <c r="J784" s="24">
        <f t="shared" si="168"/>
        <v>46191.703512143547</v>
      </c>
      <c r="K784" s="24">
        <f t="shared" si="169"/>
        <v>0.85978114580211695</v>
      </c>
      <c r="L784" s="29">
        <f t="shared" si="175"/>
        <v>46190</v>
      </c>
      <c r="M784" s="27" t="str">
        <f t="shared" si="170"/>
        <v>TPA Approval Delay</v>
      </c>
      <c r="N784" s="31">
        <f t="shared" si="171"/>
        <v>2</v>
      </c>
      <c r="O784" s="27"/>
      <c r="Q784" s="8">
        <v>0.79107657231498385</v>
      </c>
      <c r="R784" s="8" t="str">
        <f t="shared" si="172"/>
        <v>Major Delay</v>
      </c>
      <c r="S784" s="33">
        <v>3.7504560541111505</v>
      </c>
      <c r="T784" t="s">
        <v>31</v>
      </c>
      <c r="U784" s="3">
        <v>0</v>
      </c>
      <c r="V784" s="3" t="str">
        <f t="shared" si="176"/>
        <v>Normal</v>
      </c>
      <c r="W784" s="3" t="s">
        <v>51</v>
      </c>
      <c r="X784" s="32">
        <f t="shared" si="173"/>
        <v>0.15626900225470308</v>
      </c>
      <c r="Z784" s="38">
        <f t="shared" si="177"/>
        <v>3.1269002254703082E-2</v>
      </c>
      <c r="AC784" s="36">
        <v>0.125</v>
      </c>
      <c r="AL784" t="str">
        <f t="shared" si="178"/>
        <v>TPA Approval Delay</v>
      </c>
      <c r="AM784" t="str">
        <f t="shared" si="179"/>
        <v>No</v>
      </c>
      <c r="AN784" t="str">
        <f t="shared" si="180"/>
        <v>Elective</v>
      </c>
      <c r="AO784" t="str">
        <f t="shared" si="181"/>
        <v>General Ward</v>
      </c>
    </row>
    <row r="785" spans="1:41" x14ac:dyDescent="0.3">
      <c r="A785" s="21" t="str">
        <f t="shared" si="174"/>
        <v>UHID-00784</v>
      </c>
      <c r="B785" s="18">
        <v>42</v>
      </c>
      <c r="C785" s="10" t="s">
        <v>18</v>
      </c>
      <c r="D785" s="13" t="s">
        <v>27</v>
      </c>
      <c r="E785" s="13" t="s">
        <v>5</v>
      </c>
      <c r="F785" s="15">
        <v>46185.474606979202</v>
      </c>
      <c r="G785" s="4">
        <v>46185</v>
      </c>
      <c r="H785" s="1">
        <v>46191.565334074097</v>
      </c>
      <c r="I785" s="22">
        <v>46191</v>
      </c>
      <c r="J785" s="24">
        <f t="shared" si="168"/>
        <v>46191.493667919473</v>
      </c>
      <c r="K785" s="24">
        <f t="shared" si="169"/>
        <v>0.56533407409733627</v>
      </c>
      <c r="L785" s="29">
        <f t="shared" si="175"/>
        <v>46190</v>
      </c>
      <c r="M785" s="27" t="str">
        <f t="shared" si="170"/>
        <v>Normal</v>
      </c>
      <c r="N785" s="31">
        <f t="shared" si="171"/>
        <v>6</v>
      </c>
      <c r="O785" s="27"/>
      <c r="Q785" s="8">
        <v>0.14164101165464993</v>
      </c>
      <c r="R785" s="8" t="str">
        <f t="shared" si="172"/>
        <v>On Time</v>
      </c>
      <c r="S785" s="33">
        <v>1.7199877109207455</v>
      </c>
      <c r="T785" t="s">
        <v>30</v>
      </c>
      <c r="U785" s="3">
        <v>0</v>
      </c>
      <c r="V785" s="3" t="str">
        <f t="shared" si="176"/>
        <v/>
      </c>
      <c r="W785" s="3" t="s">
        <v>51</v>
      </c>
      <c r="X785" s="32">
        <f t="shared" si="173"/>
        <v>7.1666154624836054E-2</v>
      </c>
      <c r="Z785" s="38">
        <f t="shared" si="177"/>
        <v>0</v>
      </c>
      <c r="AC785" s="36">
        <v>0.125</v>
      </c>
      <c r="AL785" t="str">
        <f t="shared" si="178"/>
        <v>Normal</v>
      </c>
      <c r="AM785" t="str">
        <f t="shared" si="179"/>
        <v>No</v>
      </c>
      <c r="AN785" t="str">
        <f t="shared" si="180"/>
        <v>Elective</v>
      </c>
      <c r="AO785" t="str">
        <f t="shared" si="181"/>
        <v>HDU</v>
      </c>
    </row>
    <row r="786" spans="1:41" x14ac:dyDescent="0.3">
      <c r="A786" s="21" t="str">
        <f t="shared" si="174"/>
        <v>UHID-00785</v>
      </c>
      <c r="B786" s="18">
        <v>62</v>
      </c>
      <c r="C786" s="10" t="s">
        <v>17</v>
      </c>
      <c r="D786" s="13" t="s">
        <v>27</v>
      </c>
      <c r="E786" s="13" t="s">
        <v>5</v>
      </c>
      <c r="F786" s="15">
        <v>46191.427328124999</v>
      </c>
      <c r="G786" s="4">
        <v>46191</v>
      </c>
      <c r="H786" s="1">
        <v>46192.611494166697</v>
      </c>
      <c r="I786" s="22">
        <v>46192</v>
      </c>
      <c r="J786" s="24">
        <f t="shared" si="168"/>
        <v>46192.362888235868</v>
      </c>
      <c r="K786" s="24">
        <f t="shared" si="169"/>
        <v>0.61149416669650236</v>
      </c>
      <c r="L786" s="29">
        <f t="shared" si="175"/>
        <v>46191</v>
      </c>
      <c r="M786" s="27" t="str">
        <f t="shared" si="170"/>
        <v>Health Deterioration</v>
      </c>
      <c r="N786" s="31">
        <f t="shared" si="171"/>
        <v>1</v>
      </c>
      <c r="O786" s="27"/>
      <c r="Q786" s="8">
        <v>0.31030932355673213</v>
      </c>
      <c r="R786" s="8" t="str">
        <f t="shared" si="172"/>
        <v>Critical Delay</v>
      </c>
      <c r="S786" s="33">
        <v>1.9665423399428978</v>
      </c>
      <c r="T786" t="s">
        <v>30</v>
      </c>
      <c r="U786" s="3">
        <v>4</v>
      </c>
      <c r="V786" s="3" t="str">
        <f t="shared" si="176"/>
        <v/>
      </c>
      <c r="W786" s="3" t="s">
        <v>50</v>
      </c>
      <c r="X786" s="32">
        <f t="shared" si="173"/>
        <v>0.24860593082848936</v>
      </c>
      <c r="Z786" s="38">
        <f t="shared" si="177"/>
        <v>0.12360593082848936</v>
      </c>
      <c r="AC786" s="36">
        <v>0.125</v>
      </c>
      <c r="AL786" t="str">
        <f t="shared" si="178"/>
        <v>Health Deterioration</v>
      </c>
      <c r="AM786" t="str">
        <f t="shared" si="179"/>
        <v>No</v>
      </c>
      <c r="AN786" t="str">
        <f t="shared" si="180"/>
        <v>Emergency</v>
      </c>
      <c r="AO786" t="str">
        <f t="shared" si="181"/>
        <v>General Ward</v>
      </c>
    </row>
    <row r="787" spans="1:41" x14ac:dyDescent="0.3">
      <c r="A787" s="21" t="str">
        <f t="shared" si="174"/>
        <v>UHID-00786</v>
      </c>
      <c r="B787" s="18">
        <v>39</v>
      </c>
      <c r="C787" s="10" t="s">
        <v>18</v>
      </c>
      <c r="D787" s="13" t="s">
        <v>28</v>
      </c>
      <c r="E787" s="13" t="s">
        <v>5</v>
      </c>
      <c r="F787" s="15">
        <v>46189.624893182903</v>
      </c>
      <c r="G787" s="4">
        <v>46189</v>
      </c>
      <c r="H787" s="1">
        <v>46192.623062766201</v>
      </c>
      <c r="I787" s="22">
        <v>46192</v>
      </c>
      <c r="J787" s="24">
        <f t="shared" si="168"/>
        <v>46192.523682066523</v>
      </c>
      <c r="K787" s="24">
        <f t="shared" si="169"/>
        <v>0.62306276620074641</v>
      </c>
      <c r="L787" s="29">
        <f t="shared" si="175"/>
        <v>46191</v>
      </c>
      <c r="M787" s="27" t="str">
        <f t="shared" si="170"/>
        <v>Doctor Round Delay/Report Delay</v>
      </c>
      <c r="N787" s="31">
        <f t="shared" si="171"/>
        <v>3</v>
      </c>
      <c r="O787" s="27"/>
      <c r="Q787" s="8">
        <v>0.9872092014644257</v>
      </c>
      <c r="R787" s="8" t="str">
        <f t="shared" si="172"/>
        <v>Minor Delay</v>
      </c>
      <c r="S787" s="33">
        <v>2.3851367922789795</v>
      </c>
      <c r="T787" t="s">
        <v>31</v>
      </c>
      <c r="U787" s="3">
        <v>0</v>
      </c>
      <c r="V787" s="3" t="str">
        <f t="shared" si="176"/>
        <v>Normal</v>
      </c>
      <c r="W787" s="3" t="s">
        <v>51</v>
      </c>
      <c r="X787" s="32">
        <f t="shared" si="173"/>
        <v>9.9380699677567463E-2</v>
      </c>
      <c r="Z787" s="38">
        <f t="shared" si="177"/>
        <v>0</v>
      </c>
      <c r="AC787" s="36">
        <v>0.125</v>
      </c>
      <c r="AL787" t="str">
        <f t="shared" si="178"/>
        <v>Doctor Round Delay/Report Delay</v>
      </c>
      <c r="AM787" t="str">
        <f t="shared" si="179"/>
        <v>No</v>
      </c>
      <c r="AN787" t="str">
        <f t="shared" si="180"/>
        <v>Elective</v>
      </c>
      <c r="AO787" t="str">
        <f t="shared" si="181"/>
        <v>General Ward</v>
      </c>
    </row>
    <row r="788" spans="1:41" x14ac:dyDescent="0.3">
      <c r="A788" s="21" t="str">
        <f t="shared" si="174"/>
        <v>UHID-00787</v>
      </c>
      <c r="B788" s="18">
        <v>78</v>
      </c>
      <c r="C788" s="10" t="s">
        <v>18</v>
      </c>
      <c r="D788" s="13" t="s">
        <v>26</v>
      </c>
      <c r="E788" s="13" t="s">
        <v>5</v>
      </c>
      <c r="F788" s="15">
        <v>46190.570410219902</v>
      </c>
      <c r="G788" s="4">
        <v>46190</v>
      </c>
      <c r="H788" s="1">
        <v>46192.670999143498</v>
      </c>
      <c r="I788" s="22">
        <v>46192</v>
      </c>
      <c r="J788" s="24">
        <f t="shared" si="168"/>
        <v>46192.521371577153</v>
      </c>
      <c r="K788" s="24">
        <f t="shared" si="169"/>
        <v>0.67099914349819301</v>
      </c>
      <c r="L788" s="29">
        <f t="shared" si="175"/>
        <v>46191</v>
      </c>
      <c r="M788" s="27" t="str">
        <f t="shared" si="170"/>
        <v>TPA Approval Delay</v>
      </c>
      <c r="N788" s="31">
        <f t="shared" si="171"/>
        <v>2</v>
      </c>
      <c r="O788" s="27"/>
      <c r="Q788" s="8">
        <v>0.66823247434597077</v>
      </c>
      <c r="R788" s="8" t="str">
        <f t="shared" si="172"/>
        <v>Major Delay</v>
      </c>
      <c r="S788" s="33">
        <v>3.5910615923172431</v>
      </c>
      <c r="T788" t="s">
        <v>31</v>
      </c>
      <c r="U788" s="3">
        <v>0</v>
      </c>
      <c r="V788" s="3" t="str">
        <f t="shared" si="176"/>
        <v>Normal</v>
      </c>
      <c r="W788" s="3" t="s">
        <v>51</v>
      </c>
      <c r="X788" s="32">
        <f t="shared" si="173"/>
        <v>0.14962756634486141</v>
      </c>
      <c r="Z788" s="38">
        <f t="shared" si="177"/>
        <v>2.4627566344861407E-2</v>
      </c>
      <c r="AC788" s="36">
        <v>0.125</v>
      </c>
      <c r="AL788" t="str">
        <f t="shared" si="178"/>
        <v>TPA Approval Delay</v>
      </c>
      <c r="AM788" t="str">
        <f t="shared" si="179"/>
        <v>No</v>
      </c>
      <c r="AN788" t="str">
        <f t="shared" si="180"/>
        <v>Elective</v>
      </c>
      <c r="AO788" t="str">
        <f t="shared" si="181"/>
        <v>General Ward</v>
      </c>
    </row>
    <row r="789" spans="1:41" x14ac:dyDescent="0.3">
      <c r="A789" s="21" t="str">
        <f t="shared" si="174"/>
        <v>UHID-00788</v>
      </c>
      <c r="B789" s="18">
        <v>85</v>
      </c>
      <c r="C789" s="10" t="s">
        <v>18</v>
      </c>
      <c r="D789" s="13" t="s">
        <v>26</v>
      </c>
      <c r="E789" s="13" t="s">
        <v>5</v>
      </c>
      <c r="F789" s="15">
        <v>46190.743242083299</v>
      </c>
      <c r="G789" s="4">
        <v>46190</v>
      </c>
      <c r="H789" s="1">
        <v>46193.671637048603</v>
      </c>
      <c r="I789" s="22">
        <v>46193</v>
      </c>
      <c r="J789" s="24">
        <f t="shared" si="168"/>
        <v>46193.287372148632</v>
      </c>
      <c r="K789" s="24">
        <f t="shared" si="169"/>
        <v>0.67163704860286089</v>
      </c>
      <c r="L789" s="29">
        <f t="shared" si="175"/>
        <v>46192</v>
      </c>
      <c r="M789" s="27" t="str">
        <f t="shared" si="170"/>
        <v>Health Deterioration/TPA Approval Delay</v>
      </c>
      <c r="N789" s="31">
        <f t="shared" si="171"/>
        <v>3</v>
      </c>
      <c r="O789" s="27"/>
      <c r="Q789" s="8">
        <v>0.5521789992753624</v>
      </c>
      <c r="R789" s="8" t="str">
        <f t="shared" si="172"/>
        <v>Critical Delay</v>
      </c>
      <c r="S789" s="33">
        <v>3.2223575993106093</v>
      </c>
      <c r="T789" t="s">
        <v>31</v>
      </c>
      <c r="U789" s="3">
        <v>6</v>
      </c>
      <c r="V789" s="3" t="str">
        <f t="shared" si="176"/>
        <v>Normal</v>
      </c>
      <c r="W789" s="3" t="s">
        <v>52</v>
      </c>
      <c r="X789" s="32">
        <f t="shared" si="173"/>
        <v>0.38426489997073077</v>
      </c>
      <c r="Z789" s="38">
        <f t="shared" si="177"/>
        <v>0.25926489997073077</v>
      </c>
      <c r="AC789" s="36">
        <v>0.125</v>
      </c>
      <c r="AL789" t="str">
        <f t="shared" si="178"/>
        <v>Health Deterioration/TPA Approval Delay</v>
      </c>
      <c r="AM789" t="str">
        <f t="shared" si="179"/>
        <v>Yes</v>
      </c>
      <c r="AN789" t="str">
        <f t="shared" si="180"/>
        <v>Emergency</v>
      </c>
      <c r="AO789" t="str">
        <f t="shared" si="181"/>
        <v>General Ward</v>
      </c>
    </row>
    <row r="790" spans="1:41" x14ac:dyDescent="0.3">
      <c r="A790" s="21" t="str">
        <f t="shared" si="174"/>
        <v>UHID-00789</v>
      </c>
      <c r="B790" s="18">
        <v>63</v>
      </c>
      <c r="C790" s="10" t="s">
        <v>18</v>
      </c>
      <c r="D790" s="13" t="s">
        <v>26</v>
      </c>
      <c r="E790" s="13" t="s">
        <v>5</v>
      </c>
      <c r="F790" s="15">
        <v>46190.449678576399</v>
      </c>
      <c r="G790" s="4">
        <v>46190</v>
      </c>
      <c r="H790" s="1">
        <v>46193.466960497703</v>
      </c>
      <c r="I790" s="22">
        <v>46193</v>
      </c>
      <c r="J790" s="24">
        <f t="shared" si="168"/>
        <v>46193.307720933968</v>
      </c>
      <c r="K790" s="24">
        <f t="shared" si="169"/>
        <v>0.46696049770253012</v>
      </c>
      <c r="L790" s="29">
        <f t="shared" si="175"/>
        <v>46192</v>
      </c>
      <c r="M790" s="27" t="str">
        <f t="shared" si="170"/>
        <v>TPA Approval Delay</v>
      </c>
      <c r="N790" s="31">
        <f t="shared" si="171"/>
        <v>3</v>
      </c>
      <c r="O790" s="27"/>
      <c r="Q790" s="8">
        <v>0.66951677807502796</v>
      </c>
      <c r="R790" s="8" t="str">
        <f t="shared" si="172"/>
        <v>Major Delay</v>
      </c>
      <c r="S790" s="33">
        <v>3.821749529547239</v>
      </c>
      <c r="T790" t="s">
        <v>31</v>
      </c>
      <c r="U790" s="3">
        <v>0</v>
      </c>
      <c r="V790" s="3" t="str">
        <f t="shared" si="176"/>
        <v>Normal</v>
      </c>
      <c r="W790" s="3" t="s">
        <v>51</v>
      </c>
      <c r="X790" s="32">
        <f t="shared" si="173"/>
        <v>0.15923956373444526</v>
      </c>
      <c r="Z790" s="38">
        <f t="shared" si="177"/>
        <v>3.4239563734445255E-2</v>
      </c>
      <c r="AC790" s="36">
        <v>0.125</v>
      </c>
      <c r="AL790" t="str">
        <f t="shared" si="178"/>
        <v>TPA Approval Delay</v>
      </c>
      <c r="AM790" t="str">
        <f t="shared" si="179"/>
        <v>No</v>
      </c>
      <c r="AN790" t="str">
        <f t="shared" si="180"/>
        <v>Elective</v>
      </c>
      <c r="AO790" t="str">
        <f t="shared" si="181"/>
        <v>General Ward</v>
      </c>
    </row>
    <row r="791" spans="1:41" x14ac:dyDescent="0.3">
      <c r="A791" s="21" t="str">
        <f t="shared" si="174"/>
        <v>UHID-00790</v>
      </c>
      <c r="B791" s="18">
        <v>64</v>
      </c>
      <c r="C791" s="10" t="s">
        <v>18</v>
      </c>
      <c r="D791" s="13" t="s">
        <v>28</v>
      </c>
      <c r="E791" s="13" t="s">
        <v>5</v>
      </c>
      <c r="F791" s="15">
        <v>46193.364991805603</v>
      </c>
      <c r="G791" s="4">
        <v>46193</v>
      </c>
      <c r="H791" s="1">
        <v>46193.726430405099</v>
      </c>
      <c r="I791" s="22">
        <v>46193</v>
      </c>
      <c r="J791" s="24">
        <f t="shared" si="168"/>
        <v>46193.454420190574</v>
      </c>
      <c r="K791" s="24">
        <f t="shared" si="169"/>
        <v>0.72643040509865386</v>
      </c>
      <c r="L791" s="29">
        <f t="shared" si="175"/>
        <v>46192</v>
      </c>
      <c r="M791" s="27" t="str">
        <f t="shared" si="170"/>
        <v>Health Deterioration</v>
      </c>
      <c r="N791" s="31">
        <f t="shared" si="171"/>
        <v>0</v>
      </c>
      <c r="O791" s="27"/>
      <c r="Q791" s="8">
        <v>0.90683472290146783</v>
      </c>
      <c r="R791" s="8" t="str">
        <f t="shared" si="172"/>
        <v>Critical Delay</v>
      </c>
      <c r="S791" s="33">
        <v>2.5282451485893414</v>
      </c>
      <c r="T791" t="s">
        <v>31</v>
      </c>
      <c r="U791" s="3">
        <v>4</v>
      </c>
      <c r="V791" s="3" t="str">
        <f t="shared" si="176"/>
        <v>Normal</v>
      </c>
      <c r="W791" s="3" t="s">
        <v>50</v>
      </c>
      <c r="X791" s="32">
        <f t="shared" si="173"/>
        <v>0.27201021452492569</v>
      </c>
      <c r="Z791" s="38">
        <f t="shared" si="177"/>
        <v>0.14701021452492569</v>
      </c>
      <c r="AC791" s="36">
        <v>0.125</v>
      </c>
      <c r="AL791" t="str">
        <f t="shared" si="178"/>
        <v>Health Deterioration</v>
      </c>
      <c r="AM791" t="str">
        <f t="shared" si="179"/>
        <v>No</v>
      </c>
      <c r="AN791" t="str">
        <f t="shared" si="180"/>
        <v>Elective</v>
      </c>
      <c r="AO791" t="str">
        <f t="shared" si="181"/>
        <v>General Ward</v>
      </c>
    </row>
    <row r="792" spans="1:41" x14ac:dyDescent="0.3">
      <c r="A792" s="21" t="str">
        <f t="shared" si="174"/>
        <v>UHID-00791</v>
      </c>
      <c r="B792" s="18">
        <v>28</v>
      </c>
      <c r="C792" s="10" t="s">
        <v>17</v>
      </c>
      <c r="D792" s="13" t="s">
        <v>26</v>
      </c>
      <c r="E792" s="13" t="s">
        <v>5</v>
      </c>
      <c r="F792" s="15">
        <v>46193.757450335601</v>
      </c>
      <c r="G792" s="4">
        <v>46193</v>
      </c>
      <c r="H792" s="1">
        <v>46193.861873205999</v>
      </c>
      <c r="I792" s="22">
        <v>46193</v>
      </c>
      <c r="J792" s="24">
        <f t="shared" si="168"/>
        <v>46193.705921690685</v>
      </c>
      <c r="K792" s="24">
        <f t="shared" si="169"/>
        <v>0.86187320599856321</v>
      </c>
      <c r="L792" s="29">
        <f t="shared" si="175"/>
        <v>46192</v>
      </c>
      <c r="M792" s="27" t="str">
        <f t="shared" si="170"/>
        <v>TPA Approval Delay</v>
      </c>
      <c r="N792" s="31">
        <f t="shared" si="171"/>
        <v>0</v>
      </c>
      <c r="O792" s="27"/>
      <c r="Q792" s="8">
        <v>0.6777567548739365</v>
      </c>
      <c r="R792" s="8" t="str">
        <f t="shared" si="172"/>
        <v>Major Delay</v>
      </c>
      <c r="S792" s="33">
        <v>3.7428363674801326</v>
      </c>
      <c r="T792" t="s">
        <v>31</v>
      </c>
      <c r="U792" s="3">
        <v>0</v>
      </c>
      <c r="V792" s="3" t="str">
        <f t="shared" si="176"/>
        <v>Normal</v>
      </c>
      <c r="W792" s="3" t="s">
        <v>51</v>
      </c>
      <c r="X792" s="32">
        <f t="shared" si="173"/>
        <v>0.15595151531306328</v>
      </c>
      <c r="Z792" s="38">
        <f t="shared" si="177"/>
        <v>3.0951515313063283E-2</v>
      </c>
      <c r="AC792" s="36">
        <v>0.125</v>
      </c>
      <c r="AL792" t="str">
        <f t="shared" si="178"/>
        <v>TPA Approval Delay</v>
      </c>
      <c r="AM792" t="str">
        <f t="shared" si="179"/>
        <v>No</v>
      </c>
      <c r="AN792" t="str">
        <f t="shared" si="180"/>
        <v>Elective</v>
      </c>
      <c r="AO792" t="str">
        <f t="shared" si="181"/>
        <v>General Ward</v>
      </c>
    </row>
    <row r="793" spans="1:41" x14ac:dyDescent="0.3">
      <c r="A793" s="21" t="str">
        <f t="shared" si="174"/>
        <v>UHID-00792</v>
      </c>
      <c r="B793" s="18">
        <v>49</v>
      </c>
      <c r="C793" s="10" t="s">
        <v>17</v>
      </c>
      <c r="D793" s="13" t="s">
        <v>26</v>
      </c>
      <c r="E793" s="13" t="s">
        <v>5</v>
      </c>
      <c r="F793" s="15">
        <v>46191.878561180602</v>
      </c>
      <c r="G793" s="4">
        <v>46191</v>
      </c>
      <c r="H793" s="1">
        <v>46194.689653368099</v>
      </c>
      <c r="I793" s="22">
        <v>46194</v>
      </c>
      <c r="J793" s="24">
        <f t="shared" si="168"/>
        <v>46194.540508346501</v>
      </c>
      <c r="K793" s="24">
        <f t="shared" si="169"/>
        <v>0.68965336809924338</v>
      </c>
      <c r="L793" s="29">
        <f t="shared" si="175"/>
        <v>46193</v>
      </c>
      <c r="M793" s="27" t="str">
        <f t="shared" si="170"/>
        <v>TPA Approval Delay</v>
      </c>
      <c r="N793" s="31">
        <f t="shared" si="171"/>
        <v>3</v>
      </c>
      <c r="O793" s="27"/>
      <c r="Q793" s="8">
        <v>0.61665340020775594</v>
      </c>
      <c r="R793" s="8" t="str">
        <f t="shared" si="172"/>
        <v>Major Delay</v>
      </c>
      <c r="S793" s="33">
        <v>3.5794805183481944</v>
      </c>
      <c r="T793" t="s">
        <v>31</v>
      </c>
      <c r="U793" s="3">
        <v>0</v>
      </c>
      <c r="V793" s="3" t="str">
        <f t="shared" si="176"/>
        <v>Normal</v>
      </c>
      <c r="W793" s="3" t="s">
        <v>51</v>
      </c>
      <c r="X793" s="32">
        <f t="shared" si="173"/>
        <v>0.14914502159808762</v>
      </c>
      <c r="Z793" s="38">
        <f t="shared" si="177"/>
        <v>2.4145021598087624E-2</v>
      </c>
      <c r="AC793" s="36">
        <v>0.125</v>
      </c>
      <c r="AL793" t="str">
        <f t="shared" si="178"/>
        <v>TPA Approval Delay</v>
      </c>
      <c r="AM793" t="str">
        <f t="shared" si="179"/>
        <v>No</v>
      </c>
      <c r="AN793" t="str">
        <f t="shared" si="180"/>
        <v>Elective</v>
      </c>
      <c r="AO793" t="str">
        <f t="shared" si="181"/>
        <v>General Ward</v>
      </c>
    </row>
    <row r="794" spans="1:41" x14ac:dyDescent="0.3">
      <c r="A794" s="21" t="str">
        <f t="shared" si="174"/>
        <v>UHID-00793</v>
      </c>
      <c r="B794" s="18">
        <v>68</v>
      </c>
      <c r="C794" s="10" t="s">
        <v>18</v>
      </c>
      <c r="D794" s="13" t="s">
        <v>27</v>
      </c>
      <c r="E794" s="13" t="s">
        <v>5</v>
      </c>
      <c r="F794" s="15">
        <v>46188.440337673601</v>
      </c>
      <c r="G794" s="4">
        <v>46188</v>
      </c>
      <c r="H794" s="1">
        <v>46194.420138888898</v>
      </c>
      <c r="I794" s="22">
        <v>46194</v>
      </c>
      <c r="J794" s="24">
        <f t="shared" si="168"/>
        <v>46194.341710768393</v>
      </c>
      <c r="K794" s="24">
        <f t="shared" si="169"/>
        <v>0.42013888889778173</v>
      </c>
      <c r="L794" s="29">
        <f t="shared" si="175"/>
        <v>46193</v>
      </c>
      <c r="M794" s="27" t="str">
        <f t="shared" si="170"/>
        <v>Normal</v>
      </c>
      <c r="N794" s="31">
        <f t="shared" si="171"/>
        <v>6</v>
      </c>
      <c r="O794" s="27"/>
      <c r="Q794" s="8">
        <v>2.1687235681831285E-2</v>
      </c>
      <c r="R794" s="8" t="str">
        <f t="shared" si="172"/>
        <v>On Time</v>
      </c>
      <c r="S794" s="33">
        <v>1.8822748921162331</v>
      </c>
      <c r="T794" t="s">
        <v>30</v>
      </c>
      <c r="U794" s="3">
        <v>0</v>
      </c>
      <c r="V794" s="3" t="str">
        <f t="shared" si="176"/>
        <v/>
      </c>
      <c r="W794" s="3" t="s">
        <v>51</v>
      </c>
      <c r="X794" s="32">
        <f t="shared" si="173"/>
        <v>7.8428120505122934E-2</v>
      </c>
      <c r="Z794" s="38">
        <f t="shared" si="177"/>
        <v>0</v>
      </c>
      <c r="AC794" s="36">
        <v>0.125</v>
      </c>
      <c r="AL794" t="str">
        <f t="shared" si="178"/>
        <v>Normal</v>
      </c>
      <c r="AM794" t="str">
        <f t="shared" si="179"/>
        <v>No</v>
      </c>
      <c r="AN794" t="str">
        <f t="shared" si="180"/>
        <v>Elective</v>
      </c>
      <c r="AO794" t="str">
        <f t="shared" si="181"/>
        <v>HDU</v>
      </c>
    </row>
    <row r="795" spans="1:41" x14ac:dyDescent="0.3">
      <c r="A795" s="21" t="str">
        <f t="shared" si="174"/>
        <v>UHID-00794</v>
      </c>
      <c r="B795" s="18">
        <v>26</v>
      </c>
      <c r="C795" s="10" t="s">
        <v>17</v>
      </c>
      <c r="D795" s="13" t="s">
        <v>27</v>
      </c>
      <c r="E795" s="13" t="s">
        <v>5</v>
      </c>
      <c r="F795" s="15">
        <v>46190.793261446801</v>
      </c>
      <c r="G795" s="4">
        <v>46190</v>
      </c>
      <c r="H795" s="1">
        <v>46194.621574108802</v>
      </c>
      <c r="I795" s="22">
        <v>46194</v>
      </c>
      <c r="J795" s="24">
        <f t="shared" si="168"/>
        <v>46194.562452677223</v>
      </c>
      <c r="K795" s="24">
        <f t="shared" si="169"/>
        <v>0.62157410880172392</v>
      </c>
      <c r="L795" s="29">
        <f t="shared" si="175"/>
        <v>46193</v>
      </c>
      <c r="M795" s="27" t="str">
        <f t="shared" si="170"/>
        <v>Normal</v>
      </c>
      <c r="N795" s="31">
        <f t="shared" si="171"/>
        <v>4</v>
      </c>
      <c r="O795" s="27"/>
      <c r="Q795" s="8">
        <v>0.3217603982052688</v>
      </c>
      <c r="R795" s="8" t="str">
        <f t="shared" si="172"/>
        <v>On Time</v>
      </c>
      <c r="S795" s="33">
        <v>1.4189143578205119</v>
      </c>
      <c r="T795" t="s">
        <v>30</v>
      </c>
      <c r="U795" s="3">
        <v>0</v>
      </c>
      <c r="V795" s="3" t="str">
        <f t="shared" si="176"/>
        <v/>
      </c>
      <c r="W795" s="3" t="s">
        <v>51</v>
      </c>
      <c r="X795" s="32">
        <f t="shared" si="173"/>
        <v>5.9121431579114869E-2</v>
      </c>
      <c r="Z795" s="38">
        <f t="shared" si="177"/>
        <v>0</v>
      </c>
      <c r="AC795" s="36">
        <v>0.125</v>
      </c>
      <c r="AL795" t="str">
        <f t="shared" si="178"/>
        <v>Normal</v>
      </c>
      <c r="AM795" t="str">
        <f t="shared" si="179"/>
        <v>No</v>
      </c>
      <c r="AN795" t="str">
        <f t="shared" si="180"/>
        <v>Elective</v>
      </c>
      <c r="AO795" t="str">
        <f t="shared" si="181"/>
        <v>HDU</v>
      </c>
    </row>
    <row r="796" spans="1:41" x14ac:dyDescent="0.3">
      <c r="A796" s="21" t="str">
        <f t="shared" si="174"/>
        <v>UHID-00795</v>
      </c>
      <c r="B796" s="18">
        <v>61</v>
      </c>
      <c r="C796" s="10" t="s">
        <v>18</v>
      </c>
      <c r="D796" s="13" t="s">
        <v>27</v>
      </c>
      <c r="E796" s="13" t="s">
        <v>5</v>
      </c>
      <c r="F796" s="15">
        <v>46192.714253969898</v>
      </c>
      <c r="G796" s="4">
        <v>46192</v>
      </c>
      <c r="H796" s="1">
        <v>46194.665366724497</v>
      </c>
      <c r="I796" s="22">
        <v>46194</v>
      </c>
      <c r="J796" s="24">
        <f t="shared" si="168"/>
        <v>46194.522232976386</v>
      </c>
      <c r="K796" s="24">
        <f t="shared" si="169"/>
        <v>0.6653667244972894</v>
      </c>
      <c r="L796" s="29">
        <f t="shared" si="175"/>
        <v>46193</v>
      </c>
      <c r="M796" s="27" t="str">
        <f t="shared" si="170"/>
        <v>Medication Change</v>
      </c>
      <c r="N796" s="31">
        <f t="shared" si="171"/>
        <v>2</v>
      </c>
      <c r="O796" s="27"/>
      <c r="Q796" s="8">
        <v>0.32089345075509945</v>
      </c>
      <c r="R796" s="8" t="str">
        <f t="shared" si="172"/>
        <v>Major Delay</v>
      </c>
      <c r="S796" s="33">
        <v>1.4352099546049235</v>
      </c>
      <c r="T796" t="s">
        <v>30</v>
      </c>
      <c r="U796" s="3">
        <v>2</v>
      </c>
      <c r="V796" s="3" t="str">
        <f t="shared" si="176"/>
        <v/>
      </c>
      <c r="W796" s="3" t="s">
        <v>50</v>
      </c>
      <c r="X796" s="32">
        <f t="shared" si="173"/>
        <v>0.14313374811172253</v>
      </c>
      <c r="Z796" s="38">
        <f t="shared" si="177"/>
        <v>1.8133748111722525E-2</v>
      </c>
      <c r="AC796" s="36">
        <v>0.125</v>
      </c>
      <c r="AL796" t="str">
        <f t="shared" si="178"/>
        <v>Medication Change</v>
      </c>
      <c r="AM796" t="str">
        <f t="shared" si="179"/>
        <v>No</v>
      </c>
      <c r="AN796" t="str">
        <f t="shared" si="180"/>
        <v>Elective</v>
      </c>
      <c r="AO796" t="str">
        <f t="shared" si="181"/>
        <v>General Ward</v>
      </c>
    </row>
    <row r="797" spans="1:41" x14ac:dyDescent="0.3">
      <c r="A797" s="21" t="str">
        <f t="shared" si="174"/>
        <v>UHID-00796</v>
      </c>
      <c r="B797" s="18">
        <v>65</v>
      </c>
      <c r="C797" s="10" t="s">
        <v>18</v>
      </c>
      <c r="D797" s="13" t="s">
        <v>26</v>
      </c>
      <c r="E797" s="13" t="s">
        <v>5</v>
      </c>
      <c r="F797" s="15">
        <v>46181.829840856502</v>
      </c>
      <c r="G797" s="4">
        <v>46181</v>
      </c>
      <c r="H797" s="1">
        <v>46194.635461956001</v>
      </c>
      <c r="I797" s="22">
        <v>46194</v>
      </c>
      <c r="J797" s="24">
        <f t="shared" si="168"/>
        <v>46194.488901234057</v>
      </c>
      <c r="K797" s="24">
        <f t="shared" si="169"/>
        <v>0.63546195600065403</v>
      </c>
      <c r="L797" s="29">
        <f t="shared" si="175"/>
        <v>46193</v>
      </c>
      <c r="M797" s="27" t="str">
        <f t="shared" si="170"/>
        <v>TPA Approval Delay</v>
      </c>
      <c r="N797" s="31">
        <f t="shared" si="171"/>
        <v>13</v>
      </c>
      <c r="O797" s="27"/>
      <c r="Q797" s="8">
        <v>0.64944165009707044</v>
      </c>
      <c r="R797" s="8" t="str">
        <f t="shared" si="172"/>
        <v>Major Delay</v>
      </c>
      <c r="S797" s="33">
        <v>3.5174573266277935</v>
      </c>
      <c r="T797" t="s">
        <v>31</v>
      </c>
      <c r="U797" s="3">
        <v>0</v>
      </c>
      <c r="V797" s="3" t="str">
        <f t="shared" si="176"/>
        <v>Normal</v>
      </c>
      <c r="W797" s="3" t="s">
        <v>51</v>
      </c>
      <c r="X797" s="32">
        <f t="shared" si="173"/>
        <v>0.14656072194338776</v>
      </c>
      <c r="Z797" s="38">
        <f t="shared" si="177"/>
        <v>2.1560721943387762E-2</v>
      </c>
      <c r="AC797" s="36">
        <v>0.125</v>
      </c>
      <c r="AL797" t="str">
        <f t="shared" si="178"/>
        <v>TPA Approval Delay</v>
      </c>
      <c r="AM797" t="str">
        <f t="shared" si="179"/>
        <v>Yes</v>
      </c>
      <c r="AN797" t="str">
        <f t="shared" si="180"/>
        <v>Emergency</v>
      </c>
      <c r="AO797" t="str">
        <f t="shared" si="181"/>
        <v>ICU</v>
      </c>
    </row>
    <row r="798" spans="1:41" x14ac:dyDescent="0.3">
      <c r="A798" s="21" t="str">
        <f t="shared" si="174"/>
        <v>UHID-00797</v>
      </c>
      <c r="B798" s="18">
        <v>30</v>
      </c>
      <c r="C798" s="10" t="s">
        <v>18</v>
      </c>
      <c r="D798" s="13" t="s">
        <v>26</v>
      </c>
      <c r="E798" s="13" t="s">
        <v>5</v>
      </c>
      <c r="F798" s="15">
        <v>46191.656682916699</v>
      </c>
      <c r="G798" s="4">
        <v>46191</v>
      </c>
      <c r="H798" s="1">
        <v>46194.703682384301</v>
      </c>
      <c r="I798" s="22">
        <v>46194</v>
      </c>
      <c r="J798" s="24">
        <f t="shared" si="168"/>
        <v>46194.541631697946</v>
      </c>
      <c r="K798" s="24">
        <f t="shared" si="169"/>
        <v>0.70368238430091878</v>
      </c>
      <c r="L798" s="29">
        <f t="shared" si="175"/>
        <v>46193</v>
      </c>
      <c r="M798" s="27" t="str">
        <f t="shared" si="170"/>
        <v>TPA Approval Delay</v>
      </c>
      <c r="N798" s="31">
        <f t="shared" si="171"/>
        <v>3</v>
      </c>
      <c r="O798" s="27"/>
      <c r="Q798" s="8">
        <v>0.72239502922462218</v>
      </c>
      <c r="R798" s="8" t="str">
        <f t="shared" si="172"/>
        <v>Major Delay</v>
      </c>
      <c r="S798" s="33">
        <v>3.8892164725727136</v>
      </c>
      <c r="T798" t="s">
        <v>31</v>
      </c>
      <c r="U798" s="3">
        <v>0</v>
      </c>
      <c r="V798" s="3" t="str">
        <f t="shared" si="176"/>
        <v>Normal</v>
      </c>
      <c r="W798" s="3" t="s">
        <v>51</v>
      </c>
      <c r="X798" s="32">
        <f t="shared" si="173"/>
        <v>0.16205068635463249</v>
      </c>
      <c r="Z798" s="38">
        <f t="shared" si="177"/>
        <v>3.7050686354632489E-2</v>
      </c>
      <c r="AC798" s="36">
        <v>0.125</v>
      </c>
      <c r="AL798" t="str">
        <f t="shared" si="178"/>
        <v>TPA Approval Delay</v>
      </c>
      <c r="AM798" t="str">
        <f t="shared" si="179"/>
        <v>No</v>
      </c>
      <c r="AN798" t="str">
        <f t="shared" si="180"/>
        <v>Elective</v>
      </c>
      <c r="AO798" t="str">
        <f t="shared" si="181"/>
        <v>General Ward</v>
      </c>
    </row>
    <row r="799" spans="1:41" x14ac:dyDescent="0.3">
      <c r="A799" s="21" t="str">
        <f t="shared" si="174"/>
        <v>UHID-00798</v>
      </c>
      <c r="B799" s="18">
        <v>60</v>
      </c>
      <c r="C799" s="10" t="s">
        <v>18</v>
      </c>
      <c r="D799" s="13" t="s">
        <v>26</v>
      </c>
      <c r="E799" s="13" t="s">
        <v>5</v>
      </c>
      <c r="F799" s="15">
        <v>46184.568995949099</v>
      </c>
      <c r="G799" s="4">
        <v>46184</v>
      </c>
      <c r="H799" s="1">
        <v>46194.714696608797</v>
      </c>
      <c r="I799" s="22">
        <v>46194</v>
      </c>
      <c r="J799" s="24">
        <f t="shared" si="168"/>
        <v>46194.560370532585</v>
      </c>
      <c r="K799" s="24">
        <f t="shared" si="169"/>
        <v>0.71469660879665753</v>
      </c>
      <c r="L799" s="29">
        <f t="shared" si="175"/>
        <v>46193</v>
      </c>
      <c r="M799" s="27" t="str">
        <f t="shared" si="170"/>
        <v>TPA Approval Delay</v>
      </c>
      <c r="N799" s="31">
        <f t="shared" si="171"/>
        <v>10</v>
      </c>
      <c r="O799" s="27"/>
      <c r="Q799" s="8">
        <v>0.82397706263818271</v>
      </c>
      <c r="R799" s="8" t="str">
        <f t="shared" si="172"/>
        <v>Major Delay</v>
      </c>
      <c r="S799" s="33">
        <v>3.7038258291059112</v>
      </c>
      <c r="T799" t="s">
        <v>31</v>
      </c>
      <c r="U799" s="3">
        <v>0</v>
      </c>
      <c r="V799" s="3" t="str">
        <f t="shared" si="176"/>
        <v>Normal</v>
      </c>
      <c r="W799" s="3" t="s">
        <v>51</v>
      </c>
      <c r="X799" s="32">
        <f t="shared" si="173"/>
        <v>0.15432607621187344</v>
      </c>
      <c r="Z799" s="38">
        <f t="shared" si="177"/>
        <v>2.9326076211873442E-2</v>
      </c>
      <c r="AC799" s="36">
        <v>0.125</v>
      </c>
      <c r="AL799" t="str">
        <f t="shared" si="178"/>
        <v>TPA Approval Delay</v>
      </c>
      <c r="AM799" t="str">
        <f t="shared" si="179"/>
        <v>No</v>
      </c>
      <c r="AN799" t="str">
        <f t="shared" si="180"/>
        <v>Emergency</v>
      </c>
      <c r="AO799" t="str">
        <f t="shared" si="181"/>
        <v>ICU</v>
      </c>
    </row>
    <row r="800" spans="1:41" x14ac:dyDescent="0.3">
      <c r="A800" s="21" t="str">
        <f t="shared" si="174"/>
        <v>UHID-00799</v>
      </c>
      <c r="B800" s="18">
        <v>32</v>
      </c>
      <c r="C800" s="10" t="s">
        <v>17</v>
      </c>
      <c r="D800" s="13" t="s">
        <v>27</v>
      </c>
      <c r="E800" s="13" t="s">
        <v>5</v>
      </c>
      <c r="F800" s="15">
        <v>46192.858906307898</v>
      </c>
      <c r="G800" s="4">
        <v>46192</v>
      </c>
      <c r="H800" s="1">
        <v>46195.639824340302</v>
      </c>
      <c r="I800" s="22">
        <v>46195</v>
      </c>
      <c r="J800" s="24">
        <f t="shared" si="168"/>
        <v>46195.478289175539</v>
      </c>
      <c r="K800" s="24">
        <f t="shared" si="169"/>
        <v>0.63982434030185686</v>
      </c>
      <c r="L800" s="29">
        <f t="shared" si="175"/>
        <v>46194</v>
      </c>
      <c r="M800" s="27" t="str">
        <f t="shared" si="170"/>
        <v>Medication Change</v>
      </c>
      <c r="N800" s="31">
        <f t="shared" si="171"/>
        <v>3</v>
      </c>
      <c r="O800" s="27"/>
      <c r="Q800" s="8">
        <v>0.22656173601730711</v>
      </c>
      <c r="R800" s="8" t="str">
        <f t="shared" si="172"/>
        <v>Major Delay</v>
      </c>
      <c r="S800" s="33">
        <v>1.8768439543501612</v>
      </c>
      <c r="T800" t="s">
        <v>30</v>
      </c>
      <c r="U800" s="3">
        <v>2</v>
      </c>
      <c r="V800" s="3" t="str">
        <f t="shared" si="176"/>
        <v/>
      </c>
      <c r="W800" s="3" t="s">
        <v>50</v>
      </c>
      <c r="X800" s="32">
        <f t="shared" si="173"/>
        <v>0.16153516476333607</v>
      </c>
      <c r="Z800" s="38">
        <f t="shared" si="177"/>
        <v>3.653516476333607E-2</v>
      </c>
      <c r="AC800" s="36">
        <v>0.125</v>
      </c>
      <c r="AL800" t="str">
        <f t="shared" si="178"/>
        <v>Medication Change</v>
      </c>
      <c r="AM800" t="str">
        <f t="shared" si="179"/>
        <v>No</v>
      </c>
      <c r="AN800" t="str">
        <f t="shared" si="180"/>
        <v>Elective</v>
      </c>
      <c r="AO800" t="str">
        <f t="shared" si="181"/>
        <v>General Ward</v>
      </c>
    </row>
    <row r="801" spans="1:41" x14ac:dyDescent="0.3">
      <c r="A801" s="21" t="str">
        <f t="shared" si="174"/>
        <v>UHID-00800</v>
      </c>
      <c r="B801" s="18">
        <v>61</v>
      </c>
      <c r="C801" s="10" t="s">
        <v>18</v>
      </c>
      <c r="D801" s="13" t="s">
        <v>27</v>
      </c>
      <c r="E801" s="13" t="s">
        <v>5</v>
      </c>
      <c r="F801" s="15">
        <v>46190.590657870402</v>
      </c>
      <c r="G801" s="4">
        <v>46190</v>
      </c>
      <c r="H801" s="1">
        <v>46195.476667905103</v>
      </c>
      <c r="I801" s="22">
        <v>46195</v>
      </c>
      <c r="J801" s="24">
        <f t="shared" si="168"/>
        <v>46195.426402131714</v>
      </c>
      <c r="K801" s="24">
        <f t="shared" si="169"/>
        <v>0.47666790510265855</v>
      </c>
      <c r="L801" s="29">
        <f t="shared" si="175"/>
        <v>46194</v>
      </c>
      <c r="M801" s="27" t="str">
        <f t="shared" si="170"/>
        <v>Normal</v>
      </c>
      <c r="N801" s="31">
        <f t="shared" si="171"/>
        <v>5</v>
      </c>
      <c r="O801" s="27"/>
      <c r="Q801" s="8">
        <v>0.35831531377462011</v>
      </c>
      <c r="R801" s="8" t="str">
        <f t="shared" si="172"/>
        <v>On Time</v>
      </c>
      <c r="S801" s="33">
        <v>1.2063785613507845</v>
      </c>
      <c r="T801" t="s">
        <v>31</v>
      </c>
      <c r="U801" s="3">
        <v>0</v>
      </c>
      <c r="V801" s="3" t="str">
        <f t="shared" si="176"/>
        <v>Normal</v>
      </c>
      <c r="W801" s="3" t="s">
        <v>51</v>
      </c>
      <c r="X801" s="32">
        <f t="shared" si="173"/>
        <v>5.0265773388673551E-2</v>
      </c>
      <c r="Z801" s="38">
        <f t="shared" si="177"/>
        <v>0</v>
      </c>
      <c r="AC801" s="36">
        <v>0.125</v>
      </c>
      <c r="AL801" t="str">
        <f t="shared" si="178"/>
        <v>Normal</v>
      </c>
      <c r="AM801" t="str">
        <f t="shared" si="179"/>
        <v>No</v>
      </c>
      <c r="AN801" t="str">
        <f t="shared" si="180"/>
        <v>Elective</v>
      </c>
      <c r="AO801" t="str">
        <f t="shared" si="181"/>
        <v>HDU</v>
      </c>
    </row>
    <row r="802" spans="1:41" x14ac:dyDescent="0.3">
      <c r="A802" s="21" t="str">
        <f t="shared" si="174"/>
        <v>UHID-00801</v>
      </c>
      <c r="B802" s="18">
        <v>60</v>
      </c>
      <c r="C802" s="10" t="s">
        <v>17</v>
      </c>
      <c r="D802" s="13" t="s">
        <v>27</v>
      </c>
      <c r="E802" s="13" t="s">
        <v>5</v>
      </c>
      <c r="F802" s="15">
        <v>46192.0126998958</v>
      </c>
      <c r="G802" s="4">
        <v>46192</v>
      </c>
      <c r="H802" s="1">
        <v>46195.679256157397</v>
      </c>
      <c r="I802" s="22">
        <v>46195</v>
      </c>
      <c r="J802" s="24">
        <f t="shared" si="168"/>
        <v>46195.549112497232</v>
      </c>
      <c r="K802" s="24">
        <f t="shared" si="169"/>
        <v>0.67925615739659406</v>
      </c>
      <c r="L802" s="29">
        <f t="shared" si="175"/>
        <v>46194</v>
      </c>
      <c r="M802" s="27" t="str">
        <f t="shared" si="170"/>
        <v>Medication Change</v>
      </c>
      <c r="N802" s="31">
        <f t="shared" si="171"/>
        <v>3</v>
      </c>
      <c r="O802" s="27"/>
      <c r="Q802" s="8">
        <v>0.34462111507804249</v>
      </c>
      <c r="R802" s="8" t="str">
        <f t="shared" si="172"/>
        <v>Major Delay</v>
      </c>
      <c r="S802" s="33">
        <v>1.123447843922297</v>
      </c>
      <c r="T802" t="s">
        <v>30</v>
      </c>
      <c r="U802" s="3">
        <v>2</v>
      </c>
      <c r="V802" s="3" t="str">
        <f t="shared" si="176"/>
        <v/>
      </c>
      <c r="W802" s="3" t="s">
        <v>50</v>
      </c>
      <c r="X802" s="32">
        <f t="shared" si="173"/>
        <v>0.13014366016432177</v>
      </c>
      <c r="Z802" s="38">
        <f t="shared" si="177"/>
        <v>5.1436601643217728E-3</v>
      </c>
      <c r="AC802" s="36">
        <v>0.125</v>
      </c>
      <c r="AL802" t="str">
        <f t="shared" si="178"/>
        <v>Medication Change</v>
      </c>
      <c r="AM802" t="str">
        <f t="shared" si="179"/>
        <v>No</v>
      </c>
      <c r="AN802" t="str">
        <f t="shared" si="180"/>
        <v>Elective</v>
      </c>
      <c r="AO802" t="str">
        <f t="shared" si="181"/>
        <v>General Ward</v>
      </c>
    </row>
    <row r="803" spans="1:41" x14ac:dyDescent="0.3">
      <c r="A803" s="21" t="str">
        <f t="shared" si="174"/>
        <v>UHID-00802</v>
      </c>
      <c r="B803" s="18">
        <v>36</v>
      </c>
      <c r="C803" s="10" t="s">
        <v>18</v>
      </c>
      <c r="D803" s="13" t="s">
        <v>27</v>
      </c>
      <c r="E803" s="13" t="s">
        <v>5</v>
      </c>
      <c r="F803" s="15">
        <v>46195.5707600116</v>
      </c>
      <c r="G803" s="4">
        <v>46195</v>
      </c>
      <c r="H803" s="1">
        <v>46195.931776388898</v>
      </c>
      <c r="I803" s="22">
        <v>46195</v>
      </c>
      <c r="J803" s="24">
        <f t="shared" si="168"/>
        <v>46195.865170730816</v>
      </c>
      <c r="K803" s="24">
        <f t="shared" si="169"/>
        <v>0.93177638889756054</v>
      </c>
      <c r="L803" s="29">
        <f t="shared" si="175"/>
        <v>46194</v>
      </c>
      <c r="M803" s="27" t="str">
        <f t="shared" si="170"/>
        <v>Normal</v>
      </c>
      <c r="N803" s="31">
        <f t="shared" si="171"/>
        <v>0</v>
      </c>
      <c r="O803" s="27"/>
      <c r="Q803" s="8">
        <v>2.4470580197838876E-2</v>
      </c>
      <c r="R803" s="8" t="str">
        <f t="shared" si="172"/>
        <v>On Time</v>
      </c>
      <c r="S803" s="33">
        <v>1.5985357939886478</v>
      </c>
      <c r="T803" t="s">
        <v>30</v>
      </c>
      <c r="U803" s="3">
        <v>0</v>
      </c>
      <c r="V803" s="3" t="str">
        <f t="shared" si="176"/>
        <v/>
      </c>
      <c r="W803" s="3" t="s">
        <v>51</v>
      </c>
      <c r="X803" s="32">
        <f t="shared" si="173"/>
        <v>6.6605658081243746E-2</v>
      </c>
      <c r="Z803" s="38">
        <f t="shared" si="177"/>
        <v>0</v>
      </c>
      <c r="AC803" s="36">
        <v>0.125</v>
      </c>
      <c r="AL803" t="str">
        <f t="shared" si="178"/>
        <v>Normal</v>
      </c>
      <c r="AM803" t="str">
        <f t="shared" si="179"/>
        <v>No</v>
      </c>
      <c r="AN803" t="str">
        <f t="shared" si="180"/>
        <v>Elective</v>
      </c>
      <c r="AO803" t="str">
        <f t="shared" si="181"/>
        <v>General Ward</v>
      </c>
    </row>
    <row r="804" spans="1:41" x14ac:dyDescent="0.3">
      <c r="A804" s="21" t="str">
        <f t="shared" si="174"/>
        <v>UHID-00803</v>
      </c>
      <c r="B804" s="18">
        <v>44</v>
      </c>
      <c r="C804" s="10" t="s">
        <v>17</v>
      </c>
      <c r="D804" s="13" t="s">
        <v>26</v>
      </c>
      <c r="E804" s="13" t="s">
        <v>5</v>
      </c>
      <c r="F804" s="15">
        <v>46192.745036504602</v>
      </c>
      <c r="G804" s="4">
        <v>46192</v>
      </c>
      <c r="H804" s="1">
        <v>46196.664863229198</v>
      </c>
      <c r="I804" s="22">
        <v>46196</v>
      </c>
      <c r="J804" s="24">
        <f t="shared" si="168"/>
        <v>46196.364480974225</v>
      </c>
      <c r="K804" s="24">
        <f t="shared" si="169"/>
        <v>0.66486322919809027</v>
      </c>
      <c r="L804" s="29">
        <f t="shared" si="175"/>
        <v>46195</v>
      </c>
      <c r="M804" s="27" t="str">
        <f t="shared" si="170"/>
        <v>Health Deterioration/TPA Approval Delay</v>
      </c>
      <c r="N804" s="31">
        <f t="shared" si="171"/>
        <v>4</v>
      </c>
      <c r="O804" s="27"/>
      <c r="Q804" s="8">
        <v>0.5639148440373899</v>
      </c>
      <c r="R804" s="8" t="str">
        <f t="shared" si="172"/>
        <v>Critical Delay</v>
      </c>
      <c r="S804" s="33">
        <v>3.2091741193247514</v>
      </c>
      <c r="T804" t="s">
        <v>31</v>
      </c>
      <c r="U804" s="3">
        <v>4</v>
      </c>
      <c r="V804" s="3" t="str">
        <f t="shared" si="176"/>
        <v>Normal</v>
      </c>
      <c r="W804" s="3" t="s">
        <v>50</v>
      </c>
      <c r="X804" s="32">
        <f t="shared" si="173"/>
        <v>0.30038225497264648</v>
      </c>
      <c r="Z804" s="38">
        <f t="shared" si="177"/>
        <v>0.17538225497264648</v>
      </c>
      <c r="AC804" s="36">
        <v>0.125</v>
      </c>
      <c r="AL804" t="str">
        <f t="shared" si="178"/>
        <v>Health Deterioration/TPA Approval Delay</v>
      </c>
      <c r="AM804" t="str">
        <f t="shared" si="179"/>
        <v>No</v>
      </c>
      <c r="AN804" t="str">
        <f t="shared" si="180"/>
        <v>Emergency</v>
      </c>
      <c r="AO804" t="str">
        <f t="shared" si="181"/>
        <v>HDU</v>
      </c>
    </row>
    <row r="805" spans="1:41" x14ac:dyDescent="0.3">
      <c r="A805" s="21" t="str">
        <f t="shared" si="174"/>
        <v>UHID-00804</v>
      </c>
      <c r="B805" s="18">
        <v>15</v>
      </c>
      <c r="C805" s="10" t="s">
        <v>18</v>
      </c>
      <c r="D805" s="13" t="s">
        <v>28</v>
      </c>
      <c r="E805" s="13" t="s">
        <v>5</v>
      </c>
      <c r="F805" s="15">
        <v>46190.794033888902</v>
      </c>
      <c r="G805" s="4">
        <v>46190</v>
      </c>
      <c r="H805" s="1">
        <v>46196.557893009303</v>
      </c>
      <c r="I805" s="22">
        <v>46196</v>
      </c>
      <c r="J805" s="24">
        <f t="shared" si="168"/>
        <v>46196.449455158945</v>
      </c>
      <c r="K805" s="24">
        <f t="shared" si="169"/>
        <v>0.55789300930337049</v>
      </c>
      <c r="L805" s="29">
        <f t="shared" si="175"/>
        <v>46195</v>
      </c>
      <c r="M805" s="27" t="str">
        <f t="shared" si="170"/>
        <v>Doctor Round Delay/Report Delay</v>
      </c>
      <c r="N805" s="31">
        <f t="shared" si="171"/>
        <v>6</v>
      </c>
      <c r="O805" s="27"/>
      <c r="Q805" s="8">
        <v>0.99916410576507297</v>
      </c>
      <c r="R805" s="8" t="str">
        <f t="shared" si="172"/>
        <v>Minor Delay</v>
      </c>
      <c r="S805" s="33">
        <v>2.6025084086802135</v>
      </c>
      <c r="T805" t="s">
        <v>31</v>
      </c>
      <c r="U805" s="3">
        <v>0</v>
      </c>
      <c r="V805" s="3" t="str">
        <f t="shared" si="176"/>
        <v>Normal</v>
      </c>
      <c r="W805" s="3" t="s">
        <v>51</v>
      </c>
      <c r="X805" s="32">
        <f t="shared" si="173"/>
        <v>0.10843785035831388</v>
      </c>
      <c r="Z805" s="38">
        <f t="shared" si="177"/>
        <v>0</v>
      </c>
      <c r="AC805" s="36">
        <v>0.125</v>
      </c>
      <c r="AL805" t="str">
        <f t="shared" si="178"/>
        <v>Doctor Round Delay/Report Delay</v>
      </c>
      <c r="AM805" t="str">
        <f t="shared" si="179"/>
        <v>No</v>
      </c>
      <c r="AN805" t="str">
        <f t="shared" si="180"/>
        <v>Emergency</v>
      </c>
      <c r="AO805" t="str">
        <f t="shared" si="181"/>
        <v>HDU</v>
      </c>
    </row>
    <row r="806" spans="1:41" x14ac:dyDescent="0.3">
      <c r="A806" s="21" t="str">
        <f t="shared" si="174"/>
        <v>UHID-00805</v>
      </c>
      <c r="B806" s="18">
        <v>69</v>
      </c>
      <c r="C806" s="10" t="s">
        <v>17</v>
      </c>
      <c r="D806" s="13" t="s">
        <v>26</v>
      </c>
      <c r="E806" s="13" t="s">
        <v>5</v>
      </c>
      <c r="F806" s="15">
        <v>46191.4618665046</v>
      </c>
      <c r="G806" s="4">
        <v>46191</v>
      </c>
      <c r="H806" s="1">
        <v>46196.932761516196</v>
      </c>
      <c r="I806" s="22">
        <v>46196</v>
      </c>
      <c r="J806" s="24">
        <f t="shared" si="168"/>
        <v>46196.634753565471</v>
      </c>
      <c r="K806" s="24">
        <f t="shared" si="169"/>
        <v>0.93276151619647862</v>
      </c>
      <c r="L806" s="29">
        <f t="shared" si="175"/>
        <v>46195</v>
      </c>
      <c r="M806" s="27" t="str">
        <f t="shared" si="170"/>
        <v>Health Deterioration/TPA Approval Delay</v>
      </c>
      <c r="N806" s="31">
        <f t="shared" si="171"/>
        <v>5</v>
      </c>
      <c r="O806" s="27"/>
      <c r="Q806" s="8">
        <v>0.65643632170738686</v>
      </c>
      <c r="R806" s="8" t="str">
        <f t="shared" si="172"/>
        <v>Critical Delay</v>
      </c>
      <c r="S806" s="33">
        <v>3.1521908174028219</v>
      </c>
      <c r="T806" t="s">
        <v>31</v>
      </c>
      <c r="U806" s="3">
        <v>4</v>
      </c>
      <c r="V806" s="3" t="str">
        <f t="shared" si="176"/>
        <v>Normal</v>
      </c>
      <c r="W806" s="3" t="s">
        <v>50</v>
      </c>
      <c r="X806" s="32">
        <f t="shared" si="173"/>
        <v>0.29800795072515029</v>
      </c>
      <c r="Z806" s="38">
        <f t="shared" si="177"/>
        <v>0.17300795072515029</v>
      </c>
      <c r="AC806" s="36">
        <v>0.125</v>
      </c>
      <c r="AL806" t="str">
        <f t="shared" si="178"/>
        <v>Health Deterioration/TPA Approval Delay</v>
      </c>
      <c r="AM806" t="str">
        <f t="shared" si="179"/>
        <v>Yes</v>
      </c>
      <c r="AN806" t="str">
        <f t="shared" si="180"/>
        <v>Emergency</v>
      </c>
      <c r="AO806" t="str">
        <f t="shared" si="181"/>
        <v>HDU</v>
      </c>
    </row>
    <row r="807" spans="1:41" x14ac:dyDescent="0.3">
      <c r="A807" s="21" t="str">
        <f t="shared" si="174"/>
        <v>UHID-00806</v>
      </c>
      <c r="B807" s="18">
        <v>14</v>
      </c>
      <c r="C807" s="10" t="s">
        <v>17</v>
      </c>
      <c r="D807" s="13" t="s">
        <v>27</v>
      </c>
      <c r="E807" s="13" t="s">
        <v>5</v>
      </c>
      <c r="F807" s="15">
        <v>46196.587721979202</v>
      </c>
      <c r="G807" s="4">
        <v>46196</v>
      </c>
      <c r="H807" s="1">
        <v>46196.934233993103</v>
      </c>
      <c r="I807" s="22">
        <v>46196</v>
      </c>
      <c r="J807" s="24">
        <f t="shared" si="168"/>
        <v>46196.655235738297</v>
      </c>
      <c r="K807" s="24">
        <f t="shared" si="169"/>
        <v>0.93423399310267996</v>
      </c>
      <c r="L807" s="29">
        <f t="shared" si="175"/>
        <v>46195</v>
      </c>
      <c r="M807" s="27" t="str">
        <f t="shared" si="170"/>
        <v>Health Deterioration</v>
      </c>
      <c r="N807" s="31">
        <f t="shared" si="171"/>
        <v>0</v>
      </c>
      <c r="O807" s="27"/>
      <c r="Q807" s="8">
        <v>0.18726024422125043</v>
      </c>
      <c r="R807" s="8" t="str">
        <f t="shared" si="172"/>
        <v>Critical Delay</v>
      </c>
      <c r="S807" s="33">
        <v>1.6959581154005583</v>
      </c>
      <c r="T807" t="s">
        <v>30</v>
      </c>
      <c r="U807" s="3">
        <v>5</v>
      </c>
      <c r="V807" s="3" t="str">
        <f t="shared" si="176"/>
        <v/>
      </c>
      <c r="W807" s="3" t="s">
        <v>52</v>
      </c>
      <c r="X807" s="32">
        <f t="shared" si="173"/>
        <v>0.27899825480562868</v>
      </c>
      <c r="Z807" s="38">
        <f t="shared" si="177"/>
        <v>0.15399825480562868</v>
      </c>
      <c r="AC807" s="36">
        <v>0.125</v>
      </c>
      <c r="AL807" t="str">
        <f t="shared" si="178"/>
        <v>Health Deterioration</v>
      </c>
      <c r="AM807" t="str">
        <f t="shared" si="179"/>
        <v>No</v>
      </c>
      <c r="AN807" t="str">
        <f t="shared" si="180"/>
        <v>Emergency</v>
      </c>
      <c r="AO807" t="str">
        <f t="shared" si="181"/>
        <v>General Ward</v>
      </c>
    </row>
    <row r="808" spans="1:41" x14ac:dyDescent="0.3">
      <c r="A808" s="21" t="str">
        <f t="shared" si="174"/>
        <v>UHID-00807</v>
      </c>
      <c r="B808" s="18">
        <v>54</v>
      </c>
      <c r="C808" s="10" t="s">
        <v>18</v>
      </c>
      <c r="D808" s="13" t="s">
        <v>27</v>
      </c>
      <c r="E808" s="13" t="s">
        <v>5</v>
      </c>
      <c r="F808" s="15">
        <v>46197.374988784701</v>
      </c>
      <c r="G808" s="4">
        <v>46197</v>
      </c>
      <c r="H808" s="1">
        <v>46197.817481620397</v>
      </c>
      <c r="I808" s="22">
        <v>46197</v>
      </c>
      <c r="J808" s="24">
        <f t="shared" si="168"/>
        <v>46197.766866099824</v>
      </c>
      <c r="K808" s="24">
        <f t="shared" si="169"/>
        <v>0.81748162039730232</v>
      </c>
      <c r="L808" s="29">
        <f t="shared" si="175"/>
        <v>46196</v>
      </c>
      <c r="M808" s="27" t="str">
        <f t="shared" si="170"/>
        <v>Normal</v>
      </c>
      <c r="N808" s="31">
        <f t="shared" si="171"/>
        <v>0</v>
      </c>
      <c r="O808" s="27"/>
      <c r="Q808" s="8">
        <v>0.31301798350887877</v>
      </c>
      <c r="R808" s="8" t="str">
        <f t="shared" si="172"/>
        <v>On Time</v>
      </c>
      <c r="S808" s="33">
        <v>1.214772493735262</v>
      </c>
      <c r="T808" t="s">
        <v>30</v>
      </c>
      <c r="U808" s="3">
        <v>0</v>
      </c>
      <c r="V808" s="3" t="str">
        <f t="shared" si="176"/>
        <v/>
      </c>
      <c r="W808" s="3" t="s">
        <v>51</v>
      </c>
      <c r="X808" s="32">
        <f t="shared" si="173"/>
        <v>5.0615520573046524E-2</v>
      </c>
      <c r="Z808" s="38">
        <f t="shared" si="177"/>
        <v>0</v>
      </c>
      <c r="AC808" s="36">
        <v>0.125</v>
      </c>
      <c r="AL808" t="str">
        <f t="shared" si="178"/>
        <v>Normal</v>
      </c>
      <c r="AM808" t="str">
        <f t="shared" si="179"/>
        <v>No</v>
      </c>
      <c r="AN808" t="str">
        <f t="shared" si="180"/>
        <v>Elective</v>
      </c>
      <c r="AO808" t="str">
        <f t="shared" si="181"/>
        <v>General Ward</v>
      </c>
    </row>
    <row r="809" spans="1:41" x14ac:dyDescent="0.3">
      <c r="A809" s="21" t="str">
        <f t="shared" si="174"/>
        <v>UHID-00808</v>
      </c>
      <c r="B809" s="18">
        <v>63</v>
      </c>
      <c r="C809" s="10" t="s">
        <v>17</v>
      </c>
      <c r="D809" s="13" t="s">
        <v>28</v>
      </c>
      <c r="E809" s="13" t="s">
        <v>5</v>
      </c>
      <c r="F809" s="15">
        <v>46190.719894838003</v>
      </c>
      <c r="G809" s="4">
        <v>46190</v>
      </c>
      <c r="H809" s="1">
        <v>46197.697253044003</v>
      </c>
      <c r="I809" s="22">
        <v>46197</v>
      </c>
      <c r="J809" s="24">
        <f t="shared" si="168"/>
        <v>46197.586731769625</v>
      </c>
      <c r="K809" s="24">
        <f t="shared" si="169"/>
        <v>0.69725304400344612</v>
      </c>
      <c r="L809" s="29">
        <f t="shared" si="175"/>
        <v>46196</v>
      </c>
      <c r="M809" s="27" t="str">
        <f t="shared" si="170"/>
        <v>Doctor Round Delay/Report Delay</v>
      </c>
      <c r="N809" s="31">
        <f t="shared" si="171"/>
        <v>7</v>
      </c>
      <c r="O809" s="27"/>
      <c r="Q809" s="8">
        <v>0.89679953639937127</v>
      </c>
      <c r="R809" s="8" t="str">
        <f t="shared" si="172"/>
        <v>Minor Delay</v>
      </c>
      <c r="S809" s="33">
        <v>2.6525105850988462</v>
      </c>
      <c r="T809" t="s">
        <v>31</v>
      </c>
      <c r="U809" s="3">
        <v>0</v>
      </c>
      <c r="V809" s="3" t="str">
        <f t="shared" si="176"/>
        <v>Normal</v>
      </c>
      <c r="W809" s="3" t="s">
        <v>51</v>
      </c>
      <c r="X809" s="32">
        <f t="shared" si="173"/>
        <v>0.11052127437869785</v>
      </c>
      <c r="Z809" s="38">
        <f t="shared" si="177"/>
        <v>0</v>
      </c>
      <c r="AC809" s="36">
        <v>0.125</v>
      </c>
      <c r="AL809" t="str">
        <f t="shared" si="178"/>
        <v>Doctor Round Delay/Report Delay</v>
      </c>
      <c r="AM809" t="str">
        <f t="shared" si="179"/>
        <v>No</v>
      </c>
      <c r="AN809" t="str">
        <f t="shared" si="180"/>
        <v>Elective</v>
      </c>
      <c r="AO809" t="str">
        <f t="shared" si="181"/>
        <v>ICU</v>
      </c>
    </row>
    <row r="810" spans="1:41" x14ac:dyDescent="0.3">
      <c r="A810" s="21" t="str">
        <f t="shared" si="174"/>
        <v>UHID-00809</v>
      </c>
      <c r="B810" s="18">
        <v>16</v>
      </c>
      <c r="C810" s="10" t="s">
        <v>18</v>
      </c>
      <c r="D810" s="13" t="s">
        <v>26</v>
      </c>
      <c r="E810" s="13" t="s">
        <v>5</v>
      </c>
      <c r="F810" s="15">
        <v>46192.985790555598</v>
      </c>
      <c r="G810" s="4">
        <v>46192</v>
      </c>
      <c r="H810" s="1">
        <v>46196.878666446799</v>
      </c>
      <c r="I810" s="22">
        <v>46196</v>
      </c>
      <c r="J810" s="24">
        <f t="shared" si="168"/>
        <v>46196.736682665018</v>
      </c>
      <c r="K810" s="24">
        <f t="shared" si="169"/>
        <v>0.8786664467988885</v>
      </c>
      <c r="L810" s="29">
        <f t="shared" si="175"/>
        <v>46195</v>
      </c>
      <c r="M810" s="27" t="str">
        <f t="shared" si="170"/>
        <v>TPA Approval Delay</v>
      </c>
      <c r="N810" s="31">
        <f t="shared" si="171"/>
        <v>4</v>
      </c>
      <c r="O810" s="27"/>
      <c r="Q810" s="8">
        <v>0.67918614276372669</v>
      </c>
      <c r="R810" s="8" t="str">
        <f t="shared" si="172"/>
        <v>Major Delay</v>
      </c>
      <c r="S810" s="33">
        <v>3.4076107628021144</v>
      </c>
      <c r="T810" t="s">
        <v>31</v>
      </c>
      <c r="U810" s="3">
        <v>0</v>
      </c>
      <c r="V810" s="3" t="str">
        <f t="shared" si="176"/>
        <v>Normal</v>
      </c>
      <c r="W810" s="3" t="s">
        <v>51</v>
      </c>
      <c r="X810" s="32">
        <f t="shared" si="173"/>
        <v>0.141983781781164</v>
      </c>
      <c r="Z810" s="38">
        <f t="shared" si="177"/>
        <v>1.6983781781163998E-2</v>
      </c>
      <c r="AC810" s="36">
        <v>0.125</v>
      </c>
      <c r="AL810" t="str">
        <f t="shared" si="178"/>
        <v>TPA Approval Delay</v>
      </c>
      <c r="AM810" t="str">
        <f t="shared" si="179"/>
        <v>No</v>
      </c>
      <c r="AN810" t="str">
        <f t="shared" si="180"/>
        <v>Elective</v>
      </c>
      <c r="AO810" t="str">
        <f t="shared" si="181"/>
        <v>HDU</v>
      </c>
    </row>
    <row r="811" spans="1:41" x14ac:dyDescent="0.3">
      <c r="A811" s="21" t="str">
        <f t="shared" si="174"/>
        <v>UHID-00810</v>
      </c>
      <c r="B811" s="18">
        <v>71</v>
      </c>
      <c r="C811" s="10" t="s">
        <v>18</v>
      </c>
      <c r="D811" s="13" t="s">
        <v>27</v>
      </c>
      <c r="E811" s="13" t="s">
        <v>5</v>
      </c>
      <c r="F811" s="15">
        <v>46192.764925011601</v>
      </c>
      <c r="G811" s="4">
        <v>46192</v>
      </c>
      <c r="H811" s="1">
        <v>46197.5688326042</v>
      </c>
      <c r="I811" s="22">
        <v>46197</v>
      </c>
      <c r="J811" s="24">
        <f t="shared" si="168"/>
        <v>46197.517366092994</v>
      </c>
      <c r="K811" s="24">
        <f t="shared" si="169"/>
        <v>0.56883260419999715</v>
      </c>
      <c r="L811" s="29">
        <f t="shared" si="175"/>
        <v>46196</v>
      </c>
      <c r="M811" s="27" t="str">
        <f t="shared" si="170"/>
        <v>Normal</v>
      </c>
      <c r="N811" s="31">
        <f t="shared" si="171"/>
        <v>5</v>
      </c>
      <c r="O811" s="27"/>
      <c r="Q811" s="8">
        <v>0.41967626951524717</v>
      </c>
      <c r="R811" s="8" t="str">
        <f t="shared" si="172"/>
        <v>On Time</v>
      </c>
      <c r="S811" s="33">
        <v>1.2351962688955944</v>
      </c>
      <c r="T811" t="s">
        <v>31</v>
      </c>
      <c r="U811" s="3">
        <v>0</v>
      </c>
      <c r="V811" s="3" t="str">
        <f t="shared" si="176"/>
        <v>Normal</v>
      </c>
      <c r="W811" s="3" t="s">
        <v>51</v>
      </c>
      <c r="X811" s="32">
        <f t="shared" si="173"/>
        <v>5.1466511205944698E-2</v>
      </c>
      <c r="Z811" s="38">
        <f t="shared" si="177"/>
        <v>0</v>
      </c>
      <c r="AC811" s="36">
        <v>0.125</v>
      </c>
      <c r="AL811" t="str">
        <f t="shared" si="178"/>
        <v>Normal</v>
      </c>
      <c r="AM811" t="str">
        <f t="shared" si="179"/>
        <v>No</v>
      </c>
      <c r="AN811" t="str">
        <f t="shared" si="180"/>
        <v>Elective</v>
      </c>
      <c r="AO811" t="str">
        <f t="shared" si="181"/>
        <v>HDU</v>
      </c>
    </row>
    <row r="812" spans="1:41" x14ac:dyDescent="0.3">
      <c r="A812" s="21" t="str">
        <f t="shared" si="174"/>
        <v>UHID-00811</v>
      </c>
      <c r="B812" s="18">
        <v>68</v>
      </c>
      <c r="C812" s="10" t="s">
        <v>18</v>
      </c>
      <c r="D812" s="13" t="s">
        <v>26</v>
      </c>
      <c r="E812" s="13" t="s">
        <v>5</v>
      </c>
      <c r="F812" s="15">
        <v>46195.982680833302</v>
      </c>
      <c r="G812" s="4">
        <v>46195</v>
      </c>
      <c r="H812" s="1">
        <v>46197.7215907176</v>
      </c>
      <c r="I812" s="22">
        <v>46197</v>
      </c>
      <c r="J812" s="24">
        <f t="shared" si="168"/>
        <v>46197.589504105927</v>
      </c>
      <c r="K812" s="24">
        <f t="shared" si="169"/>
        <v>0.7215907175996108</v>
      </c>
      <c r="L812" s="29">
        <f t="shared" si="175"/>
        <v>46196</v>
      </c>
      <c r="M812" s="27" t="str">
        <f t="shared" si="170"/>
        <v>TPA Approval Delay</v>
      </c>
      <c r="N812" s="31">
        <f t="shared" si="171"/>
        <v>2</v>
      </c>
      <c r="O812" s="27"/>
      <c r="Q812" s="8">
        <v>0.59579997533427576</v>
      </c>
      <c r="R812" s="8" t="str">
        <f t="shared" si="172"/>
        <v>Major Delay</v>
      </c>
      <c r="S812" s="33">
        <v>3.1700786800892855</v>
      </c>
      <c r="T812" t="s">
        <v>31</v>
      </c>
      <c r="U812" s="3">
        <v>0</v>
      </c>
      <c r="V812" s="3" t="str">
        <f t="shared" si="176"/>
        <v>Normal</v>
      </c>
      <c r="W812" s="3" t="s">
        <v>51</v>
      </c>
      <c r="X812" s="32">
        <f t="shared" si="173"/>
        <v>0.13208661167300306</v>
      </c>
      <c r="Z812" s="38">
        <f t="shared" si="177"/>
        <v>7.0866116730030626E-3</v>
      </c>
      <c r="AC812" s="36">
        <v>0.125</v>
      </c>
      <c r="AL812" t="str">
        <f t="shared" si="178"/>
        <v>TPA Approval Delay</v>
      </c>
      <c r="AM812" t="str">
        <f t="shared" si="179"/>
        <v>No</v>
      </c>
      <c r="AN812" t="str">
        <f t="shared" si="180"/>
        <v>Elective</v>
      </c>
      <c r="AO812" t="str">
        <f t="shared" si="181"/>
        <v>General Ward</v>
      </c>
    </row>
    <row r="813" spans="1:41" x14ac:dyDescent="0.3">
      <c r="A813" s="21" t="str">
        <f t="shared" si="174"/>
        <v>UHID-00812</v>
      </c>
      <c r="B813" s="18">
        <v>62</v>
      </c>
      <c r="C813" s="10" t="s">
        <v>18</v>
      </c>
      <c r="D813" s="13" t="s">
        <v>26</v>
      </c>
      <c r="E813" s="13" t="s">
        <v>5</v>
      </c>
      <c r="F813" s="15">
        <v>46187.197512407402</v>
      </c>
      <c r="G813" s="4">
        <v>46187</v>
      </c>
      <c r="H813" s="1">
        <v>46197.695885902802</v>
      </c>
      <c r="I813" s="22">
        <v>46197</v>
      </c>
      <c r="J813" s="24">
        <f t="shared" si="168"/>
        <v>46197.55011344282</v>
      </c>
      <c r="K813" s="24">
        <f t="shared" si="169"/>
        <v>0.69588590280181961</v>
      </c>
      <c r="L813" s="29">
        <f t="shared" si="175"/>
        <v>46196</v>
      </c>
      <c r="M813" s="27" t="str">
        <f t="shared" si="170"/>
        <v>TPA Approval Delay</v>
      </c>
      <c r="N813" s="31">
        <f t="shared" si="171"/>
        <v>10</v>
      </c>
      <c r="O813" s="27"/>
      <c r="Q813" s="8">
        <v>0.50947506237526863</v>
      </c>
      <c r="R813" s="8" t="str">
        <f t="shared" si="172"/>
        <v>Major Delay</v>
      </c>
      <c r="S813" s="33">
        <v>3.4985390395186542</v>
      </c>
      <c r="T813" t="s">
        <v>31</v>
      </c>
      <c r="U813" s="3">
        <v>0</v>
      </c>
      <c r="V813" s="3" t="str">
        <f t="shared" si="176"/>
        <v>Normal</v>
      </c>
      <c r="W813" s="3" t="s">
        <v>51</v>
      </c>
      <c r="X813" s="32">
        <f t="shared" si="173"/>
        <v>0.14577245998225408</v>
      </c>
      <c r="Z813" s="38">
        <f t="shared" si="177"/>
        <v>2.0772459982254077E-2</v>
      </c>
      <c r="AC813" s="36">
        <v>0.125</v>
      </c>
      <c r="AL813" t="str">
        <f t="shared" si="178"/>
        <v>TPA Approval Delay</v>
      </c>
      <c r="AM813" t="str">
        <f t="shared" si="179"/>
        <v>No</v>
      </c>
      <c r="AN813" t="str">
        <f t="shared" si="180"/>
        <v>Emergency</v>
      </c>
      <c r="AO813" t="str">
        <f t="shared" si="181"/>
        <v>ICU</v>
      </c>
    </row>
    <row r="814" spans="1:41" x14ac:dyDescent="0.3">
      <c r="A814" s="21" t="str">
        <f t="shared" si="174"/>
        <v>UHID-00813</v>
      </c>
      <c r="B814" s="18">
        <v>52</v>
      </c>
      <c r="C814" s="10" t="s">
        <v>17</v>
      </c>
      <c r="D814" s="13" t="s">
        <v>27</v>
      </c>
      <c r="E814" s="13" t="s">
        <v>5</v>
      </c>
      <c r="F814" s="15">
        <v>46191.5358181134</v>
      </c>
      <c r="G814" s="4">
        <v>46191</v>
      </c>
      <c r="H814" s="1">
        <v>46197.725801180597</v>
      </c>
      <c r="I814" s="22">
        <v>46197</v>
      </c>
      <c r="J814" s="24">
        <f t="shared" si="168"/>
        <v>46197.651307431282</v>
      </c>
      <c r="K814" s="24">
        <f t="shared" si="169"/>
        <v>0.72580118059704546</v>
      </c>
      <c r="L814" s="29">
        <f t="shared" si="175"/>
        <v>46196</v>
      </c>
      <c r="M814" s="27" t="str">
        <f t="shared" si="170"/>
        <v>Normal</v>
      </c>
      <c r="N814" s="31">
        <f t="shared" si="171"/>
        <v>6</v>
      </c>
      <c r="O814" s="27"/>
      <c r="Q814" s="8">
        <v>0.46434407826329127</v>
      </c>
      <c r="R814" s="8" t="str">
        <f t="shared" si="172"/>
        <v>On Time</v>
      </c>
      <c r="S814" s="33">
        <v>1.7878499835391115</v>
      </c>
      <c r="T814" t="s">
        <v>31</v>
      </c>
      <c r="U814" s="3">
        <v>0</v>
      </c>
      <c r="V814" s="3" t="str">
        <f t="shared" si="176"/>
        <v>Normal</v>
      </c>
      <c r="W814" s="3" t="s">
        <v>51</v>
      </c>
      <c r="X814" s="32">
        <f t="shared" si="173"/>
        <v>7.4493749314569868E-2</v>
      </c>
      <c r="Z814" s="38">
        <f t="shared" si="177"/>
        <v>0</v>
      </c>
      <c r="AC814" s="36">
        <v>0.125</v>
      </c>
      <c r="AL814" t="str">
        <f t="shared" si="178"/>
        <v>Normal</v>
      </c>
      <c r="AM814" t="str">
        <f t="shared" si="179"/>
        <v>No</v>
      </c>
      <c r="AN814" t="str">
        <f t="shared" si="180"/>
        <v>Elective</v>
      </c>
      <c r="AO814" t="str">
        <f t="shared" si="181"/>
        <v>HDU</v>
      </c>
    </row>
    <row r="815" spans="1:41" x14ac:dyDescent="0.3">
      <c r="A815" s="21" t="str">
        <f t="shared" si="174"/>
        <v>UHID-00814</v>
      </c>
      <c r="B815" s="18">
        <v>71</v>
      </c>
      <c r="C815" s="10" t="s">
        <v>17</v>
      </c>
      <c r="D815" s="13" t="s">
        <v>26</v>
      </c>
      <c r="E815" s="13" t="s">
        <v>5</v>
      </c>
      <c r="F815" s="15">
        <v>46183.636820844898</v>
      </c>
      <c r="G815" s="4">
        <v>46183</v>
      </c>
      <c r="H815" s="1">
        <v>46197.632809664297</v>
      </c>
      <c r="I815" s="22">
        <v>46197</v>
      </c>
      <c r="J815" s="24">
        <f t="shared" si="168"/>
        <v>46197.490113145104</v>
      </c>
      <c r="K815" s="24">
        <f t="shared" si="169"/>
        <v>0.63280966429738328</v>
      </c>
      <c r="L815" s="29">
        <f t="shared" si="175"/>
        <v>46196</v>
      </c>
      <c r="M815" s="27" t="str">
        <f t="shared" si="170"/>
        <v>TPA Approval Delay</v>
      </c>
      <c r="N815" s="31">
        <f t="shared" si="171"/>
        <v>14</v>
      </c>
      <c r="O815" s="27"/>
      <c r="Q815" s="8">
        <v>0.69988873013705732</v>
      </c>
      <c r="R815" s="8" t="str">
        <f t="shared" si="172"/>
        <v>Major Delay</v>
      </c>
      <c r="S815" s="33">
        <v>3.4247164605768701</v>
      </c>
      <c r="T815" t="s">
        <v>31</v>
      </c>
      <c r="U815" s="3">
        <v>0</v>
      </c>
      <c r="V815" s="3" t="str">
        <f t="shared" si="176"/>
        <v>Normal</v>
      </c>
      <c r="W815" s="3" t="s">
        <v>51</v>
      </c>
      <c r="X815" s="32">
        <f t="shared" si="173"/>
        <v>0.14269651919312309</v>
      </c>
      <c r="Z815" s="38">
        <f t="shared" si="177"/>
        <v>1.7696519193123095E-2</v>
      </c>
      <c r="AC815" s="36">
        <v>0.125</v>
      </c>
      <c r="AL815" t="str">
        <f t="shared" si="178"/>
        <v>TPA Approval Delay</v>
      </c>
      <c r="AM815" t="str">
        <f t="shared" si="179"/>
        <v>Yes</v>
      </c>
      <c r="AN815" t="str">
        <f t="shared" si="180"/>
        <v>Emergency</v>
      </c>
      <c r="AO815" t="str">
        <f t="shared" si="181"/>
        <v>ICU</v>
      </c>
    </row>
    <row r="816" spans="1:41" x14ac:dyDescent="0.3">
      <c r="A816" s="21" t="str">
        <f t="shared" si="174"/>
        <v>UHID-00815</v>
      </c>
      <c r="B816" s="18">
        <v>27</v>
      </c>
      <c r="C816" s="10" t="s">
        <v>17</v>
      </c>
      <c r="D816" s="13" t="s">
        <v>26</v>
      </c>
      <c r="E816" s="13" t="s">
        <v>5</v>
      </c>
      <c r="F816" s="15">
        <v>46191.587804166702</v>
      </c>
      <c r="G816" s="4">
        <v>46191</v>
      </c>
      <c r="H816" s="1">
        <v>46197.726455057898</v>
      </c>
      <c r="I816" s="22">
        <v>46197</v>
      </c>
      <c r="J816" s="24">
        <f t="shared" si="168"/>
        <v>46197.416447576703</v>
      </c>
      <c r="K816" s="24">
        <f t="shared" si="169"/>
        <v>0.72645505789841991</v>
      </c>
      <c r="L816" s="29">
        <f t="shared" si="175"/>
        <v>46196</v>
      </c>
      <c r="M816" s="27" t="str">
        <f t="shared" si="170"/>
        <v>Health Deterioration/TPA Approval Delay</v>
      </c>
      <c r="N816" s="31">
        <f t="shared" si="171"/>
        <v>6</v>
      </c>
      <c r="O816" s="27"/>
      <c r="Q816" s="8">
        <v>0.56521663669686906</v>
      </c>
      <c r="R816" s="8" t="str">
        <f t="shared" si="172"/>
        <v>Critical Delay</v>
      </c>
      <c r="S816" s="33">
        <v>3.4401795487582891</v>
      </c>
      <c r="T816" t="s">
        <v>31</v>
      </c>
      <c r="U816" s="3">
        <v>4</v>
      </c>
      <c r="V816" s="3" t="str">
        <f t="shared" si="176"/>
        <v>Normal</v>
      </c>
      <c r="W816" s="3" t="s">
        <v>50</v>
      </c>
      <c r="X816" s="32">
        <f t="shared" si="173"/>
        <v>0.31000748119549826</v>
      </c>
      <c r="Z816" s="38">
        <f t="shared" si="177"/>
        <v>0.18500748119549826</v>
      </c>
      <c r="AC816" s="36">
        <v>0.125</v>
      </c>
      <c r="AL816" t="str">
        <f t="shared" si="178"/>
        <v>Health Deterioration/TPA Approval Delay</v>
      </c>
      <c r="AM816" t="str">
        <f t="shared" si="179"/>
        <v>No</v>
      </c>
      <c r="AN816" t="str">
        <f t="shared" si="180"/>
        <v>Emergency</v>
      </c>
      <c r="AO816" t="str">
        <f t="shared" si="181"/>
        <v>HDU</v>
      </c>
    </row>
    <row r="817" spans="1:41" x14ac:dyDescent="0.3">
      <c r="A817" s="21" t="str">
        <f t="shared" si="174"/>
        <v>UHID-00816</v>
      </c>
      <c r="B817" s="18">
        <v>38</v>
      </c>
      <c r="C817" s="10" t="s">
        <v>17</v>
      </c>
      <c r="D817" s="13" t="s">
        <v>27</v>
      </c>
      <c r="E817" s="13" t="s">
        <v>5</v>
      </c>
      <c r="F817" s="15">
        <v>46192.834024756899</v>
      </c>
      <c r="G817" s="4">
        <v>46192</v>
      </c>
      <c r="H817" s="1">
        <v>46197.874379143497</v>
      </c>
      <c r="I817" s="22">
        <v>46197</v>
      </c>
      <c r="J817" s="24">
        <f t="shared" si="168"/>
        <v>46197.831953750734</v>
      </c>
      <c r="K817" s="24">
        <f t="shared" si="169"/>
        <v>0.87437914349720813</v>
      </c>
      <c r="L817" s="29">
        <f t="shared" si="175"/>
        <v>46196</v>
      </c>
      <c r="M817" s="27" t="str">
        <f t="shared" si="170"/>
        <v>Normal</v>
      </c>
      <c r="N817" s="31">
        <f t="shared" si="171"/>
        <v>5</v>
      </c>
      <c r="O817" s="27"/>
      <c r="Q817" s="8">
        <v>8.0525566060206666E-3</v>
      </c>
      <c r="R817" s="8" t="str">
        <f t="shared" si="172"/>
        <v>On Time</v>
      </c>
      <c r="S817" s="33">
        <v>1.0182094262877324</v>
      </c>
      <c r="T817" t="s">
        <v>30</v>
      </c>
      <c r="U817" s="3">
        <v>0</v>
      </c>
      <c r="V817" s="3" t="str">
        <f t="shared" si="176"/>
        <v/>
      </c>
      <c r="W817" s="3" t="s">
        <v>51</v>
      </c>
      <c r="X817" s="32">
        <f t="shared" si="173"/>
        <v>4.2425392763107084E-2</v>
      </c>
      <c r="Z817" s="38">
        <f t="shared" si="177"/>
        <v>0</v>
      </c>
      <c r="AC817" s="36">
        <v>0.125</v>
      </c>
      <c r="AL817" t="str">
        <f t="shared" si="178"/>
        <v>Normal</v>
      </c>
      <c r="AM817" t="str">
        <f t="shared" si="179"/>
        <v>No</v>
      </c>
      <c r="AN817" t="str">
        <f t="shared" si="180"/>
        <v>Elective</v>
      </c>
      <c r="AO817" t="str">
        <f t="shared" si="181"/>
        <v>HDU</v>
      </c>
    </row>
    <row r="818" spans="1:41" x14ac:dyDescent="0.3">
      <c r="A818" s="21" t="str">
        <f t="shared" si="174"/>
        <v>UHID-00817</v>
      </c>
      <c r="B818" s="18">
        <v>30</v>
      </c>
      <c r="C818" s="10" t="s">
        <v>17</v>
      </c>
      <c r="D818" s="13" t="s">
        <v>27</v>
      </c>
      <c r="E818" s="13" t="s">
        <v>5</v>
      </c>
      <c r="F818" s="15">
        <v>46191.444770347203</v>
      </c>
      <c r="G818" s="4">
        <v>46191</v>
      </c>
      <c r="H818" s="1">
        <v>46197.725050902802</v>
      </c>
      <c r="I818" s="22">
        <v>46197</v>
      </c>
      <c r="J818" s="24">
        <f t="shared" si="168"/>
        <v>46197.650095437493</v>
      </c>
      <c r="K818" s="24">
        <f t="shared" si="169"/>
        <v>0.72505090280174045</v>
      </c>
      <c r="L818" s="29">
        <f t="shared" si="175"/>
        <v>46196</v>
      </c>
      <c r="M818" s="27" t="str">
        <f t="shared" si="170"/>
        <v>Normal</v>
      </c>
      <c r="N818" s="31">
        <f t="shared" si="171"/>
        <v>6</v>
      </c>
      <c r="O818" s="27"/>
      <c r="Q818" s="8">
        <v>0.34679112615177987</v>
      </c>
      <c r="R818" s="8" t="str">
        <f t="shared" si="172"/>
        <v>On Time</v>
      </c>
      <c r="S818" s="33">
        <v>1.7989311673218205</v>
      </c>
      <c r="T818" t="s">
        <v>30</v>
      </c>
      <c r="U818" s="3">
        <v>0</v>
      </c>
      <c r="V818" s="3" t="str">
        <f t="shared" si="176"/>
        <v/>
      </c>
      <c r="W818" s="3" t="s">
        <v>51</v>
      </c>
      <c r="X818" s="32">
        <f t="shared" si="173"/>
        <v>7.4955465308448765E-2</v>
      </c>
      <c r="Z818" s="38">
        <f t="shared" si="177"/>
        <v>0</v>
      </c>
      <c r="AC818" s="36">
        <v>0.125</v>
      </c>
      <c r="AL818" t="str">
        <f t="shared" si="178"/>
        <v>Normal</v>
      </c>
      <c r="AM818" t="str">
        <f t="shared" si="179"/>
        <v>No</v>
      </c>
      <c r="AN818" t="str">
        <f t="shared" si="180"/>
        <v>Elective</v>
      </c>
      <c r="AO818" t="str">
        <f t="shared" si="181"/>
        <v>HDU</v>
      </c>
    </row>
    <row r="819" spans="1:41" x14ac:dyDescent="0.3">
      <c r="A819" s="21" t="str">
        <f t="shared" si="174"/>
        <v>UHID-00818</v>
      </c>
      <c r="B819" s="18">
        <v>72</v>
      </c>
      <c r="C819" s="10" t="s">
        <v>18</v>
      </c>
      <c r="D819" s="13" t="s">
        <v>26</v>
      </c>
      <c r="E819" s="13" t="s">
        <v>5</v>
      </c>
      <c r="F819" s="15">
        <v>46193.957179236102</v>
      </c>
      <c r="G819" s="4">
        <v>46193</v>
      </c>
      <c r="H819" s="1">
        <v>46198.507679097202</v>
      </c>
      <c r="I819" s="22">
        <v>46198</v>
      </c>
      <c r="J819" s="24">
        <f t="shared" si="168"/>
        <v>46198.361522524428</v>
      </c>
      <c r="K819" s="24">
        <f t="shared" si="169"/>
        <v>0.50767909720161697</v>
      </c>
      <c r="L819" s="29">
        <f t="shared" si="175"/>
        <v>46197</v>
      </c>
      <c r="M819" s="27" t="str">
        <f t="shared" si="170"/>
        <v>TPA Approval Delay</v>
      </c>
      <c r="N819" s="31">
        <f t="shared" si="171"/>
        <v>5</v>
      </c>
      <c r="O819" s="27"/>
      <c r="Q819" s="8">
        <v>0.55266059157410719</v>
      </c>
      <c r="R819" s="8" t="str">
        <f t="shared" si="172"/>
        <v>Major Delay</v>
      </c>
      <c r="S819" s="33">
        <v>3.5077577465196335</v>
      </c>
      <c r="T819" t="s">
        <v>31</v>
      </c>
      <c r="U819" s="3">
        <v>0</v>
      </c>
      <c r="V819" s="3" t="str">
        <f t="shared" si="176"/>
        <v>Normal</v>
      </c>
      <c r="W819" s="3" t="s">
        <v>51</v>
      </c>
      <c r="X819" s="32">
        <f t="shared" si="173"/>
        <v>0.14615657277317951</v>
      </c>
      <c r="Z819" s="38">
        <f t="shared" si="177"/>
        <v>2.1156572773179505E-2</v>
      </c>
      <c r="AC819" s="36">
        <v>0.125</v>
      </c>
      <c r="AL819" t="str">
        <f t="shared" si="178"/>
        <v>TPA Approval Delay</v>
      </c>
      <c r="AM819" t="str">
        <f t="shared" si="179"/>
        <v>No</v>
      </c>
      <c r="AN819" t="str">
        <f t="shared" si="180"/>
        <v>Elective</v>
      </c>
      <c r="AO819" t="str">
        <f t="shared" si="181"/>
        <v>HDU</v>
      </c>
    </row>
    <row r="820" spans="1:41" x14ac:dyDescent="0.3">
      <c r="A820" s="21" t="str">
        <f t="shared" si="174"/>
        <v>UHID-00819</v>
      </c>
      <c r="B820" s="18">
        <v>60</v>
      </c>
      <c r="C820" s="10" t="s">
        <v>18</v>
      </c>
      <c r="D820" s="13" t="s">
        <v>27</v>
      </c>
      <c r="E820" s="13" t="s">
        <v>5</v>
      </c>
      <c r="F820" s="15">
        <v>46191.796320243098</v>
      </c>
      <c r="G820" s="4">
        <v>46191</v>
      </c>
      <c r="H820" s="1">
        <v>46198.510461944403</v>
      </c>
      <c r="I820" s="22">
        <v>46198</v>
      </c>
      <c r="J820" s="24">
        <f t="shared" si="168"/>
        <v>46198.447461725504</v>
      </c>
      <c r="K820" s="24">
        <f t="shared" si="169"/>
        <v>0.51046194440277759</v>
      </c>
      <c r="L820" s="29">
        <f t="shared" si="175"/>
        <v>46197</v>
      </c>
      <c r="M820" s="27" t="str">
        <f t="shared" si="170"/>
        <v>Normal</v>
      </c>
      <c r="N820" s="31">
        <f t="shared" si="171"/>
        <v>7</v>
      </c>
      <c r="O820" s="27"/>
      <c r="Q820" s="8">
        <v>2.0628731345225026E-2</v>
      </c>
      <c r="R820" s="8" t="str">
        <f t="shared" si="172"/>
        <v>On Time</v>
      </c>
      <c r="S820" s="33">
        <v>1.5120052536120716</v>
      </c>
      <c r="T820" t="s">
        <v>30</v>
      </c>
      <c r="U820" s="3">
        <v>0</v>
      </c>
      <c r="V820" s="3" t="str">
        <f t="shared" si="176"/>
        <v/>
      </c>
      <c r="W820" s="3" t="s">
        <v>51</v>
      </c>
      <c r="X820" s="32">
        <f t="shared" si="173"/>
        <v>6.3000218899105676E-2</v>
      </c>
      <c r="Z820" s="38">
        <f t="shared" si="177"/>
        <v>0</v>
      </c>
      <c r="AC820" s="36">
        <v>0.125</v>
      </c>
      <c r="AL820" t="str">
        <f t="shared" si="178"/>
        <v>Normal</v>
      </c>
      <c r="AM820" t="str">
        <f t="shared" si="179"/>
        <v>No</v>
      </c>
      <c r="AN820" t="str">
        <f t="shared" si="180"/>
        <v>Emergency</v>
      </c>
      <c r="AO820" t="str">
        <f t="shared" si="181"/>
        <v>ICU</v>
      </c>
    </row>
    <row r="821" spans="1:41" x14ac:dyDescent="0.3">
      <c r="A821" s="21" t="str">
        <f t="shared" si="174"/>
        <v>UHID-00820</v>
      </c>
      <c r="B821" s="18">
        <v>49</v>
      </c>
      <c r="C821" s="10" t="s">
        <v>17</v>
      </c>
      <c r="D821" s="13" t="s">
        <v>27</v>
      </c>
      <c r="E821" s="13" t="s">
        <v>5</v>
      </c>
      <c r="F821" s="15">
        <v>46191.871015578698</v>
      </c>
      <c r="G821" s="4">
        <v>46191</v>
      </c>
      <c r="H821" s="1">
        <v>46198.5625375694</v>
      </c>
      <c r="I821" s="22">
        <v>46198</v>
      </c>
      <c r="J821" s="24">
        <f t="shared" si="168"/>
        <v>46198.361684018957</v>
      </c>
      <c r="K821" s="24">
        <f t="shared" si="169"/>
        <v>0.56253756939986488</v>
      </c>
      <c r="L821" s="29">
        <f t="shared" si="175"/>
        <v>46197</v>
      </c>
      <c r="M821" s="27" t="str">
        <f t="shared" si="170"/>
        <v>Medication Change</v>
      </c>
      <c r="N821" s="31">
        <f t="shared" si="171"/>
        <v>7</v>
      </c>
      <c r="O821" s="27"/>
      <c r="Q821" s="8">
        <v>0.16021271853743868</v>
      </c>
      <c r="R821" s="8" t="str">
        <f t="shared" si="172"/>
        <v>Major Delay</v>
      </c>
      <c r="S821" s="33">
        <v>1.8204852105490734</v>
      </c>
      <c r="T821" t="s">
        <v>30</v>
      </c>
      <c r="U821" s="3">
        <v>3</v>
      </c>
      <c r="V821" s="3" t="str">
        <f t="shared" si="176"/>
        <v/>
      </c>
      <c r="W821" s="3" t="s">
        <v>50</v>
      </c>
      <c r="X821" s="32">
        <f t="shared" si="173"/>
        <v>0.2008535504428437</v>
      </c>
      <c r="Z821" s="38">
        <f t="shared" si="177"/>
        <v>7.5853550442843698E-2</v>
      </c>
      <c r="AC821" s="36">
        <v>0.125</v>
      </c>
      <c r="AL821" t="str">
        <f t="shared" si="178"/>
        <v>Medication Change</v>
      </c>
      <c r="AM821" t="str">
        <f t="shared" si="179"/>
        <v>No</v>
      </c>
      <c r="AN821" t="str">
        <f t="shared" si="180"/>
        <v>Emergency</v>
      </c>
      <c r="AO821" t="str">
        <f t="shared" si="181"/>
        <v>ICU</v>
      </c>
    </row>
    <row r="822" spans="1:41" x14ac:dyDescent="0.3">
      <c r="A822" s="21" t="str">
        <f t="shared" si="174"/>
        <v>UHID-00821</v>
      </c>
      <c r="B822" s="18">
        <v>64</v>
      </c>
      <c r="C822" s="10" t="s">
        <v>18</v>
      </c>
      <c r="D822" s="13" t="s">
        <v>26</v>
      </c>
      <c r="E822" s="13" t="s">
        <v>5</v>
      </c>
      <c r="F822" s="15">
        <v>46193.677777627301</v>
      </c>
      <c r="G822" s="4">
        <v>46193</v>
      </c>
      <c r="H822" s="1">
        <v>46198.564627233798</v>
      </c>
      <c r="I822" s="22">
        <v>46198</v>
      </c>
      <c r="J822" s="24">
        <f t="shared" si="168"/>
        <v>46198.301904329892</v>
      </c>
      <c r="K822" s="24">
        <f t="shared" si="169"/>
        <v>0.56462723379809177</v>
      </c>
      <c r="L822" s="29">
        <f t="shared" si="175"/>
        <v>46197</v>
      </c>
      <c r="M822" s="27" t="str">
        <f t="shared" si="170"/>
        <v>Health Deterioration/TPA Approval Delay</v>
      </c>
      <c r="N822" s="31">
        <f t="shared" si="171"/>
        <v>5</v>
      </c>
      <c r="O822" s="27"/>
      <c r="Q822" s="8">
        <v>0.83689764067714589</v>
      </c>
      <c r="R822" s="8" t="str">
        <f t="shared" si="172"/>
        <v>Critical Delay</v>
      </c>
      <c r="S822" s="33">
        <v>3.3053496937700197</v>
      </c>
      <c r="T822" t="s">
        <v>31</v>
      </c>
      <c r="U822" s="3">
        <v>3</v>
      </c>
      <c r="V822" s="3" t="str">
        <f t="shared" si="176"/>
        <v>Normal</v>
      </c>
      <c r="W822" s="3" t="s">
        <v>50</v>
      </c>
      <c r="X822" s="32">
        <f t="shared" si="173"/>
        <v>0.2627229039062513</v>
      </c>
      <c r="Z822" s="38">
        <f t="shared" si="177"/>
        <v>0.1377229039062513</v>
      </c>
      <c r="AC822" s="36">
        <v>0.125</v>
      </c>
      <c r="AL822" t="str">
        <f t="shared" si="178"/>
        <v>Health Deterioration/TPA Approval Delay</v>
      </c>
      <c r="AM822" t="str">
        <f t="shared" si="179"/>
        <v>No</v>
      </c>
      <c r="AN822" t="str">
        <f t="shared" si="180"/>
        <v>Emergency</v>
      </c>
      <c r="AO822" t="str">
        <f t="shared" si="181"/>
        <v>HDU</v>
      </c>
    </row>
    <row r="823" spans="1:41" x14ac:dyDescent="0.3">
      <c r="A823" s="21" t="str">
        <f t="shared" si="174"/>
        <v>UHID-00822</v>
      </c>
      <c r="B823" s="18">
        <v>55</v>
      </c>
      <c r="C823" s="10" t="s">
        <v>18</v>
      </c>
      <c r="D823" s="13" t="s">
        <v>26</v>
      </c>
      <c r="E823" s="13" t="s">
        <v>5</v>
      </c>
      <c r="F823" s="15">
        <v>46194.768007488397</v>
      </c>
      <c r="G823" s="4">
        <v>46194</v>
      </c>
      <c r="H823" s="1">
        <v>46198.685457118103</v>
      </c>
      <c r="I823" s="22">
        <v>46198</v>
      </c>
      <c r="J823" s="24">
        <f t="shared" si="168"/>
        <v>46198.373538825967</v>
      </c>
      <c r="K823" s="24">
        <f t="shared" si="169"/>
        <v>0.68545711810293142</v>
      </c>
      <c r="L823" s="29">
        <f t="shared" si="175"/>
        <v>46197</v>
      </c>
      <c r="M823" s="27" t="str">
        <f t="shared" si="170"/>
        <v>Health Deterioration/TPA Approval Delay</v>
      </c>
      <c r="N823" s="31">
        <f t="shared" si="171"/>
        <v>4</v>
      </c>
      <c r="O823" s="27"/>
      <c r="Q823" s="8">
        <v>0.74068311681220822</v>
      </c>
      <c r="R823" s="8" t="str">
        <f t="shared" si="172"/>
        <v>Critical Delay</v>
      </c>
      <c r="S823" s="33">
        <v>3.4860390112302895</v>
      </c>
      <c r="T823" t="s">
        <v>31</v>
      </c>
      <c r="U823" s="3">
        <v>4</v>
      </c>
      <c r="V823" s="3" t="str">
        <f t="shared" si="176"/>
        <v>Normal</v>
      </c>
      <c r="W823" s="3" t="s">
        <v>50</v>
      </c>
      <c r="X823" s="32">
        <f t="shared" si="173"/>
        <v>0.31191829213639721</v>
      </c>
      <c r="Z823" s="38">
        <f t="shared" si="177"/>
        <v>0.18691829213639721</v>
      </c>
      <c r="AC823" s="36">
        <v>0.125</v>
      </c>
      <c r="AL823" t="str">
        <f t="shared" si="178"/>
        <v>Health Deterioration/TPA Approval Delay</v>
      </c>
      <c r="AM823" t="str">
        <f t="shared" si="179"/>
        <v>No</v>
      </c>
      <c r="AN823" t="str">
        <f t="shared" si="180"/>
        <v>Emergency</v>
      </c>
      <c r="AO823" t="str">
        <f t="shared" si="181"/>
        <v>HDU</v>
      </c>
    </row>
    <row r="824" spans="1:41" x14ac:dyDescent="0.3">
      <c r="A824" s="21" t="str">
        <f t="shared" si="174"/>
        <v>UHID-00823</v>
      </c>
      <c r="B824" s="18">
        <v>42</v>
      </c>
      <c r="C824" s="10" t="s">
        <v>18</v>
      </c>
      <c r="D824" s="13" t="s">
        <v>28</v>
      </c>
      <c r="E824" s="13" t="s">
        <v>5</v>
      </c>
      <c r="F824" s="15">
        <v>46197.743250937499</v>
      </c>
      <c r="G824" s="4">
        <v>46197</v>
      </c>
      <c r="H824" s="1">
        <v>46198.716483946802</v>
      </c>
      <c r="I824" s="22">
        <v>46198</v>
      </c>
      <c r="J824" s="24">
        <f t="shared" si="168"/>
        <v>46198.502619360814</v>
      </c>
      <c r="K824" s="24">
        <f t="shared" si="169"/>
        <v>0.71648394680232741</v>
      </c>
      <c r="L824" s="29">
        <f t="shared" si="175"/>
        <v>46197</v>
      </c>
      <c r="M824" s="27" t="str">
        <f t="shared" si="170"/>
        <v>Health Deterioration</v>
      </c>
      <c r="N824" s="31">
        <f t="shared" si="171"/>
        <v>1</v>
      </c>
      <c r="O824" s="27"/>
      <c r="Q824" s="8">
        <v>0.9241268416083227</v>
      </c>
      <c r="R824" s="8" t="str">
        <f t="shared" si="172"/>
        <v>Critical Delay</v>
      </c>
      <c r="S824" s="33">
        <v>2.132750063771232</v>
      </c>
      <c r="T824" t="s">
        <v>31</v>
      </c>
      <c r="U824" s="3">
        <v>3</v>
      </c>
      <c r="V824" s="3" t="str">
        <f t="shared" si="176"/>
        <v>Normal</v>
      </c>
      <c r="W824" s="3" t="s">
        <v>50</v>
      </c>
      <c r="X824" s="32">
        <f t="shared" si="173"/>
        <v>0.21386458598863101</v>
      </c>
      <c r="Z824" s="38">
        <f t="shared" si="177"/>
        <v>8.8864585988631006E-2</v>
      </c>
      <c r="AC824" s="36">
        <v>0.125</v>
      </c>
      <c r="AL824" t="str">
        <f t="shared" si="178"/>
        <v>Health Deterioration</v>
      </c>
      <c r="AM824" t="str">
        <f t="shared" si="179"/>
        <v>No</v>
      </c>
      <c r="AN824" t="str">
        <f t="shared" si="180"/>
        <v>Emergency</v>
      </c>
      <c r="AO824" t="str">
        <f t="shared" si="181"/>
        <v>General Ward</v>
      </c>
    </row>
    <row r="825" spans="1:41" x14ac:dyDescent="0.3">
      <c r="A825" s="21" t="str">
        <f t="shared" si="174"/>
        <v>UHID-00824</v>
      </c>
      <c r="B825" s="18">
        <v>47</v>
      </c>
      <c r="C825" s="10" t="s">
        <v>17</v>
      </c>
      <c r="D825" s="13" t="s">
        <v>27</v>
      </c>
      <c r="E825" s="13" t="s">
        <v>5</v>
      </c>
      <c r="F825" s="15">
        <v>46197.804826238404</v>
      </c>
      <c r="G825" s="4">
        <v>46197</v>
      </c>
      <c r="H825" s="1">
        <v>46198.734756909696</v>
      </c>
      <c r="I825" s="22">
        <v>46198</v>
      </c>
      <c r="J825" s="24">
        <f t="shared" si="168"/>
        <v>46198.662719815344</v>
      </c>
      <c r="K825" s="24">
        <f t="shared" si="169"/>
        <v>0.73475690969644347</v>
      </c>
      <c r="L825" s="29">
        <f t="shared" si="175"/>
        <v>46197</v>
      </c>
      <c r="M825" s="27" t="str">
        <f t="shared" si="170"/>
        <v>Normal</v>
      </c>
      <c r="N825" s="31">
        <f t="shared" si="171"/>
        <v>1</v>
      </c>
      <c r="O825" s="27"/>
      <c r="Q825" s="8">
        <v>0.47005743821157786</v>
      </c>
      <c r="R825" s="8" t="str">
        <f t="shared" si="172"/>
        <v>On Time</v>
      </c>
      <c r="S825" s="33">
        <v>1.72889026438652</v>
      </c>
      <c r="T825" t="s">
        <v>31</v>
      </c>
      <c r="U825" s="3">
        <v>0</v>
      </c>
      <c r="V825" s="3" t="str">
        <f t="shared" si="176"/>
        <v>Normal</v>
      </c>
      <c r="W825" s="3" t="s">
        <v>51</v>
      </c>
      <c r="X825" s="32">
        <f t="shared" si="173"/>
        <v>7.2037094352708664E-2</v>
      </c>
      <c r="Z825" s="38">
        <f t="shared" si="177"/>
        <v>0</v>
      </c>
      <c r="AC825" s="36">
        <v>0.125</v>
      </c>
      <c r="AL825" t="str">
        <f t="shared" si="178"/>
        <v>Normal</v>
      </c>
      <c r="AM825" t="str">
        <f t="shared" si="179"/>
        <v>No</v>
      </c>
      <c r="AN825" t="str">
        <f t="shared" si="180"/>
        <v>Elective</v>
      </c>
      <c r="AO825" t="str">
        <f t="shared" si="181"/>
        <v>General Ward</v>
      </c>
    </row>
    <row r="826" spans="1:41" x14ac:dyDescent="0.3">
      <c r="A826" s="21" t="str">
        <f t="shared" si="174"/>
        <v>UHID-00825</v>
      </c>
      <c r="B826" s="19">
        <v>57</v>
      </c>
      <c r="C826" s="11" t="s">
        <v>18</v>
      </c>
      <c r="D826" s="13" t="s">
        <v>27</v>
      </c>
      <c r="E826" s="13" t="s">
        <v>5</v>
      </c>
      <c r="F826" s="16">
        <v>46195.570669108798</v>
      </c>
      <c r="G826" s="5">
        <v>46195</v>
      </c>
      <c r="H826" s="2">
        <v>46199.542440092599</v>
      </c>
      <c r="I826" s="23">
        <v>46199</v>
      </c>
      <c r="J826" s="24">
        <f t="shared" si="168"/>
        <v>46199.343000293804</v>
      </c>
      <c r="K826" s="24">
        <f t="shared" si="169"/>
        <v>0.54244009259855375</v>
      </c>
      <c r="L826" s="29">
        <f t="shared" si="175"/>
        <v>46198</v>
      </c>
      <c r="M826" s="27" t="str">
        <f t="shared" si="170"/>
        <v>Medication Change</v>
      </c>
      <c r="N826" s="31">
        <f t="shared" si="171"/>
        <v>4</v>
      </c>
      <c r="O826" s="27"/>
      <c r="Q826" s="8">
        <v>0.18063516130183255</v>
      </c>
      <c r="R826" s="8" t="str">
        <f t="shared" si="172"/>
        <v>Major Delay</v>
      </c>
      <c r="S826" s="33">
        <v>1.78655517106168</v>
      </c>
      <c r="T826" t="s">
        <v>30</v>
      </c>
      <c r="U826" s="3">
        <v>3</v>
      </c>
      <c r="V826" s="3" t="str">
        <f t="shared" si="176"/>
        <v/>
      </c>
      <c r="W826" s="3" t="s">
        <v>50</v>
      </c>
      <c r="X826" s="32">
        <f t="shared" si="173"/>
        <v>0.19943979879462859</v>
      </c>
      <c r="Z826" s="38">
        <f t="shared" si="177"/>
        <v>7.4439798794628587E-2</v>
      </c>
      <c r="AC826" s="36">
        <v>0.125</v>
      </c>
      <c r="AL826" t="str">
        <f t="shared" si="178"/>
        <v>Medication Change</v>
      </c>
      <c r="AM826" t="str">
        <f t="shared" si="179"/>
        <v>No</v>
      </c>
      <c r="AN826" t="str">
        <f t="shared" si="180"/>
        <v>Elective</v>
      </c>
      <c r="AO826" t="str">
        <f t="shared" si="181"/>
        <v>HDU</v>
      </c>
    </row>
    <row r="827" spans="1:41" x14ac:dyDescent="0.3">
      <c r="A827" s="21" t="str">
        <f t="shared" si="174"/>
        <v>UHID-00826</v>
      </c>
      <c r="B827" s="19">
        <v>60</v>
      </c>
      <c r="C827" s="11" t="s">
        <v>18</v>
      </c>
      <c r="D827" s="13" t="s">
        <v>26</v>
      </c>
      <c r="E827" s="13" t="s">
        <v>5</v>
      </c>
      <c r="F827" s="16">
        <v>46188.430008981501</v>
      </c>
      <c r="G827" s="5">
        <v>46188</v>
      </c>
      <c r="H827" s="2">
        <v>46198.603522928199</v>
      </c>
      <c r="I827" s="23">
        <v>46198</v>
      </c>
      <c r="J827" s="24">
        <f t="shared" si="168"/>
        <v>46198.47156174569</v>
      </c>
      <c r="K827" s="24">
        <f t="shared" si="169"/>
        <v>0.60352292819879949</v>
      </c>
      <c r="L827" s="29">
        <f t="shared" si="175"/>
        <v>46197</v>
      </c>
      <c r="M827" s="27" t="str">
        <f t="shared" si="170"/>
        <v>TPA Approval Delay</v>
      </c>
      <c r="N827" s="31">
        <f t="shared" si="171"/>
        <v>10</v>
      </c>
      <c r="O827" s="27"/>
      <c r="Q827" s="8">
        <v>0.50136965329233274</v>
      </c>
      <c r="R827" s="8" t="str">
        <f t="shared" si="172"/>
        <v>Major Delay</v>
      </c>
      <c r="S827" s="33">
        <v>3.1670683802374908</v>
      </c>
      <c r="T827" t="s">
        <v>31</v>
      </c>
      <c r="U827" s="3">
        <v>0</v>
      </c>
      <c r="V827" s="3" t="str">
        <f t="shared" si="176"/>
        <v>Normal</v>
      </c>
      <c r="W827" s="3" t="s">
        <v>51</v>
      </c>
      <c r="X827" s="32">
        <f t="shared" si="173"/>
        <v>0.13196118250925792</v>
      </c>
      <c r="Z827" s="38">
        <f t="shared" si="177"/>
        <v>6.9611825092579238E-3</v>
      </c>
      <c r="AC827" s="36">
        <v>0.125</v>
      </c>
      <c r="AL827" t="str">
        <f t="shared" si="178"/>
        <v>TPA Approval Delay</v>
      </c>
      <c r="AM827" t="str">
        <f t="shared" si="179"/>
        <v>No</v>
      </c>
      <c r="AN827" t="str">
        <f t="shared" si="180"/>
        <v>Emergency</v>
      </c>
      <c r="AO827" t="str">
        <f t="shared" si="181"/>
        <v>ICU</v>
      </c>
    </row>
    <row r="828" spans="1:41" x14ac:dyDescent="0.3">
      <c r="A828" s="21" t="str">
        <f t="shared" si="174"/>
        <v>UHID-00827</v>
      </c>
      <c r="B828" s="19">
        <v>62</v>
      </c>
      <c r="C828" s="11" t="s">
        <v>18</v>
      </c>
      <c r="D828" s="13" t="s">
        <v>26</v>
      </c>
      <c r="E828" s="13" t="s">
        <v>5</v>
      </c>
      <c r="F828" s="16">
        <v>46196.853309745398</v>
      </c>
      <c r="G828" s="5">
        <v>46196</v>
      </c>
      <c r="H828" s="2">
        <v>46199.652613483799</v>
      </c>
      <c r="I828" s="23">
        <v>46199</v>
      </c>
      <c r="J828" s="24">
        <f t="shared" si="168"/>
        <v>46199.40967268755</v>
      </c>
      <c r="K828" s="24">
        <f t="shared" si="169"/>
        <v>0.65261348379863193</v>
      </c>
      <c r="L828" s="29">
        <f t="shared" si="175"/>
        <v>46198</v>
      </c>
      <c r="M828" s="27" t="str">
        <f t="shared" si="170"/>
        <v>Health Deterioration/TPA Approval Delay</v>
      </c>
      <c r="N828" s="31">
        <f t="shared" si="171"/>
        <v>3</v>
      </c>
      <c r="O828" s="27"/>
      <c r="Q828" s="8">
        <v>0.74263165791145136</v>
      </c>
      <c r="R828" s="8" t="str">
        <f t="shared" si="172"/>
        <v>Critical Delay</v>
      </c>
      <c r="S828" s="33">
        <v>3.8305791098745199</v>
      </c>
      <c r="T828" t="s">
        <v>31</v>
      </c>
      <c r="U828" s="3">
        <v>2</v>
      </c>
      <c r="V828" s="3" t="str">
        <f t="shared" si="176"/>
        <v>Normal</v>
      </c>
      <c r="W828" s="3" t="s">
        <v>50</v>
      </c>
      <c r="X828" s="32">
        <f t="shared" si="173"/>
        <v>0.24294079624814913</v>
      </c>
      <c r="Z828" s="38">
        <f t="shared" si="177"/>
        <v>0.11794079624814913</v>
      </c>
      <c r="AC828" s="36">
        <v>0.125</v>
      </c>
      <c r="AL828" t="str">
        <f t="shared" si="178"/>
        <v>Health Deterioration/TPA Approval Delay</v>
      </c>
      <c r="AM828" t="str">
        <f t="shared" si="179"/>
        <v>No</v>
      </c>
      <c r="AN828" t="str">
        <f t="shared" si="180"/>
        <v>Emergency</v>
      </c>
      <c r="AO828" t="str">
        <f t="shared" si="181"/>
        <v>General Ward</v>
      </c>
    </row>
    <row r="829" spans="1:41" x14ac:dyDescent="0.3">
      <c r="A829" s="21" t="str">
        <f t="shared" si="174"/>
        <v>UHID-00828</v>
      </c>
      <c r="B829" s="19">
        <v>67</v>
      </c>
      <c r="C829" s="11" t="s">
        <v>18</v>
      </c>
      <c r="D829" s="13" t="s">
        <v>28</v>
      </c>
      <c r="E829" s="13" t="s">
        <v>5</v>
      </c>
      <c r="F829" s="16">
        <v>46197.8237325347</v>
      </c>
      <c r="G829" s="5">
        <v>46197</v>
      </c>
      <c r="H829" s="2">
        <v>46199.656443009299</v>
      </c>
      <c r="I829" s="23">
        <v>46199</v>
      </c>
      <c r="J829" s="24">
        <f t="shared" si="168"/>
        <v>46199.544655725396</v>
      </c>
      <c r="K829" s="24">
        <f t="shared" si="169"/>
        <v>0.65644300929852761</v>
      </c>
      <c r="L829" s="29">
        <f t="shared" si="175"/>
        <v>46198</v>
      </c>
      <c r="M829" s="27" t="str">
        <f t="shared" si="170"/>
        <v>Doctor Round Delay/Report Delay</v>
      </c>
      <c r="N829" s="31">
        <f t="shared" si="171"/>
        <v>2</v>
      </c>
      <c r="O829" s="27"/>
      <c r="Q829" s="8">
        <v>0.94682744603669311</v>
      </c>
      <c r="R829" s="8" t="str">
        <f t="shared" si="172"/>
        <v>Minor Delay</v>
      </c>
      <c r="S829" s="33">
        <v>2.6828948136503818</v>
      </c>
      <c r="T829" t="s">
        <v>31</v>
      </c>
      <c r="U829" s="3">
        <v>0</v>
      </c>
      <c r="V829" s="3" t="str">
        <f t="shared" si="176"/>
        <v>Normal</v>
      </c>
      <c r="W829" s="3" t="s">
        <v>51</v>
      </c>
      <c r="X829" s="32">
        <f t="shared" si="173"/>
        <v>0.11178728390223114</v>
      </c>
      <c r="Z829" s="38">
        <f t="shared" si="177"/>
        <v>0</v>
      </c>
      <c r="AC829" s="36">
        <v>0.125</v>
      </c>
      <c r="AL829" t="str">
        <f t="shared" si="178"/>
        <v>Doctor Round Delay/Report Delay</v>
      </c>
      <c r="AM829" t="str">
        <f t="shared" si="179"/>
        <v>No</v>
      </c>
      <c r="AN829" t="str">
        <f t="shared" si="180"/>
        <v>Elective</v>
      </c>
      <c r="AO829" t="str">
        <f t="shared" si="181"/>
        <v>General Ward</v>
      </c>
    </row>
    <row r="830" spans="1:41" x14ac:dyDescent="0.3">
      <c r="A830" s="21" t="str">
        <f t="shared" si="174"/>
        <v>UHID-00829</v>
      </c>
      <c r="B830" s="19">
        <v>56</v>
      </c>
      <c r="C830" s="11" t="s">
        <v>18</v>
      </c>
      <c r="D830" s="13" t="s">
        <v>26</v>
      </c>
      <c r="E830" s="13" t="s">
        <v>5</v>
      </c>
      <c r="F830" s="16">
        <v>46191.0481585417</v>
      </c>
      <c r="G830" s="5">
        <v>46191</v>
      </c>
      <c r="H830" s="2">
        <v>46199.5980773958</v>
      </c>
      <c r="I830" s="23">
        <v>46199</v>
      </c>
      <c r="J830" s="24">
        <f t="shared" si="168"/>
        <v>46199.440139275612</v>
      </c>
      <c r="K830" s="24">
        <f t="shared" si="169"/>
        <v>0.59807739579991903</v>
      </c>
      <c r="L830" s="29">
        <f t="shared" si="175"/>
        <v>46198</v>
      </c>
      <c r="M830" s="27" t="str">
        <f t="shared" si="170"/>
        <v>TPA Approval Delay</v>
      </c>
      <c r="N830" s="31">
        <f t="shared" si="171"/>
        <v>8</v>
      </c>
      <c r="O830" s="27"/>
      <c r="Q830" s="8">
        <v>0.58311599321504071</v>
      </c>
      <c r="R830" s="8" t="str">
        <f t="shared" si="172"/>
        <v>Major Delay</v>
      </c>
      <c r="S830" s="33">
        <v>3.7905148845118473</v>
      </c>
      <c r="T830" t="s">
        <v>31</v>
      </c>
      <c r="U830" s="3">
        <v>0</v>
      </c>
      <c r="V830" s="3" t="str">
        <f t="shared" si="176"/>
        <v>Normal</v>
      </c>
      <c r="W830" s="3" t="s">
        <v>51</v>
      </c>
      <c r="X830" s="32">
        <f t="shared" si="173"/>
        <v>0.15793812018819153</v>
      </c>
      <c r="Z830" s="38">
        <f t="shared" si="177"/>
        <v>3.2938120188191533E-2</v>
      </c>
      <c r="AC830" s="36">
        <v>0.125</v>
      </c>
      <c r="AL830" t="str">
        <f t="shared" si="178"/>
        <v>TPA Approval Delay</v>
      </c>
      <c r="AM830" t="str">
        <f t="shared" si="179"/>
        <v>No</v>
      </c>
      <c r="AN830" t="str">
        <f t="shared" si="180"/>
        <v>Emergency</v>
      </c>
      <c r="AO830" t="str">
        <f t="shared" si="181"/>
        <v>ICU</v>
      </c>
    </row>
    <row r="831" spans="1:41" x14ac:dyDescent="0.3">
      <c r="A831" s="21" t="str">
        <f t="shared" si="174"/>
        <v>UHID-00830</v>
      </c>
      <c r="B831" s="19">
        <v>45</v>
      </c>
      <c r="C831" s="11" t="s">
        <v>18</v>
      </c>
      <c r="D831" s="13" t="s">
        <v>26</v>
      </c>
      <c r="E831" s="13" t="s">
        <v>5</v>
      </c>
      <c r="F831" s="16">
        <v>46195.482219548598</v>
      </c>
      <c r="G831" s="5">
        <v>46195</v>
      </c>
      <c r="H831" s="2">
        <v>46199.770891875</v>
      </c>
      <c r="I831" s="23">
        <v>46199</v>
      </c>
      <c r="J831" s="24">
        <f t="shared" si="168"/>
        <v>46199.619832719975</v>
      </c>
      <c r="K831" s="24">
        <f t="shared" si="169"/>
        <v>0.7708918749995064</v>
      </c>
      <c r="L831" s="29">
        <f t="shared" si="175"/>
        <v>46198</v>
      </c>
      <c r="M831" s="27" t="str">
        <f t="shared" si="170"/>
        <v>TPA Approval Delay</v>
      </c>
      <c r="N831" s="31">
        <f t="shared" si="171"/>
        <v>4</v>
      </c>
      <c r="O831" s="27"/>
      <c r="Q831" s="8">
        <v>0.5144765336111059</v>
      </c>
      <c r="R831" s="8" t="str">
        <f t="shared" si="172"/>
        <v>Major Delay</v>
      </c>
      <c r="S831" s="33">
        <v>3.625419720667578</v>
      </c>
      <c r="T831" t="s">
        <v>31</v>
      </c>
      <c r="U831" s="3">
        <v>0</v>
      </c>
      <c r="V831" s="3" t="str">
        <f t="shared" si="176"/>
        <v>Normal</v>
      </c>
      <c r="W831" s="3" t="s">
        <v>51</v>
      </c>
      <c r="X831" s="32">
        <f t="shared" si="173"/>
        <v>0.15105915502499556</v>
      </c>
      <c r="Z831" s="38">
        <f t="shared" si="177"/>
        <v>2.6059155024995562E-2</v>
      </c>
      <c r="AC831" s="36">
        <v>0.125</v>
      </c>
      <c r="AL831" t="str">
        <f t="shared" si="178"/>
        <v>TPA Approval Delay</v>
      </c>
      <c r="AM831" t="str">
        <f t="shared" si="179"/>
        <v>No</v>
      </c>
      <c r="AN831" t="str">
        <f t="shared" si="180"/>
        <v>Elective</v>
      </c>
      <c r="AO831" t="str">
        <f t="shared" si="181"/>
        <v>HDU</v>
      </c>
    </row>
    <row r="832" spans="1:41" x14ac:dyDescent="0.3">
      <c r="A832" s="21" t="str">
        <f t="shared" si="174"/>
        <v>UHID-00831</v>
      </c>
      <c r="B832" s="19">
        <v>28</v>
      </c>
      <c r="C832" s="11" t="s">
        <v>17</v>
      </c>
      <c r="D832" s="13" t="s">
        <v>26</v>
      </c>
      <c r="E832" s="13" t="s">
        <v>5</v>
      </c>
      <c r="F832" s="16">
        <v>46199.400942662003</v>
      </c>
      <c r="G832" s="5">
        <v>46199</v>
      </c>
      <c r="H832" s="2">
        <v>46199.788332928198</v>
      </c>
      <c r="I832" s="23">
        <v>46199</v>
      </c>
      <c r="J832" s="24">
        <f t="shared" si="168"/>
        <v>46199.644602307177</v>
      </c>
      <c r="K832" s="24">
        <f t="shared" si="169"/>
        <v>0.78833292819763301</v>
      </c>
      <c r="L832" s="29">
        <f t="shared" si="175"/>
        <v>46198</v>
      </c>
      <c r="M832" s="27" t="str">
        <f t="shared" si="170"/>
        <v>TPA Approval Delay</v>
      </c>
      <c r="N832" s="31">
        <f t="shared" si="171"/>
        <v>0</v>
      </c>
      <c r="O832" s="27"/>
      <c r="Q832" s="8">
        <v>0.5641226845370646</v>
      </c>
      <c r="R832" s="8" t="str">
        <f t="shared" si="172"/>
        <v>Major Delay</v>
      </c>
      <c r="S832" s="33">
        <v>3.4495349044474137</v>
      </c>
      <c r="T832" t="s">
        <v>31</v>
      </c>
      <c r="U832" s="3">
        <v>0</v>
      </c>
      <c r="V832" s="3" t="str">
        <f t="shared" si="176"/>
        <v>Normal</v>
      </c>
      <c r="W832" s="3" t="s">
        <v>51</v>
      </c>
      <c r="X832" s="32">
        <f t="shared" si="173"/>
        <v>0.14373062102094991</v>
      </c>
      <c r="Z832" s="38">
        <f t="shared" si="177"/>
        <v>1.8730621020949911E-2</v>
      </c>
      <c r="AC832" s="36">
        <v>0.125</v>
      </c>
      <c r="AL832" t="str">
        <f t="shared" si="178"/>
        <v>TPA Approval Delay</v>
      </c>
      <c r="AM832" t="str">
        <f t="shared" si="179"/>
        <v>No</v>
      </c>
      <c r="AN832" t="str">
        <f t="shared" si="180"/>
        <v>Elective</v>
      </c>
      <c r="AO832" t="str">
        <f t="shared" si="181"/>
        <v>General Ward</v>
      </c>
    </row>
    <row r="833" spans="1:41" x14ac:dyDescent="0.3">
      <c r="A833" s="21" t="str">
        <f t="shared" si="174"/>
        <v>UHID-00832</v>
      </c>
      <c r="B833" s="19">
        <v>93</v>
      </c>
      <c r="C833" s="11" t="s">
        <v>17</v>
      </c>
      <c r="D833" s="13" t="s">
        <v>26</v>
      </c>
      <c r="E833" s="13" t="s">
        <v>5</v>
      </c>
      <c r="F833" s="16">
        <v>46198.741504189798</v>
      </c>
      <c r="G833" s="5">
        <v>46198</v>
      </c>
      <c r="H833" s="2">
        <v>46199.784752974498</v>
      </c>
      <c r="I833" s="23">
        <v>46199</v>
      </c>
      <c r="J833" s="24">
        <f t="shared" si="168"/>
        <v>46199.629157414733</v>
      </c>
      <c r="K833" s="24">
        <f t="shared" si="169"/>
        <v>0.78475297449767822</v>
      </c>
      <c r="L833" s="29">
        <f t="shared" si="175"/>
        <v>46198</v>
      </c>
      <c r="M833" s="27" t="str">
        <f t="shared" si="170"/>
        <v>TPA Approval Delay</v>
      </c>
      <c r="N833" s="31">
        <f t="shared" si="171"/>
        <v>1</v>
      </c>
      <c r="O833" s="27"/>
      <c r="Q833" s="8">
        <v>0.7416390563857399</v>
      </c>
      <c r="R833" s="8" t="str">
        <f t="shared" si="172"/>
        <v>Major Delay</v>
      </c>
      <c r="S833" s="33">
        <v>3.7342934343368941</v>
      </c>
      <c r="T833" t="s">
        <v>31</v>
      </c>
      <c r="U833" s="3">
        <v>0</v>
      </c>
      <c r="V833" s="3" t="str">
        <f t="shared" si="176"/>
        <v>Normal</v>
      </c>
      <c r="W833" s="3" t="s">
        <v>51</v>
      </c>
      <c r="X833" s="32">
        <f t="shared" si="173"/>
        <v>0.1555955597650609</v>
      </c>
      <c r="Z833" s="38">
        <f t="shared" si="177"/>
        <v>3.0595559765060898E-2</v>
      </c>
      <c r="AC833" s="36">
        <v>0.125</v>
      </c>
      <c r="AL833" t="str">
        <f t="shared" si="178"/>
        <v>TPA Approval Delay</v>
      </c>
      <c r="AM833" t="str">
        <f t="shared" si="179"/>
        <v>No</v>
      </c>
      <c r="AN833" t="str">
        <f t="shared" si="180"/>
        <v>Elective</v>
      </c>
      <c r="AO833" t="str">
        <f t="shared" si="181"/>
        <v>General Ward</v>
      </c>
    </row>
    <row r="834" spans="1:41" x14ac:dyDescent="0.3">
      <c r="A834" s="21" t="str">
        <f t="shared" si="174"/>
        <v>UHID-00833</v>
      </c>
      <c r="B834" s="19">
        <v>53</v>
      </c>
      <c r="C834" s="11" t="s">
        <v>17</v>
      </c>
      <c r="D834" s="13" t="s">
        <v>26</v>
      </c>
      <c r="E834" s="13" t="s">
        <v>5</v>
      </c>
      <c r="F834" s="16">
        <v>46194.108853969898</v>
      </c>
      <c r="G834" s="5">
        <v>46194</v>
      </c>
      <c r="H834" s="2">
        <v>46199.818096875002</v>
      </c>
      <c r="I834" s="23">
        <v>46199</v>
      </c>
      <c r="J834" s="24">
        <f t="shared" ref="J834:J897" si="182">I834+K834-((S834+U834)/24)</f>
        <v>46199.500960292251</v>
      </c>
      <c r="K834" s="24">
        <f t="shared" ref="K834:K897" si="183">MOD(H834,1)</f>
        <v>0.81809687500208383</v>
      </c>
      <c r="L834" s="29">
        <f t="shared" si="175"/>
        <v>46198</v>
      </c>
      <c r="M834" s="27" t="str">
        <f t="shared" ref="M834:M897" si="184">IF(X834="","",IF(X834&lt;=TIME(2,0,0),"Normal",IF(X834&lt;=TIME(3,0,0),IF(D834="CASH","Bill Settlement Delay","Doctor Round Delay/Report Delay"),IF(X834&lt;=TIME(5,0,0),IF(D834="TPA","TPA Approval Delay","Medication Change"),IF(D834="TPA","Health Deterioration/TPA Approval Delay","Health Deterioration")))))</f>
        <v>Health Deterioration/TPA Approval Delay</v>
      </c>
      <c r="N834" s="31">
        <f t="shared" ref="N834:N897" si="185">I834-G834</f>
        <v>5</v>
      </c>
      <c r="O834" s="27"/>
      <c r="Q834" s="8">
        <v>0.73532362894306835</v>
      </c>
      <c r="R834" s="8" t="str">
        <f t="shared" ref="R834:R897" si="186">IF(X834="","",IF(X834&lt;=TIME(2,0,0),"On Time",IF(X834&lt;=TIME(3,0,0),"Minor Delay",IF(X834&lt;=TIME(5,0,0),"Major Delay","Critical Delay"))))</f>
        <v>Critical Delay</v>
      </c>
      <c r="S834" s="33">
        <v>3.6112779860899784</v>
      </c>
      <c r="T834" t="s">
        <v>31</v>
      </c>
      <c r="U834" s="3">
        <v>4</v>
      </c>
      <c r="V834" s="3" t="str">
        <f t="shared" si="176"/>
        <v>Normal</v>
      </c>
      <c r="W834" s="3" t="s">
        <v>50</v>
      </c>
      <c r="X834" s="32">
        <f t="shared" ref="X834:X897" si="187">MOD(K834-J834,1)</f>
        <v>0.31713658275111811</v>
      </c>
      <c r="Z834" s="38">
        <f t="shared" si="177"/>
        <v>0.19213658275111811</v>
      </c>
      <c r="AC834" s="36">
        <v>0.125</v>
      </c>
      <c r="AL834" t="str">
        <f t="shared" si="178"/>
        <v>Health Deterioration/TPA Approval Delay</v>
      </c>
      <c r="AM834" t="str">
        <f t="shared" si="179"/>
        <v>No</v>
      </c>
      <c r="AN834" t="str">
        <f t="shared" si="180"/>
        <v>Emergency</v>
      </c>
      <c r="AO834" t="str">
        <f t="shared" si="181"/>
        <v>HDU</v>
      </c>
    </row>
    <row r="835" spans="1:41" x14ac:dyDescent="0.3">
      <c r="A835" s="21" t="str">
        <f t="shared" ref="A835:A898" si="188">"UHID-"&amp;TEXT(ROW(A835)-1,"00000")</f>
        <v>UHID-00834</v>
      </c>
      <c r="B835" s="19">
        <v>64</v>
      </c>
      <c r="C835" s="11" t="s">
        <v>17</v>
      </c>
      <c r="D835" s="13" t="s">
        <v>27</v>
      </c>
      <c r="E835" s="13" t="s">
        <v>5</v>
      </c>
      <c r="F835" s="16">
        <v>46198.696466111098</v>
      </c>
      <c r="G835" s="5">
        <v>46198</v>
      </c>
      <c r="H835" s="2">
        <v>46200.698032141197</v>
      </c>
      <c r="I835" s="23">
        <v>46200</v>
      </c>
      <c r="J835" s="24">
        <f t="shared" si="182"/>
        <v>46200.461097818654</v>
      </c>
      <c r="K835" s="24">
        <f t="shared" si="183"/>
        <v>0.69803214119747281</v>
      </c>
      <c r="L835" s="29">
        <f t="shared" ref="L835:L898" si="189">IF(J835&gt;MOD(H835,1),INT(H835)-1,INT(H835))</f>
        <v>46199</v>
      </c>
      <c r="M835" s="27" t="str">
        <f t="shared" si="184"/>
        <v>Health Deterioration</v>
      </c>
      <c r="N835" s="31">
        <f t="shared" si="185"/>
        <v>2</v>
      </c>
      <c r="O835" s="27"/>
      <c r="Q835" s="8">
        <v>0.23682341614010993</v>
      </c>
      <c r="R835" s="8" t="str">
        <f t="shared" si="186"/>
        <v>Critical Delay</v>
      </c>
      <c r="S835" s="33">
        <v>1.6864237409823684</v>
      </c>
      <c r="T835" t="s">
        <v>30</v>
      </c>
      <c r="U835" s="3">
        <v>4</v>
      </c>
      <c r="V835" s="3" t="str">
        <f t="shared" ref="V835:V898" si="190">IF(T835="NO","Normal","")</f>
        <v/>
      </c>
      <c r="W835" s="3" t="s">
        <v>50</v>
      </c>
      <c r="X835" s="32">
        <f t="shared" si="187"/>
        <v>0.23693432254367508</v>
      </c>
      <c r="Z835" s="38">
        <f t="shared" ref="Z835:Z898" si="191">IF(X835 &gt; TIME(3,0,0), X835 - TIME(3,0,0), 0)</f>
        <v>0.11193432254367508</v>
      </c>
      <c r="AC835" s="36">
        <v>0.125</v>
      </c>
      <c r="AL835" t="str">
        <f t="shared" ref="AL835:AL898" si="192">IF(X835="","",IF(X835&lt;=TIME(2,0,0),"Normal",IF(X835&lt;=TIME(3,0,0),IF(D835="CASH","Bill Settlement Delay","Doctor Round Delay/Report Delay"),IF(Z835&lt;=TIME(2,0,0),IF(D835="TPA","TPA Approval Delay","Medication Change"),IF(D835="TPA","Health Deterioration/TPA Approval Delay","Health Deterioration")))))</f>
        <v>Health Deterioration</v>
      </c>
      <c r="AM835" t="str">
        <f t="shared" ref="AM835:AM898" si="193">IF(OR(AND(B835&gt;65, R835="Critical Delay"), N835&gt;10), "Yes", "No")</f>
        <v>No</v>
      </c>
      <c r="AN835" t="str">
        <f t="shared" ref="AN835:AN898" si="194">IF(E835="Cardiology &amp; Cardiothoracic", IF(MOD(ROW(),10)&lt;3, "Emergency", "Elective"), IF(E835="Neurology &amp; Neurosurgery", IF(MOD(ROW(),10)&lt;4, "Emergency", "Elective"), IF(D835="COR", IF(MOD(ROW(),20)&lt;7, "Emergency", "Elective"), IF(OR(R835="Critical Delay", N835&gt;=7), "Emergency", "Elective"))))</f>
        <v>Emergency</v>
      </c>
      <c r="AO835" t="str">
        <f t="shared" ref="AO835:AO898" si="195">IF(OR(N835&gt;6, AND(E835="Cardiology &amp; Cardiothoracic", MOD(ROW(),10)&lt;4), AND(E835="Neurology &amp; Neurosurgery", MOD(ROW(),10)&lt;6)), "ICU", IF(OR(N835&gt;3, AND(E835="Cardiology &amp; Cardiothoracic", MOD(ROW(),10)&lt;6), E835="Neurology &amp; Neurosurgery"), "HDU", "General Ward"))</f>
        <v>General Ward</v>
      </c>
    </row>
    <row r="836" spans="1:41" x14ac:dyDescent="0.3">
      <c r="A836" s="21" t="str">
        <f t="shared" si="188"/>
        <v>UHID-00835</v>
      </c>
      <c r="B836" s="19">
        <v>85</v>
      </c>
      <c r="C836" s="11" t="s">
        <v>18</v>
      </c>
      <c r="D836" s="13" t="s">
        <v>27</v>
      </c>
      <c r="E836" s="13" t="s">
        <v>5</v>
      </c>
      <c r="F836" s="16">
        <v>46196.668187071802</v>
      </c>
      <c r="G836" s="5">
        <v>46196</v>
      </c>
      <c r="H836" s="2">
        <v>46200.708046088002</v>
      </c>
      <c r="I836" s="23">
        <v>46200</v>
      </c>
      <c r="J836" s="24">
        <f t="shared" si="182"/>
        <v>46200.665004787916</v>
      </c>
      <c r="K836" s="24">
        <f t="shared" si="183"/>
        <v>0.7080460880024475</v>
      </c>
      <c r="L836" s="29">
        <f t="shared" si="189"/>
        <v>46199</v>
      </c>
      <c r="M836" s="27" t="str">
        <f t="shared" si="184"/>
        <v>Normal</v>
      </c>
      <c r="N836" s="31">
        <f t="shared" si="185"/>
        <v>4</v>
      </c>
      <c r="O836" s="27"/>
      <c r="Q836" s="8">
        <v>0.32795647539141504</v>
      </c>
      <c r="R836" s="8" t="str">
        <f t="shared" si="186"/>
        <v>On Time</v>
      </c>
      <c r="S836" s="33">
        <v>1.0329912021618504</v>
      </c>
      <c r="T836" t="s">
        <v>30</v>
      </c>
      <c r="U836" s="3">
        <v>0</v>
      </c>
      <c r="V836" s="3" t="str">
        <f t="shared" si="190"/>
        <v/>
      </c>
      <c r="W836" s="3" t="s">
        <v>51</v>
      </c>
      <c r="X836" s="32">
        <f t="shared" si="187"/>
        <v>4.3041300086770207E-2</v>
      </c>
      <c r="Z836" s="38">
        <f t="shared" si="191"/>
        <v>0</v>
      </c>
      <c r="AC836" s="36">
        <v>0.125</v>
      </c>
      <c r="AL836" t="str">
        <f t="shared" si="192"/>
        <v>Normal</v>
      </c>
      <c r="AM836" t="str">
        <f t="shared" si="193"/>
        <v>No</v>
      </c>
      <c r="AN836" t="str">
        <f t="shared" si="194"/>
        <v>Elective</v>
      </c>
      <c r="AO836" t="str">
        <f t="shared" si="195"/>
        <v>HDU</v>
      </c>
    </row>
    <row r="837" spans="1:41" x14ac:dyDescent="0.3">
      <c r="A837" s="21" t="str">
        <f t="shared" si="188"/>
        <v>UHID-00836</v>
      </c>
      <c r="B837" s="19">
        <v>45</v>
      </c>
      <c r="C837" s="11" t="s">
        <v>18</v>
      </c>
      <c r="D837" s="13" t="s">
        <v>26</v>
      </c>
      <c r="E837" s="13" t="s">
        <v>5</v>
      </c>
      <c r="F837" s="16">
        <v>46197.430658263896</v>
      </c>
      <c r="G837" s="5">
        <v>46197</v>
      </c>
      <c r="H837" s="2">
        <v>46200.579106030098</v>
      </c>
      <c r="I837" s="23">
        <v>46200</v>
      </c>
      <c r="J837" s="24">
        <f t="shared" si="182"/>
        <v>46200.442111905868</v>
      </c>
      <c r="K837" s="24">
        <f t="shared" si="183"/>
        <v>0.57910603009804618</v>
      </c>
      <c r="L837" s="29">
        <f t="shared" si="189"/>
        <v>46199</v>
      </c>
      <c r="M837" s="27" t="str">
        <f t="shared" si="184"/>
        <v>TPA Approval Delay</v>
      </c>
      <c r="N837" s="31">
        <f t="shared" si="185"/>
        <v>3</v>
      </c>
      <c r="O837" s="27"/>
      <c r="Q837" s="8">
        <v>0.6487466703734972</v>
      </c>
      <c r="R837" s="8" t="str">
        <f t="shared" si="186"/>
        <v>Major Delay</v>
      </c>
      <c r="S837" s="33">
        <v>3.2878589815777501</v>
      </c>
      <c r="T837" t="s">
        <v>31</v>
      </c>
      <c r="U837" s="3">
        <v>0</v>
      </c>
      <c r="V837" s="3" t="str">
        <f t="shared" si="190"/>
        <v>Normal</v>
      </c>
      <c r="W837" s="3" t="s">
        <v>51</v>
      </c>
      <c r="X837" s="32">
        <f t="shared" si="187"/>
        <v>0.13699412423011381</v>
      </c>
      <c r="Z837" s="38">
        <f t="shared" si="191"/>
        <v>1.1994124230113812E-2</v>
      </c>
      <c r="AC837" s="36">
        <v>0.125</v>
      </c>
      <c r="AL837" t="str">
        <f t="shared" si="192"/>
        <v>TPA Approval Delay</v>
      </c>
      <c r="AM837" t="str">
        <f t="shared" si="193"/>
        <v>No</v>
      </c>
      <c r="AN837" t="str">
        <f t="shared" si="194"/>
        <v>Elective</v>
      </c>
      <c r="AO837" t="str">
        <f t="shared" si="195"/>
        <v>General Ward</v>
      </c>
    </row>
    <row r="838" spans="1:41" x14ac:dyDescent="0.3">
      <c r="A838" s="21" t="str">
        <f t="shared" si="188"/>
        <v>UHID-00837</v>
      </c>
      <c r="B838" s="19">
        <v>63</v>
      </c>
      <c r="C838" s="11" t="s">
        <v>18</v>
      </c>
      <c r="D838" s="13" t="s">
        <v>27</v>
      </c>
      <c r="E838" s="13" t="s">
        <v>5</v>
      </c>
      <c r="F838" s="16">
        <v>46194.9927104745</v>
      </c>
      <c r="G838" s="5">
        <v>46194</v>
      </c>
      <c r="H838" s="2">
        <v>46200.476424340297</v>
      </c>
      <c r="I838" s="23">
        <v>46200</v>
      </c>
      <c r="J838" s="24">
        <f t="shared" si="182"/>
        <v>46200.418363979123</v>
      </c>
      <c r="K838" s="24">
        <f t="shared" si="183"/>
        <v>0.47642434029694414</v>
      </c>
      <c r="L838" s="29">
        <f t="shared" si="189"/>
        <v>46199</v>
      </c>
      <c r="M838" s="27" t="str">
        <f t="shared" si="184"/>
        <v>Normal</v>
      </c>
      <c r="N838" s="31">
        <f t="shared" si="185"/>
        <v>6</v>
      </c>
      <c r="O838" s="27"/>
      <c r="Q838" s="8">
        <v>0.29878588299772546</v>
      </c>
      <c r="R838" s="8" t="str">
        <f t="shared" si="186"/>
        <v>On Time</v>
      </c>
      <c r="S838" s="33">
        <v>1.3934486682545084</v>
      </c>
      <c r="T838" t="s">
        <v>30</v>
      </c>
      <c r="U838" s="3">
        <v>0</v>
      </c>
      <c r="V838" s="3" t="str">
        <f t="shared" si="190"/>
        <v/>
      </c>
      <c r="W838" s="3" t="s">
        <v>51</v>
      </c>
      <c r="X838" s="32">
        <f t="shared" si="187"/>
        <v>5.8060361174284481E-2</v>
      </c>
      <c r="Z838" s="38">
        <f t="shared" si="191"/>
        <v>0</v>
      </c>
      <c r="AC838" s="36">
        <v>0.125</v>
      </c>
      <c r="AL838" t="str">
        <f t="shared" si="192"/>
        <v>Normal</v>
      </c>
      <c r="AM838" t="str">
        <f t="shared" si="193"/>
        <v>No</v>
      </c>
      <c r="AN838" t="str">
        <f t="shared" si="194"/>
        <v>Elective</v>
      </c>
      <c r="AO838" t="str">
        <f t="shared" si="195"/>
        <v>HDU</v>
      </c>
    </row>
    <row r="839" spans="1:41" x14ac:dyDescent="0.3">
      <c r="A839" s="21" t="str">
        <f t="shared" si="188"/>
        <v>UHID-00838</v>
      </c>
      <c r="B839" s="19">
        <v>30</v>
      </c>
      <c r="C839" s="11" t="s">
        <v>18</v>
      </c>
      <c r="D839" s="13" t="s">
        <v>26</v>
      </c>
      <c r="E839" s="13" t="s">
        <v>5</v>
      </c>
      <c r="F839" s="16">
        <v>46190.898860902802</v>
      </c>
      <c r="G839" s="5">
        <v>46190</v>
      </c>
      <c r="H839" s="2">
        <v>46200.639936006897</v>
      </c>
      <c r="I839" s="23">
        <v>46200</v>
      </c>
      <c r="J839" s="24">
        <f t="shared" si="182"/>
        <v>46200.480772097362</v>
      </c>
      <c r="K839" s="24">
        <f t="shared" si="183"/>
        <v>0.63993600689718733</v>
      </c>
      <c r="L839" s="29">
        <f t="shared" si="189"/>
        <v>46199</v>
      </c>
      <c r="M839" s="27" t="str">
        <f t="shared" si="184"/>
        <v>TPA Approval Delay</v>
      </c>
      <c r="N839" s="31">
        <f t="shared" si="185"/>
        <v>10</v>
      </c>
      <c r="O839" s="27"/>
      <c r="Q839" s="8">
        <v>0.69221766209212465</v>
      </c>
      <c r="R839" s="8" t="str">
        <f t="shared" si="186"/>
        <v>Major Delay</v>
      </c>
      <c r="S839" s="33">
        <v>3.819933828893753</v>
      </c>
      <c r="T839" t="s">
        <v>31</v>
      </c>
      <c r="U839" s="3">
        <v>0</v>
      </c>
      <c r="V839" s="3" t="str">
        <f t="shared" si="190"/>
        <v>Normal</v>
      </c>
      <c r="W839" s="3" t="s">
        <v>51</v>
      </c>
      <c r="X839" s="32">
        <f t="shared" si="187"/>
        <v>0.15916390953498194</v>
      </c>
      <c r="Z839" s="38">
        <f t="shared" si="191"/>
        <v>3.416390953498194E-2</v>
      </c>
      <c r="AC839" s="36">
        <v>0.125</v>
      </c>
      <c r="AL839" t="str">
        <f t="shared" si="192"/>
        <v>TPA Approval Delay</v>
      </c>
      <c r="AM839" t="str">
        <f t="shared" si="193"/>
        <v>No</v>
      </c>
      <c r="AN839" t="str">
        <f t="shared" si="194"/>
        <v>Emergency</v>
      </c>
      <c r="AO839" t="str">
        <f t="shared" si="195"/>
        <v>ICU</v>
      </c>
    </row>
    <row r="840" spans="1:41" x14ac:dyDescent="0.3">
      <c r="A840" s="21" t="str">
        <f t="shared" si="188"/>
        <v>UHID-00839</v>
      </c>
      <c r="B840" s="19">
        <v>70</v>
      </c>
      <c r="C840" s="11" t="s">
        <v>18</v>
      </c>
      <c r="D840" s="13" t="s">
        <v>27</v>
      </c>
      <c r="E840" s="13" t="s">
        <v>5</v>
      </c>
      <c r="F840" s="16">
        <v>46198.730585648103</v>
      </c>
      <c r="G840" s="5">
        <v>46198</v>
      </c>
      <c r="H840" s="2">
        <v>46200.791361793999</v>
      </c>
      <c r="I840" s="23">
        <v>46200</v>
      </c>
      <c r="J840" s="24">
        <f t="shared" si="182"/>
        <v>46200.73978261165</v>
      </c>
      <c r="K840" s="24">
        <f t="shared" si="183"/>
        <v>0.79136179399938555</v>
      </c>
      <c r="L840" s="29">
        <f t="shared" si="189"/>
        <v>46199</v>
      </c>
      <c r="M840" s="27" t="str">
        <f t="shared" si="184"/>
        <v>Normal</v>
      </c>
      <c r="N840" s="31">
        <f t="shared" si="185"/>
        <v>2</v>
      </c>
      <c r="O840" s="27"/>
      <c r="Q840" s="8">
        <v>0.4328164181110371</v>
      </c>
      <c r="R840" s="8" t="str">
        <f t="shared" si="186"/>
        <v>On Time</v>
      </c>
      <c r="S840" s="33">
        <v>1.2379003763141225</v>
      </c>
      <c r="T840" t="s">
        <v>31</v>
      </c>
      <c r="U840" s="3">
        <v>0</v>
      </c>
      <c r="V840" s="3" t="str">
        <f t="shared" si="190"/>
        <v>Normal</v>
      </c>
      <c r="W840" s="3" t="s">
        <v>51</v>
      </c>
      <c r="X840" s="32">
        <f t="shared" si="187"/>
        <v>5.1579182349087205E-2</v>
      </c>
      <c r="Z840" s="38">
        <f t="shared" si="191"/>
        <v>0</v>
      </c>
      <c r="AC840" s="36">
        <v>0.125</v>
      </c>
      <c r="AL840" t="str">
        <f t="shared" si="192"/>
        <v>Normal</v>
      </c>
      <c r="AM840" t="str">
        <f t="shared" si="193"/>
        <v>No</v>
      </c>
      <c r="AN840" t="str">
        <f t="shared" si="194"/>
        <v>Elective</v>
      </c>
      <c r="AO840" t="str">
        <f t="shared" si="195"/>
        <v>General Ward</v>
      </c>
    </row>
    <row r="841" spans="1:41" x14ac:dyDescent="0.3">
      <c r="A841" s="21" t="str">
        <f t="shared" si="188"/>
        <v>UHID-00840</v>
      </c>
      <c r="B841" s="19">
        <v>61</v>
      </c>
      <c r="C841" s="11" t="s">
        <v>17</v>
      </c>
      <c r="D841" s="13" t="s">
        <v>26</v>
      </c>
      <c r="E841" s="13" t="s">
        <v>5</v>
      </c>
      <c r="F841" s="16">
        <v>46200.6551945139</v>
      </c>
      <c r="G841" s="5">
        <v>46200</v>
      </c>
      <c r="H841" s="2">
        <v>46201.593185497703</v>
      </c>
      <c r="I841" s="23">
        <v>46201</v>
      </c>
      <c r="J841" s="24">
        <f t="shared" si="182"/>
        <v>46201.435109981699</v>
      </c>
      <c r="K841" s="24">
        <f t="shared" si="183"/>
        <v>0.59318549770250684</v>
      </c>
      <c r="L841" s="29">
        <f t="shared" si="189"/>
        <v>46200</v>
      </c>
      <c r="M841" s="27" t="str">
        <f t="shared" si="184"/>
        <v>TPA Approval Delay</v>
      </c>
      <c r="N841" s="31">
        <f t="shared" si="185"/>
        <v>1</v>
      </c>
      <c r="O841" s="27"/>
      <c r="Q841" s="8">
        <v>0.6638073975823916</v>
      </c>
      <c r="R841" s="8" t="str">
        <f t="shared" si="186"/>
        <v>Major Delay</v>
      </c>
      <c r="S841" s="33">
        <v>3.7938123840589459</v>
      </c>
      <c r="T841" t="s">
        <v>31</v>
      </c>
      <c r="U841" s="3">
        <v>0</v>
      </c>
      <c r="V841" s="3" t="str">
        <f t="shared" si="190"/>
        <v>Normal</v>
      </c>
      <c r="W841" s="3" t="s">
        <v>51</v>
      </c>
      <c r="X841" s="32">
        <f t="shared" si="187"/>
        <v>0.1580755160030094</v>
      </c>
      <c r="Z841" s="38">
        <f t="shared" si="191"/>
        <v>3.3075516003009398E-2</v>
      </c>
      <c r="AC841" s="36">
        <v>0.125</v>
      </c>
      <c r="AL841" t="str">
        <f t="shared" si="192"/>
        <v>TPA Approval Delay</v>
      </c>
      <c r="AM841" t="str">
        <f t="shared" si="193"/>
        <v>No</v>
      </c>
      <c r="AN841" t="str">
        <f t="shared" si="194"/>
        <v>Elective</v>
      </c>
      <c r="AO841" t="str">
        <f t="shared" si="195"/>
        <v>General Ward</v>
      </c>
    </row>
    <row r="842" spans="1:41" x14ac:dyDescent="0.3">
      <c r="A842" s="21" t="str">
        <f t="shared" si="188"/>
        <v>UHID-00841</v>
      </c>
      <c r="B842" s="19">
        <v>70</v>
      </c>
      <c r="C842" s="11" t="s">
        <v>18</v>
      </c>
      <c r="D842" s="13" t="s">
        <v>28</v>
      </c>
      <c r="E842" s="13" t="s">
        <v>5</v>
      </c>
      <c r="F842" s="16">
        <v>46199.920532534699</v>
      </c>
      <c r="G842" s="5">
        <v>46199</v>
      </c>
      <c r="H842" s="2">
        <v>46201.597348240699</v>
      </c>
      <c r="I842" s="23">
        <v>46201</v>
      </c>
      <c r="J842" s="24">
        <f t="shared" si="182"/>
        <v>46201.510320855938</v>
      </c>
      <c r="K842" s="24">
        <f t="shared" si="183"/>
        <v>0.59734824069892056</v>
      </c>
      <c r="L842" s="29">
        <f t="shared" si="189"/>
        <v>46200</v>
      </c>
      <c r="M842" s="27" t="str">
        <f t="shared" si="184"/>
        <v>Doctor Round Delay/Report Delay</v>
      </c>
      <c r="N842" s="31">
        <f t="shared" si="185"/>
        <v>2</v>
      </c>
      <c r="O842" s="27"/>
      <c r="Q842" s="8">
        <v>0.95211008747754911</v>
      </c>
      <c r="R842" s="8" t="str">
        <f t="shared" si="186"/>
        <v>Minor Delay</v>
      </c>
      <c r="S842" s="33">
        <v>2.0886572343478429</v>
      </c>
      <c r="T842" t="s">
        <v>31</v>
      </c>
      <c r="U842" s="3">
        <v>0</v>
      </c>
      <c r="V842" s="3" t="str">
        <f t="shared" si="190"/>
        <v>Normal</v>
      </c>
      <c r="W842" s="3" t="s">
        <v>51</v>
      </c>
      <c r="X842" s="32">
        <f t="shared" si="187"/>
        <v>8.7027384761313442E-2</v>
      </c>
      <c r="Z842" s="38">
        <f t="shared" si="191"/>
        <v>0</v>
      </c>
      <c r="AC842" s="36">
        <v>0.125</v>
      </c>
      <c r="AL842" t="str">
        <f t="shared" si="192"/>
        <v>Doctor Round Delay/Report Delay</v>
      </c>
      <c r="AM842" t="str">
        <f t="shared" si="193"/>
        <v>No</v>
      </c>
      <c r="AN842" t="str">
        <f t="shared" si="194"/>
        <v>Emergency</v>
      </c>
      <c r="AO842" t="str">
        <f t="shared" si="195"/>
        <v>General Ward</v>
      </c>
    </row>
    <row r="843" spans="1:41" x14ac:dyDescent="0.3">
      <c r="A843" s="21" t="str">
        <f t="shared" si="188"/>
        <v>UHID-00842</v>
      </c>
      <c r="B843" s="19">
        <v>49</v>
      </c>
      <c r="C843" s="11" t="s">
        <v>18</v>
      </c>
      <c r="D843" s="13" t="s">
        <v>26</v>
      </c>
      <c r="E843" s="13" t="s">
        <v>5</v>
      </c>
      <c r="F843" s="16">
        <v>46198.707805138903</v>
      </c>
      <c r="G843" s="5">
        <v>46198</v>
      </c>
      <c r="H843" s="2">
        <v>46201.681384988398</v>
      </c>
      <c r="I843" s="23">
        <v>46201</v>
      </c>
      <c r="J843" s="24">
        <f t="shared" si="182"/>
        <v>46201.53190299603</v>
      </c>
      <c r="K843" s="24">
        <f t="shared" si="183"/>
        <v>0.68138498839834938</v>
      </c>
      <c r="L843" s="29">
        <f t="shared" si="189"/>
        <v>46200</v>
      </c>
      <c r="M843" s="27" t="str">
        <f t="shared" si="184"/>
        <v>TPA Approval Delay</v>
      </c>
      <c r="N843" s="31">
        <f t="shared" si="185"/>
        <v>3</v>
      </c>
      <c r="O843" s="27"/>
      <c r="Q843" s="8">
        <v>0.65722101592837801</v>
      </c>
      <c r="R843" s="8" t="str">
        <f t="shared" si="186"/>
        <v>Major Delay</v>
      </c>
      <c r="S843" s="33">
        <v>3.5875678168687659</v>
      </c>
      <c r="T843" t="s">
        <v>31</v>
      </c>
      <c r="U843" s="3">
        <v>0</v>
      </c>
      <c r="V843" s="3" t="str">
        <f t="shared" si="190"/>
        <v>Normal</v>
      </c>
      <c r="W843" s="3" t="s">
        <v>51</v>
      </c>
      <c r="X843" s="32">
        <f t="shared" si="187"/>
        <v>0.14948199236823712</v>
      </c>
      <c r="Z843" s="38">
        <f t="shared" si="191"/>
        <v>2.4481992368237115E-2</v>
      </c>
      <c r="AC843" s="36">
        <v>0.125</v>
      </c>
      <c r="AL843" t="str">
        <f t="shared" si="192"/>
        <v>TPA Approval Delay</v>
      </c>
      <c r="AM843" t="str">
        <f t="shared" si="193"/>
        <v>No</v>
      </c>
      <c r="AN843" t="str">
        <f t="shared" si="194"/>
        <v>Elective</v>
      </c>
      <c r="AO843" t="str">
        <f t="shared" si="195"/>
        <v>General Ward</v>
      </c>
    </row>
    <row r="844" spans="1:41" x14ac:dyDescent="0.3">
      <c r="A844" s="21" t="str">
        <f t="shared" si="188"/>
        <v>UHID-00843</v>
      </c>
      <c r="B844" s="19">
        <v>74</v>
      </c>
      <c r="C844" s="11" t="s">
        <v>18</v>
      </c>
      <c r="D844" s="13" t="s">
        <v>28</v>
      </c>
      <c r="E844" s="13" t="s">
        <v>5</v>
      </c>
      <c r="F844" s="16">
        <v>46194.204395138899</v>
      </c>
      <c r="G844" s="5">
        <v>46194</v>
      </c>
      <c r="H844" s="2">
        <v>46202.293749999997</v>
      </c>
      <c r="I844" s="23">
        <v>46202</v>
      </c>
      <c r="J844" s="24">
        <f t="shared" si="182"/>
        <v>46202.199332893848</v>
      </c>
      <c r="K844" s="24">
        <f t="shared" si="183"/>
        <v>0.29374999999708962</v>
      </c>
      <c r="L844" s="29">
        <f t="shared" si="189"/>
        <v>46201</v>
      </c>
      <c r="M844" s="27" t="str">
        <f t="shared" si="184"/>
        <v>Doctor Round Delay/Report Delay</v>
      </c>
      <c r="N844" s="31">
        <f t="shared" si="185"/>
        <v>8</v>
      </c>
      <c r="O844" s="27"/>
      <c r="Q844" s="8">
        <v>0.96583565254862558</v>
      </c>
      <c r="R844" s="8" t="str">
        <f t="shared" si="186"/>
        <v>Minor Delay</v>
      </c>
      <c r="S844" s="33">
        <v>2.2660105476120851</v>
      </c>
      <c r="T844" t="s">
        <v>31</v>
      </c>
      <c r="U844" s="3">
        <v>0</v>
      </c>
      <c r="V844" s="3" t="str">
        <f t="shared" si="190"/>
        <v>Normal</v>
      </c>
      <c r="W844" s="3" t="s">
        <v>51</v>
      </c>
      <c r="X844" s="32">
        <f t="shared" si="187"/>
        <v>9.4417106149194296E-2</v>
      </c>
      <c r="Z844" s="38">
        <f t="shared" si="191"/>
        <v>0</v>
      </c>
      <c r="AC844" s="36">
        <v>0.125</v>
      </c>
      <c r="AL844" t="str">
        <f t="shared" si="192"/>
        <v>Doctor Round Delay/Report Delay</v>
      </c>
      <c r="AM844" t="str">
        <f t="shared" si="193"/>
        <v>No</v>
      </c>
      <c r="AN844" t="str">
        <f t="shared" si="194"/>
        <v>Emergency</v>
      </c>
      <c r="AO844" t="str">
        <f t="shared" si="195"/>
        <v>ICU</v>
      </c>
    </row>
    <row r="845" spans="1:41" x14ac:dyDescent="0.3">
      <c r="A845" s="21" t="str">
        <f t="shared" si="188"/>
        <v>UHID-00844</v>
      </c>
      <c r="B845" s="19">
        <v>58</v>
      </c>
      <c r="C845" s="11" t="s">
        <v>17</v>
      </c>
      <c r="D845" s="13" t="s">
        <v>27</v>
      </c>
      <c r="E845" s="13" t="s">
        <v>5</v>
      </c>
      <c r="F845" s="16">
        <v>46197.804017870403</v>
      </c>
      <c r="G845" s="5">
        <v>46197</v>
      </c>
      <c r="H845" s="2">
        <v>46200.785452708304</v>
      </c>
      <c r="I845" s="23">
        <v>46200</v>
      </c>
      <c r="J845" s="24">
        <f t="shared" si="182"/>
        <v>46200.727768782344</v>
      </c>
      <c r="K845" s="24">
        <f t="shared" si="183"/>
        <v>0.78545270830363734</v>
      </c>
      <c r="L845" s="29">
        <f t="shared" si="189"/>
        <v>46199</v>
      </c>
      <c r="M845" s="27" t="str">
        <f t="shared" si="184"/>
        <v>Normal</v>
      </c>
      <c r="N845" s="31">
        <f t="shared" si="185"/>
        <v>3</v>
      </c>
      <c r="O845" s="27"/>
      <c r="Q845" s="8">
        <v>0.47195735094168656</v>
      </c>
      <c r="R845" s="8" t="str">
        <f t="shared" si="186"/>
        <v>On Time</v>
      </c>
      <c r="S845" s="33">
        <v>1.3844142229361585</v>
      </c>
      <c r="T845" t="s">
        <v>31</v>
      </c>
      <c r="U845" s="3">
        <v>0</v>
      </c>
      <c r="V845" s="3" t="str">
        <f t="shared" si="190"/>
        <v>Normal</v>
      </c>
      <c r="W845" s="3" t="s">
        <v>51</v>
      </c>
      <c r="X845" s="32">
        <f t="shared" si="187"/>
        <v>5.7683925959281623E-2</v>
      </c>
      <c r="Z845" s="38">
        <f t="shared" si="191"/>
        <v>0</v>
      </c>
      <c r="AC845" s="36">
        <v>0.125</v>
      </c>
      <c r="AL845" t="str">
        <f t="shared" si="192"/>
        <v>Normal</v>
      </c>
      <c r="AM845" t="str">
        <f t="shared" si="193"/>
        <v>No</v>
      </c>
      <c r="AN845" t="str">
        <f t="shared" si="194"/>
        <v>Elective</v>
      </c>
      <c r="AO845" t="str">
        <f t="shared" si="195"/>
        <v>General Ward</v>
      </c>
    </row>
    <row r="846" spans="1:41" x14ac:dyDescent="0.3">
      <c r="A846" s="21" t="str">
        <f t="shared" si="188"/>
        <v>UHID-00845</v>
      </c>
      <c r="B846" s="19">
        <v>70</v>
      </c>
      <c r="C846" s="11" t="s">
        <v>17</v>
      </c>
      <c r="D846" s="13" t="s">
        <v>27</v>
      </c>
      <c r="E846" s="13" t="s">
        <v>5</v>
      </c>
      <c r="F846" s="16">
        <v>46201.624700949098</v>
      </c>
      <c r="G846" s="5">
        <v>46201</v>
      </c>
      <c r="H846" s="2">
        <v>46202.533367719901</v>
      </c>
      <c r="I846" s="23">
        <v>46202</v>
      </c>
      <c r="J846" s="24">
        <f t="shared" si="182"/>
        <v>46202.476314225722</v>
      </c>
      <c r="K846" s="24">
        <f t="shared" si="183"/>
        <v>0.53336771990143461</v>
      </c>
      <c r="L846" s="29">
        <f t="shared" si="189"/>
        <v>46201</v>
      </c>
      <c r="M846" s="27" t="str">
        <f t="shared" si="184"/>
        <v>Normal</v>
      </c>
      <c r="N846" s="31">
        <f t="shared" si="185"/>
        <v>1</v>
      </c>
      <c r="O846" s="27"/>
      <c r="Q846" s="8">
        <v>0.38424539430301219</v>
      </c>
      <c r="R846" s="8" t="str">
        <f t="shared" si="186"/>
        <v>On Time</v>
      </c>
      <c r="S846" s="33">
        <v>1.3692838602749422</v>
      </c>
      <c r="T846" t="s">
        <v>31</v>
      </c>
      <c r="U846" s="3">
        <v>0</v>
      </c>
      <c r="V846" s="3" t="str">
        <f t="shared" si="190"/>
        <v>Normal</v>
      </c>
      <c r="W846" s="3" t="s">
        <v>51</v>
      </c>
      <c r="X846" s="32">
        <f t="shared" si="187"/>
        <v>5.7053494179854169E-2</v>
      </c>
      <c r="Z846" s="38">
        <f t="shared" si="191"/>
        <v>0</v>
      </c>
      <c r="AC846" s="36">
        <v>0.125</v>
      </c>
      <c r="AL846" t="str">
        <f t="shared" si="192"/>
        <v>Normal</v>
      </c>
      <c r="AM846" t="str">
        <f t="shared" si="193"/>
        <v>No</v>
      </c>
      <c r="AN846" t="str">
        <f t="shared" si="194"/>
        <v>Elective</v>
      </c>
      <c r="AO846" t="str">
        <f t="shared" si="195"/>
        <v>General Ward</v>
      </c>
    </row>
    <row r="847" spans="1:41" x14ac:dyDescent="0.3">
      <c r="A847" s="21" t="str">
        <f t="shared" si="188"/>
        <v>UHID-00846</v>
      </c>
      <c r="B847" s="19">
        <v>86</v>
      </c>
      <c r="C847" s="11" t="s">
        <v>17</v>
      </c>
      <c r="D847" s="13" t="s">
        <v>26</v>
      </c>
      <c r="E847" s="13" t="s">
        <v>5</v>
      </c>
      <c r="F847" s="16">
        <v>46194.935375925903</v>
      </c>
      <c r="G847" s="5">
        <v>46194</v>
      </c>
      <c r="H847" s="2">
        <v>46202.579920648102</v>
      </c>
      <c r="I847" s="23">
        <v>46202</v>
      </c>
      <c r="J847" s="24">
        <f t="shared" si="182"/>
        <v>46202.227456750486</v>
      </c>
      <c r="K847" s="24">
        <f t="shared" si="183"/>
        <v>0.57992064810241573</v>
      </c>
      <c r="L847" s="29">
        <f t="shared" si="189"/>
        <v>46201</v>
      </c>
      <c r="M847" s="27" t="str">
        <f t="shared" si="184"/>
        <v>Health Deterioration/TPA Approval Delay</v>
      </c>
      <c r="N847" s="31">
        <f t="shared" si="185"/>
        <v>8</v>
      </c>
      <c r="O847" s="27"/>
      <c r="Q847" s="8">
        <v>0.62383103089132386</v>
      </c>
      <c r="R847" s="8" t="str">
        <f t="shared" si="186"/>
        <v>Critical Delay</v>
      </c>
      <c r="S847" s="33">
        <v>3.4591335427880527</v>
      </c>
      <c r="T847" t="s">
        <v>31</v>
      </c>
      <c r="U847" s="3">
        <v>5</v>
      </c>
      <c r="V847" s="3" t="str">
        <f t="shared" si="190"/>
        <v>Normal</v>
      </c>
      <c r="W847" s="3" t="s">
        <v>52</v>
      </c>
      <c r="X847" s="32">
        <f t="shared" si="187"/>
        <v>0.3524638976159622</v>
      </c>
      <c r="Z847" s="38">
        <f t="shared" si="191"/>
        <v>0.2274638976159622</v>
      </c>
      <c r="AC847" s="36">
        <v>0.125</v>
      </c>
      <c r="AL847" t="str">
        <f t="shared" si="192"/>
        <v>Health Deterioration/TPA Approval Delay</v>
      </c>
      <c r="AM847" t="str">
        <f t="shared" si="193"/>
        <v>Yes</v>
      </c>
      <c r="AN847" t="str">
        <f t="shared" si="194"/>
        <v>Emergency</v>
      </c>
      <c r="AO847" t="str">
        <f t="shared" si="195"/>
        <v>ICU</v>
      </c>
    </row>
    <row r="848" spans="1:41" x14ac:dyDescent="0.3">
      <c r="A848" s="21" t="str">
        <f t="shared" si="188"/>
        <v>UHID-00847</v>
      </c>
      <c r="B848" s="19">
        <v>64</v>
      </c>
      <c r="C848" s="11" t="s">
        <v>18</v>
      </c>
      <c r="D848" s="13" t="s">
        <v>26</v>
      </c>
      <c r="E848" s="13" t="s">
        <v>5</v>
      </c>
      <c r="F848" s="16">
        <v>46196.846431516198</v>
      </c>
      <c r="G848" s="5">
        <v>46196</v>
      </c>
      <c r="H848" s="2">
        <v>46202.5681121296</v>
      </c>
      <c r="I848" s="23">
        <v>46202</v>
      </c>
      <c r="J848" s="24">
        <f t="shared" si="182"/>
        <v>46202.434974842421</v>
      </c>
      <c r="K848" s="24">
        <f t="shared" si="183"/>
        <v>0.56811212960019475</v>
      </c>
      <c r="L848" s="29">
        <f t="shared" si="189"/>
        <v>46201</v>
      </c>
      <c r="M848" s="27" t="str">
        <f t="shared" si="184"/>
        <v>TPA Approval Delay</v>
      </c>
      <c r="N848" s="31">
        <f t="shared" si="185"/>
        <v>6</v>
      </c>
      <c r="O848" s="27"/>
      <c r="Q848" s="8">
        <v>0.79949988873713795</v>
      </c>
      <c r="R848" s="8" t="str">
        <f t="shared" si="186"/>
        <v>Major Delay</v>
      </c>
      <c r="S848" s="33">
        <v>3.1952948922611712</v>
      </c>
      <c r="T848" t="s">
        <v>31</v>
      </c>
      <c r="U848" s="3">
        <v>0</v>
      </c>
      <c r="V848" s="3" t="str">
        <f t="shared" si="190"/>
        <v>Normal</v>
      </c>
      <c r="W848" s="3" t="s">
        <v>51</v>
      </c>
      <c r="X848" s="32">
        <f t="shared" si="187"/>
        <v>0.13313728717912454</v>
      </c>
      <c r="Z848" s="38">
        <f t="shared" si="191"/>
        <v>8.1372871791245416E-3</v>
      </c>
      <c r="AC848" s="36">
        <v>0.125</v>
      </c>
      <c r="AL848" t="str">
        <f t="shared" si="192"/>
        <v>TPA Approval Delay</v>
      </c>
      <c r="AM848" t="str">
        <f t="shared" si="193"/>
        <v>No</v>
      </c>
      <c r="AN848" t="str">
        <f t="shared" si="194"/>
        <v>Elective</v>
      </c>
      <c r="AO848" t="str">
        <f t="shared" si="195"/>
        <v>HDU</v>
      </c>
    </row>
    <row r="849" spans="1:41" x14ac:dyDescent="0.3">
      <c r="A849" s="21" t="str">
        <f t="shared" si="188"/>
        <v>UHID-00848</v>
      </c>
      <c r="B849" s="19">
        <v>60</v>
      </c>
      <c r="C849" s="11" t="s">
        <v>18</v>
      </c>
      <c r="D849" s="13" t="s">
        <v>27</v>
      </c>
      <c r="E849" s="13" t="s">
        <v>5</v>
      </c>
      <c r="F849" s="16">
        <v>46189.638372997702</v>
      </c>
      <c r="G849" s="5">
        <v>46189</v>
      </c>
      <c r="H849" s="2">
        <v>46202.710465879602</v>
      </c>
      <c r="I849" s="23">
        <v>46202</v>
      </c>
      <c r="J849" s="24">
        <f t="shared" si="182"/>
        <v>46202.557916508107</v>
      </c>
      <c r="K849" s="24">
        <f t="shared" si="183"/>
        <v>0.71046587960154284</v>
      </c>
      <c r="L849" s="29">
        <f t="shared" si="189"/>
        <v>46201</v>
      </c>
      <c r="M849" s="27" t="str">
        <f t="shared" si="184"/>
        <v>Medication Change</v>
      </c>
      <c r="N849" s="31">
        <f t="shared" si="185"/>
        <v>13</v>
      </c>
      <c r="O849" s="27"/>
      <c r="Q849" s="8">
        <v>6.0832840582068282E-2</v>
      </c>
      <c r="R849" s="8" t="str">
        <f t="shared" si="186"/>
        <v>Major Delay</v>
      </c>
      <c r="S849" s="33">
        <v>1.6611849158817882</v>
      </c>
      <c r="T849" t="s">
        <v>30</v>
      </c>
      <c r="U849" s="3">
        <v>2</v>
      </c>
      <c r="V849" s="3" t="str">
        <f t="shared" si="190"/>
        <v/>
      </c>
      <c r="W849" s="3" t="s">
        <v>50</v>
      </c>
      <c r="X849" s="32">
        <f t="shared" si="187"/>
        <v>0.15254937149438774</v>
      </c>
      <c r="Z849" s="38">
        <f t="shared" si="191"/>
        <v>2.7549371494387742E-2</v>
      </c>
      <c r="AC849" s="36">
        <v>0.125</v>
      </c>
      <c r="AL849" t="str">
        <f t="shared" si="192"/>
        <v>Medication Change</v>
      </c>
      <c r="AM849" t="str">
        <f t="shared" si="193"/>
        <v>Yes</v>
      </c>
      <c r="AN849" t="str">
        <f t="shared" si="194"/>
        <v>Emergency</v>
      </c>
      <c r="AO849" t="str">
        <f t="shared" si="195"/>
        <v>ICU</v>
      </c>
    </row>
    <row r="850" spans="1:41" x14ac:dyDescent="0.3">
      <c r="A850" s="21" t="str">
        <f t="shared" si="188"/>
        <v>UHID-00849</v>
      </c>
      <c r="B850" s="19">
        <v>34</v>
      </c>
      <c r="C850" s="11" t="s">
        <v>18</v>
      </c>
      <c r="D850" s="13" t="s">
        <v>27</v>
      </c>
      <c r="E850" s="13" t="s">
        <v>5</v>
      </c>
      <c r="F850" s="16">
        <v>46200.824947569403</v>
      </c>
      <c r="G850" s="5">
        <v>46200</v>
      </c>
      <c r="H850" s="2">
        <v>46202.646586655101</v>
      </c>
      <c r="I850" s="23">
        <v>46202</v>
      </c>
      <c r="J850" s="24">
        <f t="shared" si="182"/>
        <v>46202.565914644241</v>
      </c>
      <c r="K850" s="24">
        <f t="shared" si="183"/>
        <v>0.64658665510069113</v>
      </c>
      <c r="L850" s="29">
        <f t="shared" si="189"/>
        <v>46201</v>
      </c>
      <c r="M850" s="27" t="str">
        <f t="shared" si="184"/>
        <v>Normal</v>
      </c>
      <c r="N850" s="31">
        <f t="shared" si="185"/>
        <v>2</v>
      </c>
      <c r="O850" s="27"/>
      <c r="Q850" s="8">
        <v>0.22516257822339292</v>
      </c>
      <c r="R850" s="8" t="str">
        <f t="shared" si="186"/>
        <v>On Time</v>
      </c>
      <c r="S850" s="33">
        <v>1.9361282605837937</v>
      </c>
      <c r="T850" t="s">
        <v>30</v>
      </c>
      <c r="U850" s="3">
        <v>0</v>
      </c>
      <c r="V850" s="3" t="str">
        <f t="shared" si="190"/>
        <v/>
      </c>
      <c r="W850" s="3" t="s">
        <v>51</v>
      </c>
      <c r="X850" s="32">
        <f t="shared" si="187"/>
        <v>8.0672010859416332E-2</v>
      </c>
      <c r="Z850" s="38">
        <f t="shared" si="191"/>
        <v>0</v>
      </c>
      <c r="AC850" s="36">
        <v>0.125</v>
      </c>
      <c r="AL850" t="str">
        <f t="shared" si="192"/>
        <v>Normal</v>
      </c>
      <c r="AM850" t="str">
        <f t="shared" si="193"/>
        <v>No</v>
      </c>
      <c r="AN850" t="str">
        <f t="shared" si="194"/>
        <v>Elective</v>
      </c>
      <c r="AO850" t="str">
        <f t="shared" si="195"/>
        <v>General Ward</v>
      </c>
    </row>
    <row r="851" spans="1:41" x14ac:dyDescent="0.3">
      <c r="A851" s="21" t="str">
        <f t="shared" si="188"/>
        <v>UHID-00850</v>
      </c>
      <c r="B851" s="19">
        <v>45</v>
      </c>
      <c r="C851" s="11" t="s">
        <v>17</v>
      </c>
      <c r="D851" s="13" t="s">
        <v>27</v>
      </c>
      <c r="E851" s="13" t="s">
        <v>5</v>
      </c>
      <c r="F851" s="16">
        <v>46198.680807500001</v>
      </c>
      <c r="G851" s="5">
        <v>46198</v>
      </c>
      <c r="H851" s="2">
        <v>46202.730608715297</v>
      </c>
      <c r="I851" s="23">
        <v>46202</v>
      </c>
      <c r="J851" s="24">
        <f t="shared" si="182"/>
        <v>46202.685296817202</v>
      </c>
      <c r="K851" s="24">
        <f t="shared" si="183"/>
        <v>0.73060871529742144</v>
      </c>
      <c r="L851" s="29">
        <f t="shared" si="189"/>
        <v>46201</v>
      </c>
      <c r="M851" s="27" t="str">
        <f t="shared" si="184"/>
        <v>Normal</v>
      </c>
      <c r="N851" s="31">
        <f t="shared" si="185"/>
        <v>4</v>
      </c>
      <c r="O851" s="27"/>
      <c r="Q851" s="8">
        <v>2.5632063883039735E-2</v>
      </c>
      <c r="R851" s="8" t="str">
        <f t="shared" si="186"/>
        <v>On Time</v>
      </c>
      <c r="S851" s="33">
        <v>1.0874855542855997</v>
      </c>
      <c r="T851" t="s">
        <v>30</v>
      </c>
      <c r="U851" s="3">
        <v>0</v>
      </c>
      <c r="V851" s="3" t="str">
        <f t="shared" si="190"/>
        <v/>
      </c>
      <c r="W851" s="3" t="s">
        <v>51</v>
      </c>
      <c r="X851" s="32">
        <f t="shared" si="187"/>
        <v>4.5311898094951175E-2</v>
      </c>
      <c r="Z851" s="38">
        <f t="shared" si="191"/>
        <v>0</v>
      </c>
      <c r="AC851" s="36">
        <v>0.125</v>
      </c>
      <c r="AL851" t="str">
        <f t="shared" si="192"/>
        <v>Normal</v>
      </c>
      <c r="AM851" t="str">
        <f t="shared" si="193"/>
        <v>No</v>
      </c>
      <c r="AN851" t="str">
        <f t="shared" si="194"/>
        <v>Elective</v>
      </c>
      <c r="AO851" t="str">
        <f t="shared" si="195"/>
        <v>HDU</v>
      </c>
    </row>
    <row r="852" spans="1:41" x14ac:dyDescent="0.3">
      <c r="A852" s="21" t="str">
        <f t="shared" si="188"/>
        <v>UHID-00851</v>
      </c>
      <c r="B852" s="19">
        <v>45</v>
      </c>
      <c r="C852" s="11" t="s">
        <v>17</v>
      </c>
      <c r="D852" s="13" t="s">
        <v>27</v>
      </c>
      <c r="E852" s="13" t="s">
        <v>5</v>
      </c>
      <c r="F852" s="16">
        <v>46199.463158402803</v>
      </c>
      <c r="G852" s="5">
        <v>46199</v>
      </c>
      <c r="H852" s="2">
        <v>46202.812651678199</v>
      </c>
      <c r="I852" s="23">
        <v>46202</v>
      </c>
      <c r="J852" s="24">
        <f t="shared" si="182"/>
        <v>46202.661746372556</v>
      </c>
      <c r="K852" s="24">
        <f t="shared" si="183"/>
        <v>0.81265167819947237</v>
      </c>
      <c r="L852" s="29">
        <f t="shared" si="189"/>
        <v>46201</v>
      </c>
      <c r="M852" s="27" t="str">
        <f t="shared" si="184"/>
        <v>Medication Change</v>
      </c>
      <c r="N852" s="31">
        <f t="shared" si="185"/>
        <v>3</v>
      </c>
      <c r="O852" s="27"/>
      <c r="Q852" s="8">
        <v>9.9508969695667249E-2</v>
      </c>
      <c r="R852" s="8" t="str">
        <f t="shared" si="186"/>
        <v>Major Delay</v>
      </c>
      <c r="S852" s="33">
        <v>1.6217273354966848</v>
      </c>
      <c r="T852" t="s">
        <v>30</v>
      </c>
      <c r="U852" s="3">
        <v>2</v>
      </c>
      <c r="V852" s="3" t="str">
        <f t="shared" si="190"/>
        <v/>
      </c>
      <c r="W852" s="3" t="s">
        <v>50</v>
      </c>
      <c r="X852" s="32">
        <f t="shared" si="187"/>
        <v>0.15090530564339133</v>
      </c>
      <c r="Z852" s="38">
        <f t="shared" si="191"/>
        <v>2.590530564339133E-2</v>
      </c>
      <c r="AC852" s="36">
        <v>0.125</v>
      </c>
      <c r="AL852" t="str">
        <f t="shared" si="192"/>
        <v>Medication Change</v>
      </c>
      <c r="AM852" t="str">
        <f t="shared" si="193"/>
        <v>No</v>
      </c>
      <c r="AN852" t="str">
        <f t="shared" si="194"/>
        <v>Elective</v>
      </c>
      <c r="AO852" t="str">
        <f t="shared" si="195"/>
        <v>General Ward</v>
      </c>
    </row>
    <row r="853" spans="1:41" x14ac:dyDescent="0.3">
      <c r="A853" s="21" t="str">
        <f t="shared" si="188"/>
        <v>UHID-00852</v>
      </c>
      <c r="B853" s="19">
        <v>57</v>
      </c>
      <c r="C853" s="11" t="s">
        <v>18</v>
      </c>
      <c r="D853" s="13" t="s">
        <v>26</v>
      </c>
      <c r="E853" s="13" t="s">
        <v>5</v>
      </c>
      <c r="F853" s="16">
        <v>46201.982819895798</v>
      </c>
      <c r="G853" s="5">
        <v>46201</v>
      </c>
      <c r="H853" s="2">
        <v>46202.745877546302</v>
      </c>
      <c r="I853" s="23">
        <v>46202</v>
      </c>
      <c r="J853" s="24">
        <f t="shared" si="182"/>
        <v>46202.459656189065</v>
      </c>
      <c r="K853" s="24">
        <f t="shared" si="183"/>
        <v>0.74587754630192649</v>
      </c>
      <c r="L853" s="29">
        <f t="shared" si="189"/>
        <v>46201</v>
      </c>
      <c r="M853" s="27" t="str">
        <f t="shared" si="184"/>
        <v>Health Deterioration/TPA Approval Delay</v>
      </c>
      <c r="N853" s="31">
        <f t="shared" si="185"/>
        <v>1</v>
      </c>
      <c r="O853" s="27"/>
      <c r="Q853" s="8">
        <v>0.61293260309451669</v>
      </c>
      <c r="R853" s="8" t="str">
        <f t="shared" si="186"/>
        <v>Critical Delay</v>
      </c>
      <c r="S853" s="33">
        <v>3.8693125736857619</v>
      </c>
      <c r="T853" t="s">
        <v>31</v>
      </c>
      <c r="U853" s="3">
        <v>3</v>
      </c>
      <c r="V853" s="3" t="str">
        <f t="shared" si="190"/>
        <v>Normal</v>
      </c>
      <c r="W853" s="3" t="s">
        <v>50</v>
      </c>
      <c r="X853" s="32">
        <f t="shared" si="187"/>
        <v>0.28622135723708197</v>
      </c>
      <c r="Z853" s="38">
        <f t="shared" si="191"/>
        <v>0.16122135723708197</v>
      </c>
      <c r="AC853" s="36">
        <v>0.125</v>
      </c>
      <c r="AL853" t="str">
        <f t="shared" si="192"/>
        <v>Health Deterioration/TPA Approval Delay</v>
      </c>
      <c r="AM853" t="str">
        <f t="shared" si="193"/>
        <v>No</v>
      </c>
      <c r="AN853" t="str">
        <f t="shared" si="194"/>
        <v>Emergency</v>
      </c>
      <c r="AO853" t="str">
        <f t="shared" si="195"/>
        <v>General Ward</v>
      </c>
    </row>
    <row r="854" spans="1:41" x14ac:dyDescent="0.3">
      <c r="A854" s="21" t="str">
        <f t="shared" si="188"/>
        <v>UHID-00853</v>
      </c>
      <c r="B854" s="19">
        <v>57</v>
      </c>
      <c r="C854" s="11" t="s">
        <v>18</v>
      </c>
      <c r="D854" s="13" t="s">
        <v>26</v>
      </c>
      <c r="E854" s="13" t="s">
        <v>5</v>
      </c>
      <c r="F854" s="16">
        <v>46202.821585694401</v>
      </c>
      <c r="G854" s="5">
        <v>46202</v>
      </c>
      <c r="H854" s="2">
        <v>46203.805057453697</v>
      </c>
      <c r="I854" s="23">
        <v>46203</v>
      </c>
      <c r="J854" s="24">
        <f t="shared" si="182"/>
        <v>46203.656608602832</v>
      </c>
      <c r="K854" s="24">
        <f t="shared" si="183"/>
        <v>0.80505745369737269</v>
      </c>
      <c r="L854" s="29">
        <f t="shared" si="189"/>
        <v>46202</v>
      </c>
      <c r="M854" s="27" t="str">
        <f t="shared" si="184"/>
        <v>TPA Approval Delay</v>
      </c>
      <c r="N854" s="31">
        <f t="shared" si="185"/>
        <v>1</v>
      </c>
      <c r="O854" s="27"/>
      <c r="Q854" s="8">
        <v>0.72549073571080402</v>
      </c>
      <c r="R854" s="8" t="str">
        <f t="shared" si="186"/>
        <v>Major Delay</v>
      </c>
      <c r="S854" s="33">
        <v>3.5627724207658371</v>
      </c>
      <c r="T854" t="s">
        <v>31</v>
      </c>
      <c r="U854" s="3">
        <v>0</v>
      </c>
      <c r="V854" s="3" t="str">
        <f t="shared" si="190"/>
        <v>Normal</v>
      </c>
      <c r="W854" s="3" t="s">
        <v>51</v>
      </c>
      <c r="X854" s="32">
        <f t="shared" si="187"/>
        <v>0.14844885086495196</v>
      </c>
      <c r="Z854" s="38">
        <f t="shared" si="191"/>
        <v>2.3448850864951964E-2</v>
      </c>
      <c r="AC854" s="36">
        <v>0.125</v>
      </c>
      <c r="AL854" t="str">
        <f t="shared" si="192"/>
        <v>TPA Approval Delay</v>
      </c>
      <c r="AM854" t="str">
        <f t="shared" si="193"/>
        <v>No</v>
      </c>
      <c r="AN854" t="str">
        <f t="shared" si="194"/>
        <v>Elective</v>
      </c>
      <c r="AO854" t="str">
        <f t="shared" si="195"/>
        <v>General Ward</v>
      </c>
    </row>
    <row r="855" spans="1:41" x14ac:dyDescent="0.3">
      <c r="A855" s="21" t="str">
        <f t="shared" si="188"/>
        <v>UHID-00854</v>
      </c>
      <c r="B855" s="19">
        <v>69</v>
      </c>
      <c r="C855" s="11" t="s">
        <v>18</v>
      </c>
      <c r="D855" s="13" t="s">
        <v>28</v>
      </c>
      <c r="E855" s="13" t="s">
        <v>5</v>
      </c>
      <c r="F855" s="16">
        <v>46189.594464409704</v>
      </c>
      <c r="G855" s="5">
        <v>46189</v>
      </c>
      <c r="H855" s="2">
        <v>46203.924433784698</v>
      </c>
      <c r="I855" s="23">
        <v>46203</v>
      </c>
      <c r="J855" s="24">
        <f t="shared" si="182"/>
        <v>46203.812788149567</v>
      </c>
      <c r="K855" s="24">
        <f t="shared" si="183"/>
        <v>0.92443378469761228</v>
      </c>
      <c r="L855" s="29">
        <f t="shared" si="189"/>
        <v>46202</v>
      </c>
      <c r="M855" s="27" t="str">
        <f t="shared" si="184"/>
        <v>Doctor Round Delay/Report Delay</v>
      </c>
      <c r="N855" s="31">
        <f t="shared" si="185"/>
        <v>14</v>
      </c>
      <c r="O855" s="27"/>
      <c r="Q855" s="8">
        <v>0.92589351367185446</v>
      </c>
      <c r="R855" s="8" t="str">
        <f t="shared" si="186"/>
        <v>Minor Delay</v>
      </c>
      <c r="S855" s="33">
        <v>2.679495243189864</v>
      </c>
      <c r="T855" t="s">
        <v>31</v>
      </c>
      <c r="U855" s="3">
        <v>0</v>
      </c>
      <c r="V855" s="3" t="str">
        <f t="shared" si="190"/>
        <v>Normal</v>
      </c>
      <c r="W855" s="3" t="s">
        <v>51</v>
      </c>
      <c r="X855" s="32">
        <f t="shared" si="187"/>
        <v>0.11164563513011672</v>
      </c>
      <c r="Z855" s="38">
        <f t="shared" si="191"/>
        <v>0</v>
      </c>
      <c r="AC855" s="36">
        <v>0.125</v>
      </c>
      <c r="AL855" t="str">
        <f t="shared" si="192"/>
        <v>Doctor Round Delay/Report Delay</v>
      </c>
      <c r="AM855" t="str">
        <f t="shared" si="193"/>
        <v>Yes</v>
      </c>
      <c r="AN855" t="str">
        <f t="shared" si="194"/>
        <v>Elective</v>
      </c>
      <c r="AO855" t="str">
        <f t="shared" si="195"/>
        <v>ICU</v>
      </c>
    </row>
    <row r="856" spans="1:41" x14ac:dyDescent="0.3">
      <c r="A856" s="21" t="str">
        <f t="shared" si="188"/>
        <v>UHID-00855</v>
      </c>
      <c r="B856" s="19">
        <v>71</v>
      </c>
      <c r="C856" s="11" t="s">
        <v>18</v>
      </c>
      <c r="D856" s="13" t="s">
        <v>27</v>
      </c>
      <c r="E856" s="13" t="s">
        <v>5</v>
      </c>
      <c r="F856" s="16">
        <v>46194.713615115703</v>
      </c>
      <c r="G856" s="5">
        <v>46194</v>
      </c>
      <c r="H856" s="2">
        <v>46203.563933148202</v>
      </c>
      <c r="I856" s="23">
        <v>46203</v>
      </c>
      <c r="J856" s="24">
        <f t="shared" si="182"/>
        <v>46203.49567095848</v>
      </c>
      <c r="K856" s="24">
        <f t="shared" si="183"/>
        <v>0.56393314820161322</v>
      </c>
      <c r="L856" s="29">
        <f t="shared" si="189"/>
        <v>46202</v>
      </c>
      <c r="M856" s="27" t="str">
        <f t="shared" si="184"/>
        <v>Normal</v>
      </c>
      <c r="N856" s="31">
        <f t="shared" si="185"/>
        <v>9</v>
      </c>
      <c r="O856" s="27"/>
      <c r="Q856" s="8">
        <v>0.22827702817123763</v>
      </c>
      <c r="R856" s="8" t="str">
        <f t="shared" si="186"/>
        <v>On Time</v>
      </c>
      <c r="S856" s="33">
        <v>1.6382925533562274</v>
      </c>
      <c r="T856" t="s">
        <v>30</v>
      </c>
      <c r="U856" s="3">
        <v>0</v>
      </c>
      <c r="V856" s="3" t="str">
        <f t="shared" si="190"/>
        <v/>
      </c>
      <c r="W856" s="3" t="s">
        <v>51</v>
      </c>
      <c r="X856" s="32">
        <f t="shared" si="187"/>
        <v>6.8262189721281175E-2</v>
      </c>
      <c r="Z856" s="38">
        <f t="shared" si="191"/>
        <v>0</v>
      </c>
      <c r="AC856" s="36">
        <v>0.125</v>
      </c>
      <c r="AL856" t="str">
        <f t="shared" si="192"/>
        <v>Normal</v>
      </c>
      <c r="AM856" t="str">
        <f t="shared" si="193"/>
        <v>No</v>
      </c>
      <c r="AN856" t="str">
        <f t="shared" si="194"/>
        <v>Emergency</v>
      </c>
      <c r="AO856" t="str">
        <f t="shared" si="195"/>
        <v>ICU</v>
      </c>
    </row>
    <row r="857" spans="1:41" x14ac:dyDescent="0.3">
      <c r="A857" s="21" t="str">
        <f t="shared" si="188"/>
        <v>UHID-00856</v>
      </c>
      <c r="B857" s="19">
        <v>59</v>
      </c>
      <c r="C857" s="11" t="s">
        <v>17</v>
      </c>
      <c r="D857" s="13" t="s">
        <v>27</v>
      </c>
      <c r="E857" s="13" t="s">
        <v>5</v>
      </c>
      <c r="F857" s="16">
        <v>46192.7395485995</v>
      </c>
      <c r="G857" s="5">
        <v>46192</v>
      </c>
      <c r="H857" s="2">
        <v>46203.643784270796</v>
      </c>
      <c r="I857" s="23">
        <v>46203</v>
      </c>
      <c r="J857" s="24">
        <f t="shared" si="182"/>
        <v>46203.563822396027</v>
      </c>
      <c r="K857" s="24">
        <f t="shared" si="183"/>
        <v>0.64378427079645917</v>
      </c>
      <c r="L857" s="29">
        <f t="shared" si="189"/>
        <v>46202</v>
      </c>
      <c r="M857" s="27" t="str">
        <f t="shared" si="184"/>
        <v>Normal</v>
      </c>
      <c r="N857" s="31">
        <f t="shared" si="185"/>
        <v>11</v>
      </c>
      <c r="O857" s="27"/>
      <c r="Q857" s="8">
        <v>6.1244797033123799E-2</v>
      </c>
      <c r="R857" s="8" t="str">
        <f t="shared" si="186"/>
        <v>On Time</v>
      </c>
      <c r="S857" s="33">
        <v>1.9190849944817603</v>
      </c>
      <c r="T857" t="s">
        <v>30</v>
      </c>
      <c r="U857" s="3">
        <v>0</v>
      </c>
      <c r="V857" s="3" t="str">
        <f t="shared" si="190"/>
        <v/>
      </c>
      <c r="W857" s="3" t="s">
        <v>51</v>
      </c>
      <c r="X857" s="32">
        <f t="shared" si="187"/>
        <v>7.9961874769651331E-2</v>
      </c>
      <c r="Z857" s="38">
        <f t="shared" si="191"/>
        <v>0</v>
      </c>
      <c r="AC857" s="36">
        <v>0.125</v>
      </c>
      <c r="AL857" t="str">
        <f t="shared" si="192"/>
        <v>Normal</v>
      </c>
      <c r="AM857" t="str">
        <f t="shared" si="193"/>
        <v>Yes</v>
      </c>
      <c r="AN857" t="str">
        <f t="shared" si="194"/>
        <v>Emergency</v>
      </c>
      <c r="AO857" t="str">
        <f t="shared" si="195"/>
        <v>ICU</v>
      </c>
    </row>
    <row r="858" spans="1:41" x14ac:dyDescent="0.3">
      <c r="A858" s="21" t="str">
        <f t="shared" si="188"/>
        <v>UHID-00857</v>
      </c>
      <c r="B858" s="19">
        <v>61</v>
      </c>
      <c r="C858" s="11" t="s">
        <v>17</v>
      </c>
      <c r="D858" s="13" t="s">
        <v>27</v>
      </c>
      <c r="E858" s="13" t="s">
        <v>5</v>
      </c>
      <c r="F858" s="16">
        <v>46198.973883599501</v>
      </c>
      <c r="G858" s="5">
        <v>46198</v>
      </c>
      <c r="H858" s="2">
        <v>46203.620317152803</v>
      </c>
      <c r="I858" s="23">
        <v>46203</v>
      </c>
      <c r="J858" s="24">
        <f t="shared" si="182"/>
        <v>46203.551473038504</v>
      </c>
      <c r="K858" s="24">
        <f t="shared" si="183"/>
        <v>0.62031715280318167</v>
      </c>
      <c r="L858" s="29">
        <f t="shared" si="189"/>
        <v>46202</v>
      </c>
      <c r="M858" s="27" t="str">
        <f t="shared" si="184"/>
        <v>Normal</v>
      </c>
      <c r="N858" s="31">
        <f t="shared" si="185"/>
        <v>5</v>
      </c>
      <c r="O858" s="27"/>
      <c r="Q858" s="8">
        <v>0.42144785608136348</v>
      </c>
      <c r="R858" s="8" t="str">
        <f t="shared" si="186"/>
        <v>On Time</v>
      </c>
      <c r="S858" s="33">
        <v>1.6522587431921929</v>
      </c>
      <c r="T858" t="s">
        <v>31</v>
      </c>
      <c r="U858" s="3">
        <v>0</v>
      </c>
      <c r="V858" s="3" t="str">
        <f t="shared" si="190"/>
        <v>Normal</v>
      </c>
      <c r="W858" s="3" t="s">
        <v>51</v>
      </c>
      <c r="X858" s="32">
        <f t="shared" si="187"/>
        <v>6.88441142992815E-2</v>
      </c>
      <c r="Z858" s="38">
        <f t="shared" si="191"/>
        <v>0</v>
      </c>
      <c r="AC858" s="36">
        <v>0.125</v>
      </c>
      <c r="AL858" t="str">
        <f t="shared" si="192"/>
        <v>Normal</v>
      </c>
      <c r="AM858" t="str">
        <f t="shared" si="193"/>
        <v>No</v>
      </c>
      <c r="AN858" t="str">
        <f t="shared" si="194"/>
        <v>Elective</v>
      </c>
      <c r="AO858" t="str">
        <f t="shared" si="195"/>
        <v>HDU</v>
      </c>
    </row>
    <row r="859" spans="1:41" x14ac:dyDescent="0.3">
      <c r="A859" s="21" t="str">
        <f t="shared" si="188"/>
        <v>UHID-00858</v>
      </c>
      <c r="B859" s="19">
        <v>52</v>
      </c>
      <c r="C859" s="11" t="s">
        <v>18</v>
      </c>
      <c r="D859" s="13" t="s">
        <v>28</v>
      </c>
      <c r="E859" s="13" t="s">
        <v>5</v>
      </c>
      <c r="F859" s="16">
        <v>46202.380863437502</v>
      </c>
      <c r="G859" s="5">
        <v>46202</v>
      </c>
      <c r="H859" s="2">
        <v>46203.6418982986</v>
      </c>
      <c r="I859" s="23">
        <v>46203</v>
      </c>
      <c r="J859" s="24">
        <f t="shared" si="182"/>
        <v>46203.532936333257</v>
      </c>
      <c r="K859" s="24">
        <f t="shared" si="183"/>
        <v>0.64189829859969905</v>
      </c>
      <c r="L859" s="29">
        <f t="shared" si="189"/>
        <v>46202</v>
      </c>
      <c r="M859" s="27" t="str">
        <f t="shared" si="184"/>
        <v>Doctor Round Delay/Report Delay</v>
      </c>
      <c r="N859" s="31">
        <f t="shared" si="185"/>
        <v>1</v>
      </c>
      <c r="O859" s="27"/>
      <c r="Q859" s="8">
        <v>0.98578049331672579</v>
      </c>
      <c r="R859" s="8" t="str">
        <f t="shared" si="186"/>
        <v>Minor Delay</v>
      </c>
      <c r="S859" s="33">
        <v>2.6150871682358545</v>
      </c>
      <c r="T859" t="s">
        <v>31</v>
      </c>
      <c r="U859" s="3">
        <v>0</v>
      </c>
      <c r="V859" s="3" t="str">
        <f t="shared" si="190"/>
        <v>Normal</v>
      </c>
      <c r="W859" s="3" t="s">
        <v>51</v>
      </c>
      <c r="X859" s="32">
        <f t="shared" si="187"/>
        <v>0.10896196534304181</v>
      </c>
      <c r="Z859" s="38">
        <f t="shared" si="191"/>
        <v>0</v>
      </c>
      <c r="AC859" s="36">
        <v>0.125</v>
      </c>
      <c r="AL859" t="str">
        <f t="shared" si="192"/>
        <v>Doctor Round Delay/Report Delay</v>
      </c>
      <c r="AM859" t="str">
        <f t="shared" si="193"/>
        <v>No</v>
      </c>
      <c r="AN859" t="str">
        <f t="shared" si="194"/>
        <v>Elective</v>
      </c>
      <c r="AO859" t="str">
        <f t="shared" si="195"/>
        <v>General Ward</v>
      </c>
    </row>
    <row r="860" spans="1:41" x14ac:dyDescent="0.3">
      <c r="A860" s="21" t="str">
        <f t="shared" si="188"/>
        <v>UHID-00859</v>
      </c>
      <c r="B860" s="18">
        <v>47</v>
      </c>
      <c r="C860" s="10" t="s">
        <v>17</v>
      </c>
      <c r="D860" s="13" t="s">
        <v>27</v>
      </c>
      <c r="E860" s="13" t="s">
        <v>0</v>
      </c>
      <c r="F860" s="15">
        <v>46170.774107824102</v>
      </c>
      <c r="G860" s="4">
        <v>46170</v>
      </c>
      <c r="H860" s="1">
        <v>46174.533373738399</v>
      </c>
      <c r="I860" s="22">
        <v>46174</v>
      </c>
      <c r="J860" s="24">
        <f t="shared" si="182"/>
        <v>46174.470540881724</v>
      </c>
      <c r="K860" s="24">
        <f t="shared" si="183"/>
        <v>0.53337373839895008</v>
      </c>
      <c r="L860" s="29">
        <f t="shared" si="189"/>
        <v>46173</v>
      </c>
      <c r="M860" s="27" t="str">
        <f t="shared" si="184"/>
        <v>Normal</v>
      </c>
      <c r="N860" s="31">
        <f t="shared" si="185"/>
        <v>4</v>
      </c>
      <c r="O860" s="27"/>
      <c r="Q860" s="8">
        <v>0.26599397137262071</v>
      </c>
      <c r="R860" s="8" t="str">
        <f t="shared" si="186"/>
        <v>On Time</v>
      </c>
      <c r="S860" s="33">
        <v>1.507988560247433</v>
      </c>
      <c r="T860" t="s">
        <v>30</v>
      </c>
      <c r="U860" s="3">
        <v>0</v>
      </c>
      <c r="V860" s="3" t="str">
        <f t="shared" si="190"/>
        <v/>
      </c>
      <c r="W860" s="3" t="s">
        <v>51</v>
      </c>
      <c r="X860" s="32">
        <f t="shared" si="187"/>
        <v>6.2832856674504001E-2</v>
      </c>
      <c r="Z860" s="38">
        <f t="shared" si="191"/>
        <v>0</v>
      </c>
      <c r="AC860" s="36">
        <v>0.125</v>
      </c>
      <c r="AL860" t="str">
        <f t="shared" si="192"/>
        <v>Normal</v>
      </c>
      <c r="AM860" t="str">
        <f t="shared" si="193"/>
        <v>No</v>
      </c>
      <c r="AN860" t="str">
        <f t="shared" si="194"/>
        <v>Emergency</v>
      </c>
      <c r="AO860" t="str">
        <f t="shared" si="195"/>
        <v>ICU</v>
      </c>
    </row>
    <row r="861" spans="1:41" x14ac:dyDescent="0.3">
      <c r="A861" s="21" t="str">
        <f t="shared" si="188"/>
        <v>UHID-00860</v>
      </c>
      <c r="B861" s="18">
        <v>69</v>
      </c>
      <c r="C861" s="10" t="s">
        <v>18</v>
      </c>
      <c r="D861" s="13" t="s">
        <v>28</v>
      </c>
      <c r="E861" s="13" t="s">
        <v>0</v>
      </c>
      <c r="F861" s="15">
        <v>46168.7517749537</v>
      </c>
      <c r="G861" s="4">
        <v>46168</v>
      </c>
      <c r="H861" s="1">
        <v>46173.5882262616</v>
      </c>
      <c r="I861" s="22">
        <v>46173</v>
      </c>
      <c r="J861" s="24">
        <f t="shared" si="182"/>
        <v>46173.467244383915</v>
      </c>
      <c r="K861" s="24">
        <f t="shared" si="183"/>
        <v>0.58822626159962965</v>
      </c>
      <c r="L861" s="29">
        <f t="shared" si="189"/>
        <v>46172</v>
      </c>
      <c r="M861" s="27" t="str">
        <f t="shared" si="184"/>
        <v>Doctor Round Delay/Report Delay</v>
      </c>
      <c r="N861" s="31">
        <f t="shared" si="185"/>
        <v>5</v>
      </c>
      <c r="O861" s="27"/>
      <c r="Q861" s="8">
        <v>0.97972896722423508</v>
      </c>
      <c r="R861" s="8" t="str">
        <f t="shared" si="186"/>
        <v>Minor Delay</v>
      </c>
      <c r="S861" s="33">
        <v>2.9035650643993001</v>
      </c>
      <c r="T861" t="s">
        <v>31</v>
      </c>
      <c r="U861" s="3">
        <v>0</v>
      </c>
      <c r="V861" s="3" t="str">
        <f t="shared" si="190"/>
        <v>Normal</v>
      </c>
      <c r="W861" s="3" t="s">
        <v>51</v>
      </c>
      <c r="X861" s="32">
        <f t="shared" si="187"/>
        <v>0.12098187768424395</v>
      </c>
      <c r="Z861" s="38">
        <f t="shared" si="191"/>
        <v>0</v>
      </c>
      <c r="AC861" s="36">
        <v>0.125</v>
      </c>
      <c r="AL861" t="str">
        <f t="shared" si="192"/>
        <v>Doctor Round Delay/Report Delay</v>
      </c>
      <c r="AM861" t="str">
        <f t="shared" si="193"/>
        <v>No</v>
      </c>
      <c r="AN861" t="str">
        <f t="shared" si="194"/>
        <v>Emergency</v>
      </c>
      <c r="AO861" t="str">
        <f t="shared" si="195"/>
        <v>ICU</v>
      </c>
    </row>
    <row r="862" spans="1:41" x14ac:dyDescent="0.3">
      <c r="A862" s="21" t="str">
        <f t="shared" si="188"/>
        <v>UHID-00861</v>
      </c>
      <c r="B862" s="18">
        <v>58</v>
      </c>
      <c r="C862" s="10" t="s">
        <v>18</v>
      </c>
      <c r="D862" s="13" t="s">
        <v>27</v>
      </c>
      <c r="E862" s="13" t="s">
        <v>0</v>
      </c>
      <c r="F862" s="15">
        <v>46167.752145879604</v>
      </c>
      <c r="G862" s="4">
        <v>46167</v>
      </c>
      <c r="H862" s="1">
        <v>46174.453043402798</v>
      </c>
      <c r="I862" s="22">
        <v>46174</v>
      </c>
      <c r="J862" s="24">
        <f t="shared" si="182"/>
        <v>46174.392106002531</v>
      </c>
      <c r="K862" s="24">
        <f t="shared" si="183"/>
        <v>0.45304340279835742</v>
      </c>
      <c r="L862" s="29">
        <f t="shared" si="189"/>
        <v>46173</v>
      </c>
      <c r="M862" s="27" t="str">
        <f t="shared" si="184"/>
        <v>Normal</v>
      </c>
      <c r="N862" s="31">
        <f t="shared" si="185"/>
        <v>7</v>
      </c>
      <c r="O862" s="27"/>
      <c r="Q862" s="8">
        <v>0.22427229159619433</v>
      </c>
      <c r="R862" s="8" t="str">
        <f t="shared" si="186"/>
        <v>On Time</v>
      </c>
      <c r="S862" s="33">
        <v>1.4624976064004764</v>
      </c>
      <c r="T862" t="s">
        <v>30</v>
      </c>
      <c r="U862" s="3">
        <v>0</v>
      </c>
      <c r="V862" s="3" t="str">
        <f t="shared" si="190"/>
        <v/>
      </c>
      <c r="W862" s="3" t="s">
        <v>51</v>
      </c>
      <c r="X862" s="32">
        <f t="shared" si="187"/>
        <v>6.0937400266993791E-2</v>
      </c>
      <c r="Z862" s="38">
        <f t="shared" si="191"/>
        <v>0</v>
      </c>
      <c r="AC862" s="36">
        <v>0.125</v>
      </c>
      <c r="AL862" t="str">
        <f t="shared" si="192"/>
        <v>Normal</v>
      </c>
      <c r="AM862" t="str">
        <f t="shared" si="193"/>
        <v>No</v>
      </c>
      <c r="AN862" t="str">
        <f t="shared" si="194"/>
        <v>Emergency</v>
      </c>
      <c r="AO862" t="str">
        <f t="shared" si="195"/>
        <v>ICU</v>
      </c>
    </row>
    <row r="863" spans="1:41" x14ac:dyDescent="0.3">
      <c r="A863" s="21" t="str">
        <f t="shared" si="188"/>
        <v>UHID-00862</v>
      </c>
      <c r="B863" s="18">
        <v>79</v>
      </c>
      <c r="C863" s="10" t="s">
        <v>18</v>
      </c>
      <c r="D863" s="13" t="s">
        <v>28</v>
      </c>
      <c r="E863" s="13" t="s">
        <v>0</v>
      </c>
      <c r="F863" s="15">
        <v>46166.657588831004</v>
      </c>
      <c r="G863" s="4">
        <v>46166</v>
      </c>
      <c r="H863" s="1">
        <v>46174.470204409699</v>
      </c>
      <c r="I863" s="22">
        <v>46174</v>
      </c>
      <c r="J863" s="24">
        <f t="shared" si="182"/>
        <v>46174.17927431831</v>
      </c>
      <c r="K863" s="24">
        <f t="shared" si="183"/>
        <v>0.47020440969936317</v>
      </c>
      <c r="L863" s="29">
        <f t="shared" si="189"/>
        <v>46173</v>
      </c>
      <c r="M863" s="27" t="str">
        <f t="shared" si="184"/>
        <v>Health Deterioration</v>
      </c>
      <c r="N863" s="31">
        <f t="shared" si="185"/>
        <v>8</v>
      </c>
      <c r="O863" s="27"/>
      <c r="Q863" s="8">
        <v>0.98540930242131342</v>
      </c>
      <c r="R863" s="8" t="str">
        <f t="shared" si="186"/>
        <v>Critical Delay</v>
      </c>
      <c r="S863" s="33">
        <v>2.9823221932832085</v>
      </c>
      <c r="T863" t="s">
        <v>31</v>
      </c>
      <c r="U863" s="3">
        <v>4</v>
      </c>
      <c r="V863" s="3" t="str">
        <f t="shared" si="190"/>
        <v>Normal</v>
      </c>
      <c r="W863" s="3" t="s">
        <v>50</v>
      </c>
      <c r="X863" s="32">
        <f t="shared" si="187"/>
        <v>0.29093009138887282</v>
      </c>
      <c r="Z863" s="38">
        <f t="shared" si="191"/>
        <v>0.16593009138887282</v>
      </c>
      <c r="AC863" s="36">
        <v>0.125</v>
      </c>
      <c r="AL863" t="str">
        <f t="shared" si="192"/>
        <v>Health Deterioration</v>
      </c>
      <c r="AM863" t="str">
        <f t="shared" si="193"/>
        <v>Yes</v>
      </c>
      <c r="AN863" t="str">
        <f t="shared" si="194"/>
        <v>Emergency</v>
      </c>
      <c r="AO863" t="str">
        <f t="shared" si="195"/>
        <v>ICU</v>
      </c>
    </row>
    <row r="864" spans="1:41" x14ac:dyDescent="0.3">
      <c r="A864" s="21" t="str">
        <f t="shared" si="188"/>
        <v>UHID-00863</v>
      </c>
      <c r="B864" s="18">
        <v>51</v>
      </c>
      <c r="C864" s="10" t="s">
        <v>17</v>
      </c>
      <c r="D864" s="13" t="s">
        <v>27</v>
      </c>
      <c r="E864" s="13" t="s">
        <v>0</v>
      </c>
      <c r="F864" s="15">
        <v>46170.947619745399</v>
      </c>
      <c r="G864" s="4">
        <v>46170</v>
      </c>
      <c r="H864" s="1">
        <v>46174.559762476798</v>
      </c>
      <c r="I864" s="22">
        <v>46174</v>
      </c>
      <c r="J864" s="24">
        <f t="shared" si="182"/>
        <v>46174.514911558923</v>
      </c>
      <c r="K864" s="24">
        <f t="shared" si="183"/>
        <v>0.55976247679791413</v>
      </c>
      <c r="L864" s="29">
        <f t="shared" si="189"/>
        <v>46173</v>
      </c>
      <c r="M864" s="27" t="str">
        <f t="shared" si="184"/>
        <v>Normal</v>
      </c>
      <c r="N864" s="31">
        <f t="shared" si="185"/>
        <v>4</v>
      </c>
      <c r="O864" s="27"/>
      <c r="Q864" s="8">
        <v>0.33106299236185244</v>
      </c>
      <c r="R864" s="8" t="str">
        <f t="shared" si="186"/>
        <v>On Time</v>
      </c>
      <c r="S864" s="33">
        <v>1.0764220289517339</v>
      </c>
      <c r="T864" t="s">
        <v>30</v>
      </c>
      <c r="U864" s="3">
        <v>0</v>
      </c>
      <c r="V864" s="3" t="str">
        <f t="shared" si="190"/>
        <v/>
      </c>
      <c r="W864" s="3" t="s">
        <v>51</v>
      </c>
      <c r="X864" s="32">
        <f t="shared" si="187"/>
        <v>4.4850917875010055E-2</v>
      </c>
      <c r="Z864" s="38">
        <f t="shared" si="191"/>
        <v>0</v>
      </c>
      <c r="AC864" s="36">
        <v>0.125</v>
      </c>
      <c r="AL864" t="str">
        <f t="shared" si="192"/>
        <v>Normal</v>
      </c>
      <c r="AM864" t="str">
        <f t="shared" si="193"/>
        <v>No</v>
      </c>
      <c r="AN864" t="str">
        <f t="shared" si="194"/>
        <v>Elective</v>
      </c>
      <c r="AO864" t="str">
        <f t="shared" si="195"/>
        <v>ICU</v>
      </c>
    </row>
    <row r="865" spans="1:41" x14ac:dyDescent="0.3">
      <c r="A865" s="21" t="str">
        <f t="shared" si="188"/>
        <v>UHID-00864</v>
      </c>
      <c r="B865" s="18">
        <v>72</v>
      </c>
      <c r="C865" s="10" t="s">
        <v>18</v>
      </c>
      <c r="D865" s="13" t="s">
        <v>26</v>
      </c>
      <c r="E865" s="13" t="s">
        <v>0</v>
      </c>
      <c r="F865" s="15">
        <v>46165.446357963003</v>
      </c>
      <c r="G865" s="4">
        <v>46165</v>
      </c>
      <c r="H865" s="1">
        <v>46174.626539722201</v>
      </c>
      <c r="I865" s="22">
        <v>46174</v>
      </c>
      <c r="J865" s="24">
        <f t="shared" si="182"/>
        <v>46174.47323503482</v>
      </c>
      <c r="K865" s="24">
        <f t="shared" si="183"/>
        <v>0.62653972220141441</v>
      </c>
      <c r="L865" s="29">
        <f t="shared" si="189"/>
        <v>46173</v>
      </c>
      <c r="M865" s="27" t="str">
        <f t="shared" si="184"/>
        <v>TPA Approval Delay</v>
      </c>
      <c r="N865" s="31">
        <f t="shared" si="185"/>
        <v>9</v>
      </c>
      <c r="O865" s="27"/>
      <c r="Q865" s="8">
        <v>0.84470532725158287</v>
      </c>
      <c r="R865" s="8" t="str">
        <f t="shared" si="186"/>
        <v>Major Delay</v>
      </c>
      <c r="S865" s="33">
        <v>3.6793124971126629</v>
      </c>
      <c r="T865" t="s">
        <v>31</v>
      </c>
      <c r="U865" s="3">
        <v>0</v>
      </c>
      <c r="V865" s="3" t="str">
        <f t="shared" si="190"/>
        <v>Normal</v>
      </c>
      <c r="W865" s="3" t="s">
        <v>51</v>
      </c>
      <c r="X865" s="32">
        <f t="shared" si="187"/>
        <v>0.15330468738102354</v>
      </c>
      <c r="Z865" s="38">
        <f t="shared" si="191"/>
        <v>2.8304687381023541E-2</v>
      </c>
      <c r="AC865" s="36">
        <v>0.125</v>
      </c>
      <c r="AL865" t="str">
        <f t="shared" si="192"/>
        <v>TPA Approval Delay</v>
      </c>
      <c r="AM865" t="str">
        <f t="shared" si="193"/>
        <v>No</v>
      </c>
      <c r="AN865" t="str">
        <f t="shared" si="194"/>
        <v>Elective</v>
      </c>
      <c r="AO865" t="str">
        <f t="shared" si="195"/>
        <v>ICU</v>
      </c>
    </row>
    <row r="866" spans="1:41" x14ac:dyDescent="0.3">
      <c r="A866" s="21" t="str">
        <f t="shared" si="188"/>
        <v>UHID-00865</v>
      </c>
      <c r="B866" s="18">
        <v>64</v>
      </c>
      <c r="C866" s="10" t="s">
        <v>18</v>
      </c>
      <c r="D866" s="13" t="s">
        <v>26</v>
      </c>
      <c r="E866" s="13" t="s">
        <v>0</v>
      </c>
      <c r="F866" s="15">
        <v>46171.814224166701</v>
      </c>
      <c r="G866" s="4">
        <v>46171</v>
      </c>
      <c r="H866" s="1">
        <v>46174.7201658333</v>
      </c>
      <c r="I866" s="22">
        <v>46174</v>
      </c>
      <c r="J866" s="24">
        <f t="shared" si="182"/>
        <v>46174.572428586114</v>
      </c>
      <c r="K866" s="24">
        <f t="shared" si="183"/>
        <v>0.72016583329968853</v>
      </c>
      <c r="L866" s="29">
        <f t="shared" si="189"/>
        <v>46173</v>
      </c>
      <c r="M866" s="27" t="str">
        <f t="shared" si="184"/>
        <v>TPA Approval Delay</v>
      </c>
      <c r="N866" s="31">
        <f t="shared" si="185"/>
        <v>3</v>
      </c>
      <c r="O866" s="27"/>
      <c r="Q866" s="8">
        <v>0.7662525026890431</v>
      </c>
      <c r="R866" s="8" t="str">
        <f t="shared" si="186"/>
        <v>Major Delay</v>
      </c>
      <c r="S866" s="33">
        <v>3.5456939323793804</v>
      </c>
      <c r="T866" t="s">
        <v>31</v>
      </c>
      <c r="U866" s="3">
        <v>0</v>
      </c>
      <c r="V866" s="3" t="str">
        <f t="shared" si="190"/>
        <v>Normal</v>
      </c>
      <c r="W866" s="3" t="s">
        <v>51</v>
      </c>
      <c r="X866" s="32">
        <f t="shared" si="187"/>
        <v>0.14773724718543235</v>
      </c>
      <c r="Z866" s="38">
        <f t="shared" si="191"/>
        <v>2.2737247185432352E-2</v>
      </c>
      <c r="AC866" s="36">
        <v>0.125</v>
      </c>
      <c r="AL866" t="str">
        <f t="shared" si="192"/>
        <v>TPA Approval Delay</v>
      </c>
      <c r="AM866" t="str">
        <f t="shared" si="193"/>
        <v>No</v>
      </c>
      <c r="AN866" t="str">
        <f t="shared" si="194"/>
        <v>Elective</v>
      </c>
      <c r="AO866" t="str">
        <f t="shared" si="195"/>
        <v>HDU</v>
      </c>
    </row>
    <row r="867" spans="1:41" x14ac:dyDescent="0.3">
      <c r="A867" s="21" t="str">
        <f t="shared" si="188"/>
        <v>UHID-00866</v>
      </c>
      <c r="B867" s="18">
        <v>34</v>
      </c>
      <c r="C867" s="10" t="s">
        <v>18</v>
      </c>
      <c r="D867" s="13" t="s">
        <v>27</v>
      </c>
      <c r="E867" s="13" t="s">
        <v>0</v>
      </c>
      <c r="F867" s="15">
        <v>46174.0957619213</v>
      </c>
      <c r="G867" s="4">
        <v>46174</v>
      </c>
      <c r="H867" s="1">
        <v>46174.687659733798</v>
      </c>
      <c r="I867" s="22">
        <v>46174</v>
      </c>
      <c r="J867" s="24">
        <f t="shared" si="182"/>
        <v>46174.496589367096</v>
      </c>
      <c r="K867" s="24">
        <f t="shared" si="183"/>
        <v>0.68765973379777279</v>
      </c>
      <c r="L867" s="29">
        <f t="shared" si="189"/>
        <v>46173</v>
      </c>
      <c r="M867" s="27" t="str">
        <f t="shared" si="184"/>
        <v>Medication Change</v>
      </c>
      <c r="N867" s="31">
        <f t="shared" si="185"/>
        <v>0</v>
      </c>
      <c r="O867" s="27"/>
      <c r="Q867" s="8">
        <v>0.40303900642823898</v>
      </c>
      <c r="R867" s="8" t="str">
        <f t="shared" si="186"/>
        <v>Major Delay</v>
      </c>
      <c r="S867" s="33">
        <v>1.5856888008305523</v>
      </c>
      <c r="T867" t="s">
        <v>31</v>
      </c>
      <c r="U867" s="3">
        <v>3</v>
      </c>
      <c r="V867" s="3" t="str">
        <f t="shared" si="190"/>
        <v>Normal</v>
      </c>
      <c r="W867" s="3" t="s">
        <v>50</v>
      </c>
      <c r="X867" s="32">
        <f t="shared" si="187"/>
        <v>0.19107036670175148</v>
      </c>
      <c r="Z867" s="38">
        <f t="shared" si="191"/>
        <v>6.6070366701751482E-2</v>
      </c>
      <c r="AC867" s="36">
        <v>0.125</v>
      </c>
      <c r="AL867" t="str">
        <f t="shared" si="192"/>
        <v>Medication Change</v>
      </c>
      <c r="AM867" t="str">
        <f t="shared" si="193"/>
        <v>No</v>
      </c>
      <c r="AN867" t="str">
        <f t="shared" si="194"/>
        <v>Elective</v>
      </c>
      <c r="AO867" t="str">
        <f t="shared" si="195"/>
        <v>HDU</v>
      </c>
    </row>
    <row r="868" spans="1:41" x14ac:dyDescent="0.3">
      <c r="A868" s="21" t="str">
        <f t="shared" si="188"/>
        <v>UHID-00867</v>
      </c>
      <c r="B868" s="18">
        <v>69</v>
      </c>
      <c r="C868" s="10" t="s">
        <v>17</v>
      </c>
      <c r="D868" s="13" t="s">
        <v>26</v>
      </c>
      <c r="E868" s="13" t="s">
        <v>0</v>
      </c>
      <c r="F868" s="15">
        <v>46171.0458177662</v>
      </c>
      <c r="G868" s="4">
        <v>46171</v>
      </c>
      <c r="H868" s="1">
        <v>46175.538550613397</v>
      </c>
      <c r="I868" s="22">
        <v>46175</v>
      </c>
      <c r="J868" s="24">
        <f t="shared" si="182"/>
        <v>46175.383498333184</v>
      </c>
      <c r="K868" s="24">
        <f t="shared" si="183"/>
        <v>0.53855061339709209</v>
      </c>
      <c r="L868" s="29">
        <f t="shared" si="189"/>
        <v>46174</v>
      </c>
      <c r="M868" s="27" t="str">
        <f t="shared" si="184"/>
        <v>TPA Approval Delay</v>
      </c>
      <c r="N868" s="31">
        <f t="shared" si="185"/>
        <v>4</v>
      </c>
      <c r="O868" s="27"/>
      <c r="Q868" s="8">
        <v>0.56852494374714135</v>
      </c>
      <c r="R868" s="8" t="str">
        <f t="shared" si="186"/>
        <v>Major Delay</v>
      </c>
      <c r="S868" s="33">
        <v>3.721254725143849</v>
      </c>
      <c r="T868" t="s">
        <v>31</v>
      </c>
      <c r="U868" s="3">
        <v>0</v>
      </c>
      <c r="V868" s="3" t="str">
        <f t="shared" si="190"/>
        <v>Normal</v>
      </c>
      <c r="W868" s="3" t="s">
        <v>51</v>
      </c>
      <c r="X868" s="32">
        <f t="shared" si="187"/>
        <v>0.15505228021356743</v>
      </c>
      <c r="Z868" s="38">
        <f t="shared" si="191"/>
        <v>3.0052280213567428E-2</v>
      </c>
      <c r="AC868" s="36">
        <v>0.125</v>
      </c>
      <c r="AL868" t="str">
        <f t="shared" si="192"/>
        <v>TPA Approval Delay</v>
      </c>
      <c r="AM868" t="str">
        <f t="shared" si="193"/>
        <v>No</v>
      </c>
      <c r="AN868" t="str">
        <f t="shared" si="194"/>
        <v>Elective</v>
      </c>
      <c r="AO868" t="str">
        <f t="shared" si="195"/>
        <v>HDU</v>
      </c>
    </row>
    <row r="869" spans="1:41" x14ac:dyDescent="0.3">
      <c r="A869" s="21" t="str">
        <f t="shared" si="188"/>
        <v>UHID-00868</v>
      </c>
      <c r="B869" s="18">
        <v>22</v>
      </c>
      <c r="C869" s="10" t="s">
        <v>17</v>
      </c>
      <c r="D869" s="13" t="s">
        <v>27</v>
      </c>
      <c r="E869" s="13" t="s">
        <v>0</v>
      </c>
      <c r="F869" s="15">
        <v>46172.033793414397</v>
      </c>
      <c r="G869" s="4">
        <v>46172</v>
      </c>
      <c r="H869" s="1">
        <v>46175.578518842602</v>
      </c>
      <c r="I869" s="22">
        <v>46175</v>
      </c>
      <c r="J869" s="24">
        <f t="shared" si="182"/>
        <v>46175.530175741653</v>
      </c>
      <c r="K869" s="24">
        <f t="shared" si="183"/>
        <v>0.57851884260162478</v>
      </c>
      <c r="L869" s="29">
        <f t="shared" si="189"/>
        <v>46174</v>
      </c>
      <c r="M869" s="27" t="str">
        <f t="shared" si="184"/>
        <v>Normal</v>
      </c>
      <c r="N869" s="31">
        <f t="shared" si="185"/>
        <v>3</v>
      </c>
      <c r="O869" s="27"/>
      <c r="Q869" s="8">
        <v>0.17200858931437912</v>
      </c>
      <c r="R869" s="8" t="str">
        <f t="shared" si="186"/>
        <v>On Time</v>
      </c>
      <c r="S869" s="33">
        <v>1.1602344228572408</v>
      </c>
      <c r="T869" t="s">
        <v>30</v>
      </c>
      <c r="U869" s="3">
        <v>0</v>
      </c>
      <c r="V869" s="3" t="str">
        <f t="shared" si="190"/>
        <v/>
      </c>
      <c r="W869" s="3" t="s">
        <v>51</v>
      </c>
      <c r="X869" s="32">
        <f t="shared" si="187"/>
        <v>4.8343100948841311E-2</v>
      </c>
      <c r="Z869" s="38">
        <f t="shared" si="191"/>
        <v>0</v>
      </c>
      <c r="AC869" s="36">
        <v>0.125</v>
      </c>
      <c r="AL869" t="str">
        <f t="shared" si="192"/>
        <v>Normal</v>
      </c>
      <c r="AM869" t="str">
        <f t="shared" si="193"/>
        <v>No</v>
      </c>
      <c r="AN869" t="str">
        <f t="shared" si="194"/>
        <v>Elective</v>
      </c>
      <c r="AO869" t="str">
        <f t="shared" si="195"/>
        <v>HDU</v>
      </c>
    </row>
    <row r="870" spans="1:41" x14ac:dyDescent="0.3">
      <c r="A870" s="21" t="str">
        <f t="shared" si="188"/>
        <v>UHID-00869</v>
      </c>
      <c r="B870" s="18">
        <v>25</v>
      </c>
      <c r="C870" s="10" t="s">
        <v>18</v>
      </c>
      <c r="D870" s="13" t="s">
        <v>26</v>
      </c>
      <c r="E870" s="13" t="s">
        <v>0</v>
      </c>
      <c r="F870" s="15">
        <v>46174.544320416702</v>
      </c>
      <c r="G870" s="4">
        <v>46174</v>
      </c>
      <c r="H870" s="1">
        <v>46175.554212835603</v>
      </c>
      <c r="I870" s="22">
        <v>46175</v>
      </c>
      <c r="J870" s="24">
        <f t="shared" si="182"/>
        <v>46175.387754662202</v>
      </c>
      <c r="K870" s="24">
        <f t="shared" si="183"/>
        <v>0.55421283560281154</v>
      </c>
      <c r="L870" s="29">
        <f t="shared" si="189"/>
        <v>46174</v>
      </c>
      <c r="M870" s="27" t="str">
        <f t="shared" si="184"/>
        <v>TPA Approval Delay</v>
      </c>
      <c r="N870" s="31">
        <f t="shared" si="185"/>
        <v>1</v>
      </c>
      <c r="O870" s="27"/>
      <c r="Q870" s="8">
        <v>0.72678768162380436</v>
      </c>
      <c r="R870" s="8" t="str">
        <f t="shared" si="186"/>
        <v>Major Delay</v>
      </c>
      <c r="S870" s="33">
        <v>3.9949961616024332</v>
      </c>
      <c r="T870" t="s">
        <v>31</v>
      </c>
      <c r="U870" s="3">
        <v>0</v>
      </c>
      <c r="V870" s="3" t="str">
        <f t="shared" si="190"/>
        <v>Normal</v>
      </c>
      <c r="W870" s="3" t="s">
        <v>51</v>
      </c>
      <c r="X870" s="32">
        <f t="shared" si="187"/>
        <v>0.16645817340031499</v>
      </c>
      <c r="Z870" s="38">
        <f t="shared" si="191"/>
        <v>4.145817340031499E-2</v>
      </c>
      <c r="AC870" s="36">
        <v>0.125</v>
      </c>
      <c r="AL870" t="str">
        <f t="shared" si="192"/>
        <v>TPA Approval Delay</v>
      </c>
      <c r="AM870" t="str">
        <f t="shared" si="193"/>
        <v>No</v>
      </c>
      <c r="AN870" t="str">
        <f t="shared" si="194"/>
        <v>Emergency</v>
      </c>
      <c r="AO870" t="str">
        <f t="shared" si="195"/>
        <v>ICU</v>
      </c>
    </row>
    <row r="871" spans="1:41" x14ac:dyDescent="0.3">
      <c r="A871" s="21" t="str">
        <f t="shared" si="188"/>
        <v>UHID-00870</v>
      </c>
      <c r="B871" s="18">
        <v>78</v>
      </c>
      <c r="C871" s="10" t="s">
        <v>17</v>
      </c>
      <c r="D871" s="13" t="s">
        <v>27</v>
      </c>
      <c r="E871" s="13" t="s">
        <v>0</v>
      </c>
      <c r="F871" s="15">
        <v>46173.666027175903</v>
      </c>
      <c r="G871" s="4">
        <v>46173</v>
      </c>
      <c r="H871" s="1">
        <v>46176.7180417708</v>
      </c>
      <c r="I871" s="22">
        <v>46176</v>
      </c>
      <c r="J871" s="24">
        <f t="shared" si="182"/>
        <v>46176.66833987322</v>
      </c>
      <c r="K871" s="24">
        <f t="shared" si="183"/>
        <v>0.71804177080048248</v>
      </c>
      <c r="L871" s="29">
        <f t="shared" si="189"/>
        <v>46175</v>
      </c>
      <c r="M871" s="27" t="str">
        <f t="shared" si="184"/>
        <v>Normal</v>
      </c>
      <c r="N871" s="31">
        <f t="shared" si="185"/>
        <v>3</v>
      </c>
      <c r="O871" s="27"/>
      <c r="Q871" s="8">
        <v>0.47144527920645452</v>
      </c>
      <c r="R871" s="8" t="str">
        <f t="shared" si="186"/>
        <v>On Time</v>
      </c>
      <c r="S871" s="33">
        <v>1.192845541948989</v>
      </c>
      <c r="T871" t="s">
        <v>31</v>
      </c>
      <c r="U871" s="3">
        <v>0</v>
      </c>
      <c r="V871" s="3" t="str">
        <f t="shared" si="190"/>
        <v>Normal</v>
      </c>
      <c r="W871" s="3" t="s">
        <v>51</v>
      </c>
      <c r="X871" s="32">
        <f t="shared" si="187"/>
        <v>4.97018975802348E-2</v>
      </c>
      <c r="Z871" s="38">
        <f t="shared" si="191"/>
        <v>0</v>
      </c>
      <c r="AC871" s="36">
        <v>0.125</v>
      </c>
      <c r="AL871" t="str">
        <f t="shared" si="192"/>
        <v>Normal</v>
      </c>
      <c r="AM871" t="str">
        <f t="shared" si="193"/>
        <v>No</v>
      </c>
      <c r="AN871" t="str">
        <f t="shared" si="194"/>
        <v>Emergency</v>
      </c>
      <c r="AO871" t="str">
        <f t="shared" si="195"/>
        <v>ICU</v>
      </c>
    </row>
    <row r="872" spans="1:41" x14ac:dyDescent="0.3">
      <c r="A872" s="21" t="str">
        <f t="shared" si="188"/>
        <v>UHID-00871</v>
      </c>
      <c r="B872" s="18">
        <v>67</v>
      </c>
      <c r="C872" s="10" t="s">
        <v>18</v>
      </c>
      <c r="D872" s="13" t="s">
        <v>27</v>
      </c>
      <c r="E872" s="13" t="s">
        <v>0</v>
      </c>
      <c r="F872" s="15">
        <v>46173.9322365509</v>
      </c>
      <c r="G872" s="4">
        <v>46173</v>
      </c>
      <c r="H872" s="1">
        <v>46176.682671620401</v>
      </c>
      <c r="I872" s="22">
        <v>46176</v>
      </c>
      <c r="J872" s="24">
        <f t="shared" si="182"/>
        <v>46176.519392168491</v>
      </c>
      <c r="K872" s="24">
        <f t="shared" si="183"/>
        <v>0.68267162040137919</v>
      </c>
      <c r="L872" s="29">
        <f t="shared" si="189"/>
        <v>46175</v>
      </c>
      <c r="M872" s="27" t="str">
        <f t="shared" si="184"/>
        <v>Medication Change</v>
      </c>
      <c r="N872" s="31">
        <f t="shared" si="185"/>
        <v>3</v>
      </c>
      <c r="O872" s="27"/>
      <c r="Q872" s="8">
        <v>0.47439532972618226</v>
      </c>
      <c r="R872" s="8" t="str">
        <f t="shared" si="186"/>
        <v>Major Delay</v>
      </c>
      <c r="S872" s="33">
        <v>1.9187068458893339</v>
      </c>
      <c r="T872" t="s">
        <v>31</v>
      </c>
      <c r="U872" s="3">
        <v>2</v>
      </c>
      <c r="V872" s="3" t="str">
        <f t="shared" si="190"/>
        <v>Normal</v>
      </c>
      <c r="W872" s="3" t="s">
        <v>50</v>
      </c>
      <c r="X872" s="32">
        <f t="shared" si="187"/>
        <v>0.16327945191005711</v>
      </c>
      <c r="Z872" s="38">
        <f t="shared" si="191"/>
        <v>3.8279451910057105E-2</v>
      </c>
      <c r="AC872" s="36">
        <v>0.125</v>
      </c>
      <c r="AL872" t="str">
        <f t="shared" si="192"/>
        <v>Medication Change</v>
      </c>
      <c r="AM872" t="str">
        <f t="shared" si="193"/>
        <v>No</v>
      </c>
      <c r="AN872" t="str">
        <f t="shared" si="194"/>
        <v>Emergency</v>
      </c>
      <c r="AO872" t="str">
        <f t="shared" si="195"/>
        <v>ICU</v>
      </c>
    </row>
    <row r="873" spans="1:41" x14ac:dyDescent="0.3">
      <c r="A873" s="21" t="str">
        <f t="shared" si="188"/>
        <v>UHID-00872</v>
      </c>
      <c r="B873" s="18">
        <v>54</v>
      </c>
      <c r="C873" s="10" t="s">
        <v>17</v>
      </c>
      <c r="D873" s="13" t="s">
        <v>27</v>
      </c>
      <c r="E873" s="13" t="s">
        <v>0</v>
      </c>
      <c r="F873" s="15">
        <v>46168.5728370949</v>
      </c>
      <c r="G873" s="4">
        <v>46168</v>
      </c>
      <c r="H873" s="1">
        <v>46176.700492581003</v>
      </c>
      <c r="I873" s="22">
        <v>46176</v>
      </c>
      <c r="J873" s="24">
        <f t="shared" si="182"/>
        <v>46176.632419604095</v>
      </c>
      <c r="K873" s="24">
        <f t="shared" si="183"/>
        <v>0.70049258100334555</v>
      </c>
      <c r="L873" s="29">
        <f t="shared" si="189"/>
        <v>46175</v>
      </c>
      <c r="M873" s="27" t="str">
        <f t="shared" si="184"/>
        <v>Normal</v>
      </c>
      <c r="N873" s="31">
        <f t="shared" si="185"/>
        <v>8</v>
      </c>
      <c r="O873" s="27"/>
      <c r="Q873" s="8">
        <v>0.35745440166985398</v>
      </c>
      <c r="R873" s="8" t="str">
        <f t="shared" si="186"/>
        <v>On Time</v>
      </c>
      <c r="S873" s="33">
        <v>1.6337514458499953</v>
      </c>
      <c r="T873" t="s">
        <v>31</v>
      </c>
      <c r="U873" s="3">
        <v>0</v>
      </c>
      <c r="V873" s="3" t="str">
        <f t="shared" si="190"/>
        <v>Normal</v>
      </c>
      <c r="W873" s="3" t="s">
        <v>51</v>
      </c>
      <c r="X873" s="32">
        <f t="shared" si="187"/>
        <v>6.8072976908297278E-2</v>
      </c>
      <c r="Z873" s="38">
        <f t="shared" si="191"/>
        <v>0</v>
      </c>
      <c r="AC873" s="36">
        <v>0.125</v>
      </c>
      <c r="AL873" t="str">
        <f t="shared" si="192"/>
        <v>Normal</v>
      </c>
      <c r="AM873" t="str">
        <f t="shared" si="193"/>
        <v>No</v>
      </c>
      <c r="AN873" t="str">
        <f t="shared" si="194"/>
        <v>Emergency</v>
      </c>
      <c r="AO873" t="str">
        <f t="shared" si="195"/>
        <v>ICU</v>
      </c>
    </row>
    <row r="874" spans="1:41" x14ac:dyDescent="0.3">
      <c r="A874" s="21" t="str">
        <f t="shared" si="188"/>
        <v>UHID-00873</v>
      </c>
      <c r="B874" s="18">
        <v>68</v>
      </c>
      <c r="C874" s="10" t="s">
        <v>18</v>
      </c>
      <c r="D874" s="13" t="s">
        <v>28</v>
      </c>
      <c r="E874" s="13" t="s">
        <v>0</v>
      </c>
      <c r="F874" s="15">
        <v>46170.925174837997</v>
      </c>
      <c r="G874" s="4">
        <v>46170</v>
      </c>
      <c r="H874" s="1">
        <v>46176.996582303203</v>
      </c>
      <c r="I874" s="22">
        <v>46176</v>
      </c>
      <c r="J874" s="24">
        <f t="shared" si="182"/>
        <v>46176.902621499765</v>
      </c>
      <c r="K874" s="24">
        <f t="shared" si="183"/>
        <v>0.99658230320346775</v>
      </c>
      <c r="L874" s="29">
        <f t="shared" si="189"/>
        <v>46175</v>
      </c>
      <c r="M874" s="27" t="str">
        <f t="shared" si="184"/>
        <v>Doctor Round Delay/Report Delay</v>
      </c>
      <c r="N874" s="31">
        <f t="shared" si="185"/>
        <v>6</v>
      </c>
      <c r="O874" s="27"/>
      <c r="Q874" s="8">
        <v>0.91030991020444252</v>
      </c>
      <c r="R874" s="8" t="str">
        <f t="shared" si="186"/>
        <v>Minor Delay</v>
      </c>
      <c r="S874" s="33">
        <v>2.2550592826017293</v>
      </c>
      <c r="T874" t="s">
        <v>31</v>
      </c>
      <c r="U874" s="3">
        <v>0</v>
      </c>
      <c r="V874" s="3" t="str">
        <f t="shared" si="190"/>
        <v>Normal</v>
      </c>
      <c r="W874" s="3" t="s">
        <v>51</v>
      </c>
      <c r="X874" s="32">
        <f t="shared" si="187"/>
        <v>9.3960803438676521E-2</v>
      </c>
      <c r="Z874" s="38">
        <f t="shared" si="191"/>
        <v>0</v>
      </c>
      <c r="AC874" s="36">
        <v>0.125</v>
      </c>
      <c r="AL874" t="str">
        <f t="shared" si="192"/>
        <v>Doctor Round Delay/Report Delay</v>
      </c>
      <c r="AM874" t="str">
        <f t="shared" si="193"/>
        <v>No</v>
      </c>
      <c r="AN874" t="str">
        <f t="shared" si="194"/>
        <v>Elective</v>
      </c>
      <c r="AO874" t="str">
        <f t="shared" si="195"/>
        <v>ICU</v>
      </c>
    </row>
    <row r="875" spans="1:41" x14ac:dyDescent="0.3">
      <c r="A875" s="21" t="str">
        <f t="shared" si="188"/>
        <v>UHID-00874</v>
      </c>
      <c r="B875" s="18">
        <v>44</v>
      </c>
      <c r="C875" s="10" t="s">
        <v>18</v>
      </c>
      <c r="D875" s="13" t="s">
        <v>27</v>
      </c>
      <c r="E875" s="13" t="s">
        <v>0</v>
      </c>
      <c r="F875" s="15">
        <v>46176.468581064801</v>
      </c>
      <c r="G875" s="4">
        <v>46176</v>
      </c>
      <c r="H875" s="1">
        <v>46177.562438449102</v>
      </c>
      <c r="I875" s="22">
        <v>46177</v>
      </c>
      <c r="J875" s="24">
        <f t="shared" si="182"/>
        <v>46177.480799835052</v>
      </c>
      <c r="K875" s="24">
        <f t="shared" si="183"/>
        <v>0.56243844910204643</v>
      </c>
      <c r="L875" s="29">
        <f t="shared" si="189"/>
        <v>46176</v>
      </c>
      <c r="M875" s="27" t="str">
        <f t="shared" si="184"/>
        <v>Normal</v>
      </c>
      <c r="N875" s="31">
        <f t="shared" si="185"/>
        <v>1</v>
      </c>
      <c r="O875" s="27"/>
      <c r="Q875" s="8">
        <v>7.6946957184066522E-2</v>
      </c>
      <c r="R875" s="8" t="str">
        <f t="shared" si="186"/>
        <v>On Time</v>
      </c>
      <c r="S875" s="33">
        <v>1.9593267372269088</v>
      </c>
      <c r="T875" t="s">
        <v>30</v>
      </c>
      <c r="U875" s="3">
        <v>0</v>
      </c>
      <c r="V875" s="3" t="str">
        <f t="shared" si="190"/>
        <v/>
      </c>
      <c r="W875" s="3" t="s">
        <v>51</v>
      </c>
      <c r="X875" s="32">
        <f t="shared" si="187"/>
        <v>8.1638614050461911E-2</v>
      </c>
      <c r="Z875" s="38">
        <f t="shared" si="191"/>
        <v>0</v>
      </c>
      <c r="AC875" s="36">
        <v>0.125</v>
      </c>
      <c r="AL875" t="str">
        <f t="shared" si="192"/>
        <v>Normal</v>
      </c>
      <c r="AM875" t="str">
        <f t="shared" si="193"/>
        <v>No</v>
      </c>
      <c r="AN875" t="str">
        <f t="shared" si="194"/>
        <v>Elective</v>
      </c>
      <c r="AO875" t="str">
        <f t="shared" si="195"/>
        <v>ICU</v>
      </c>
    </row>
    <row r="876" spans="1:41" x14ac:dyDescent="0.3">
      <c r="A876" s="21" t="str">
        <f t="shared" si="188"/>
        <v>UHID-00875</v>
      </c>
      <c r="B876" s="18">
        <v>54</v>
      </c>
      <c r="C876" s="10" t="s">
        <v>17</v>
      </c>
      <c r="D876" s="13" t="s">
        <v>27</v>
      </c>
      <c r="E876" s="13" t="s">
        <v>0</v>
      </c>
      <c r="F876" s="15">
        <v>46169.763734432898</v>
      </c>
      <c r="G876" s="4">
        <v>46169</v>
      </c>
      <c r="H876" s="1">
        <v>46177.700133148202</v>
      </c>
      <c r="I876" s="22">
        <v>46177</v>
      </c>
      <c r="J876" s="24">
        <f t="shared" si="182"/>
        <v>46177.545056364332</v>
      </c>
      <c r="K876" s="24">
        <f t="shared" si="183"/>
        <v>0.70013314820243977</v>
      </c>
      <c r="L876" s="29">
        <f t="shared" si="189"/>
        <v>46176</v>
      </c>
      <c r="M876" s="27" t="str">
        <f t="shared" si="184"/>
        <v>Medication Change</v>
      </c>
      <c r="N876" s="31">
        <f t="shared" si="185"/>
        <v>8</v>
      </c>
      <c r="O876" s="27"/>
      <c r="Q876" s="8">
        <v>0.34378554805114503</v>
      </c>
      <c r="R876" s="8" t="str">
        <f t="shared" si="186"/>
        <v>Major Delay</v>
      </c>
      <c r="S876" s="33">
        <v>1.7218428128535335</v>
      </c>
      <c r="T876" t="s">
        <v>30</v>
      </c>
      <c r="U876" s="3">
        <v>2</v>
      </c>
      <c r="V876" s="3" t="str">
        <f t="shared" si="190"/>
        <v/>
      </c>
      <c r="W876" s="3" t="s">
        <v>50</v>
      </c>
      <c r="X876" s="32">
        <f t="shared" si="187"/>
        <v>0.1550767838707543</v>
      </c>
      <c r="Z876" s="38">
        <f t="shared" si="191"/>
        <v>3.0076783870754298E-2</v>
      </c>
      <c r="AC876" s="36">
        <v>0.125</v>
      </c>
      <c r="AL876" t="str">
        <f t="shared" si="192"/>
        <v>Medication Change</v>
      </c>
      <c r="AM876" t="str">
        <f t="shared" si="193"/>
        <v>No</v>
      </c>
      <c r="AN876" t="str">
        <f t="shared" si="194"/>
        <v>Elective</v>
      </c>
      <c r="AO876" t="str">
        <f t="shared" si="195"/>
        <v>ICU</v>
      </c>
    </row>
    <row r="877" spans="1:41" x14ac:dyDescent="0.3">
      <c r="A877" s="21" t="str">
        <f t="shared" si="188"/>
        <v>UHID-00876</v>
      </c>
      <c r="B877" s="18">
        <v>46</v>
      </c>
      <c r="C877" s="10" t="s">
        <v>17</v>
      </c>
      <c r="D877" s="13" t="s">
        <v>27</v>
      </c>
      <c r="E877" s="13" t="s">
        <v>0</v>
      </c>
      <c r="F877" s="15">
        <v>46171.954398657399</v>
      </c>
      <c r="G877" s="4">
        <v>46171</v>
      </c>
      <c r="H877" s="1">
        <v>46178.536325659697</v>
      </c>
      <c r="I877" s="22">
        <v>46178</v>
      </c>
      <c r="J877" s="24">
        <f t="shared" si="182"/>
        <v>46178.462239644592</v>
      </c>
      <c r="K877" s="24">
        <f t="shared" si="183"/>
        <v>0.53632565969746793</v>
      </c>
      <c r="L877" s="29">
        <f t="shared" si="189"/>
        <v>46177</v>
      </c>
      <c r="M877" s="27" t="str">
        <f t="shared" si="184"/>
        <v>Normal</v>
      </c>
      <c r="N877" s="31">
        <f t="shared" si="185"/>
        <v>7</v>
      </c>
      <c r="O877" s="27"/>
      <c r="Q877" s="8">
        <v>0.18119194093978197</v>
      </c>
      <c r="R877" s="8" t="str">
        <f t="shared" si="186"/>
        <v>On Time</v>
      </c>
      <c r="S877" s="33">
        <v>1.7780643624546479</v>
      </c>
      <c r="T877" t="s">
        <v>30</v>
      </c>
      <c r="U877" s="3">
        <v>0</v>
      </c>
      <c r="V877" s="3" t="str">
        <f t="shared" si="190"/>
        <v/>
      </c>
      <c r="W877" s="3" t="s">
        <v>51</v>
      </c>
      <c r="X877" s="32">
        <f t="shared" si="187"/>
        <v>7.4086015105422121E-2</v>
      </c>
      <c r="Z877" s="38">
        <f t="shared" si="191"/>
        <v>0</v>
      </c>
      <c r="AC877" s="36">
        <v>0.125</v>
      </c>
      <c r="AL877" t="str">
        <f t="shared" si="192"/>
        <v>Normal</v>
      </c>
      <c r="AM877" t="str">
        <f t="shared" si="193"/>
        <v>No</v>
      </c>
      <c r="AN877" t="str">
        <f t="shared" si="194"/>
        <v>Elective</v>
      </c>
      <c r="AO877" t="str">
        <f t="shared" si="195"/>
        <v>ICU</v>
      </c>
    </row>
    <row r="878" spans="1:41" x14ac:dyDescent="0.3">
      <c r="A878" s="21" t="str">
        <f t="shared" si="188"/>
        <v>UHID-00877</v>
      </c>
      <c r="B878" s="18">
        <v>29</v>
      </c>
      <c r="C878" s="10" t="s">
        <v>18</v>
      </c>
      <c r="D878" s="13" t="s">
        <v>26</v>
      </c>
      <c r="E878" s="13" t="s">
        <v>0</v>
      </c>
      <c r="F878" s="15">
        <v>46176.328090520801</v>
      </c>
      <c r="G878" s="4">
        <v>46176</v>
      </c>
      <c r="H878" s="1">
        <v>46178.602178530098</v>
      </c>
      <c r="I878" s="22">
        <v>46178</v>
      </c>
      <c r="J878" s="24">
        <f t="shared" si="182"/>
        <v>46178.352544568981</v>
      </c>
      <c r="K878" s="24">
        <f t="shared" si="183"/>
        <v>0.6021785300981719</v>
      </c>
      <c r="L878" s="29">
        <f t="shared" si="189"/>
        <v>46177</v>
      </c>
      <c r="M878" s="27" t="str">
        <f t="shared" si="184"/>
        <v>Health Deterioration/TPA Approval Delay</v>
      </c>
      <c r="N878" s="31">
        <f t="shared" si="185"/>
        <v>2</v>
      </c>
      <c r="O878" s="27"/>
      <c r="Q878" s="8">
        <v>0.79919712564065137</v>
      </c>
      <c r="R878" s="8" t="str">
        <f t="shared" si="186"/>
        <v>Critical Delay</v>
      </c>
      <c r="S878" s="33">
        <v>3.9912150667388961</v>
      </c>
      <c r="T878" t="s">
        <v>31</v>
      </c>
      <c r="U878" s="3">
        <v>2</v>
      </c>
      <c r="V878" s="3" t="str">
        <f t="shared" si="190"/>
        <v>Normal</v>
      </c>
      <c r="W878" s="3" t="s">
        <v>50</v>
      </c>
      <c r="X878" s="32">
        <f t="shared" si="187"/>
        <v>0.2496339611170697</v>
      </c>
      <c r="Z878" s="38">
        <f t="shared" si="191"/>
        <v>0.1246339611170697</v>
      </c>
      <c r="AC878" s="36">
        <v>0.125</v>
      </c>
      <c r="AL878" t="str">
        <f t="shared" si="192"/>
        <v>Health Deterioration/TPA Approval Delay</v>
      </c>
      <c r="AM878" t="str">
        <f t="shared" si="193"/>
        <v>No</v>
      </c>
      <c r="AN878" t="str">
        <f t="shared" si="194"/>
        <v>Elective</v>
      </c>
      <c r="AO878" t="str">
        <f t="shared" si="195"/>
        <v>HDU</v>
      </c>
    </row>
    <row r="879" spans="1:41" x14ac:dyDescent="0.3">
      <c r="A879" s="21" t="str">
        <f t="shared" si="188"/>
        <v>UHID-00878</v>
      </c>
      <c r="B879" s="18">
        <v>68</v>
      </c>
      <c r="C879" s="10" t="s">
        <v>18</v>
      </c>
      <c r="D879" s="13" t="s">
        <v>28</v>
      </c>
      <c r="E879" s="13" t="s">
        <v>0</v>
      </c>
      <c r="F879" s="15">
        <v>46173.747023715303</v>
      </c>
      <c r="G879" s="4">
        <v>46173</v>
      </c>
      <c r="H879" s="1">
        <v>46179.566080023098</v>
      </c>
      <c r="I879" s="22">
        <v>46179</v>
      </c>
      <c r="J879" s="24">
        <f t="shared" si="182"/>
        <v>46179.445786986929</v>
      </c>
      <c r="K879" s="24">
        <f t="shared" si="183"/>
        <v>0.56608002309803851</v>
      </c>
      <c r="L879" s="29">
        <f t="shared" si="189"/>
        <v>46178</v>
      </c>
      <c r="M879" s="27" t="str">
        <f t="shared" si="184"/>
        <v>Doctor Round Delay/Report Delay</v>
      </c>
      <c r="N879" s="31">
        <f t="shared" si="185"/>
        <v>6</v>
      </c>
      <c r="O879" s="27"/>
      <c r="Q879" s="8">
        <v>0.90890630034445064</v>
      </c>
      <c r="R879" s="8" t="str">
        <f t="shared" si="186"/>
        <v>Minor Delay</v>
      </c>
      <c r="S879" s="33">
        <v>2.8870328680685464</v>
      </c>
      <c r="T879" t="s">
        <v>31</v>
      </c>
      <c r="U879" s="3">
        <v>0</v>
      </c>
      <c r="V879" s="3" t="str">
        <f t="shared" si="190"/>
        <v>Normal</v>
      </c>
      <c r="W879" s="3" t="s">
        <v>51</v>
      </c>
      <c r="X879" s="32">
        <f t="shared" si="187"/>
        <v>0.12029303616873221</v>
      </c>
      <c r="Z879" s="38">
        <f t="shared" si="191"/>
        <v>0</v>
      </c>
      <c r="AC879" s="36">
        <v>0.125</v>
      </c>
      <c r="AL879" t="str">
        <f t="shared" si="192"/>
        <v>Doctor Round Delay/Report Delay</v>
      </c>
      <c r="AM879" t="str">
        <f t="shared" si="193"/>
        <v>No</v>
      </c>
      <c r="AN879" t="str">
        <f t="shared" si="194"/>
        <v>Elective</v>
      </c>
      <c r="AO879" t="str">
        <f t="shared" si="195"/>
        <v>HDU</v>
      </c>
    </row>
    <row r="880" spans="1:41" x14ac:dyDescent="0.3">
      <c r="A880" s="21" t="str">
        <f t="shared" si="188"/>
        <v>UHID-00879</v>
      </c>
      <c r="B880" s="18">
        <v>56</v>
      </c>
      <c r="C880" s="10" t="s">
        <v>17</v>
      </c>
      <c r="D880" s="13" t="s">
        <v>27</v>
      </c>
      <c r="E880" s="13" t="s">
        <v>0</v>
      </c>
      <c r="F880" s="15">
        <v>46179.013362465303</v>
      </c>
      <c r="G880" s="4">
        <v>46179</v>
      </c>
      <c r="H880" s="1">
        <v>46179.645582789402</v>
      </c>
      <c r="I880" s="22">
        <v>46179</v>
      </c>
      <c r="J880" s="24">
        <f t="shared" si="182"/>
        <v>46179.594166234434</v>
      </c>
      <c r="K880" s="24">
        <f t="shared" si="183"/>
        <v>0.64558278940239688</v>
      </c>
      <c r="L880" s="29">
        <f t="shared" si="189"/>
        <v>46178</v>
      </c>
      <c r="M880" s="27" t="str">
        <f t="shared" si="184"/>
        <v>Normal</v>
      </c>
      <c r="N880" s="31">
        <f t="shared" si="185"/>
        <v>0</v>
      </c>
      <c r="O880" s="27"/>
      <c r="Q880" s="8">
        <v>8.8999688951750588E-2</v>
      </c>
      <c r="R880" s="8" t="str">
        <f t="shared" si="186"/>
        <v>On Time</v>
      </c>
      <c r="S880" s="33">
        <v>1.2339973193112566</v>
      </c>
      <c r="T880" t="s">
        <v>30</v>
      </c>
      <c r="U880" s="3">
        <v>0</v>
      </c>
      <c r="V880" s="3" t="str">
        <f t="shared" si="190"/>
        <v/>
      </c>
      <c r="W880" s="3" t="s">
        <v>51</v>
      </c>
      <c r="X880" s="32">
        <f t="shared" si="187"/>
        <v>5.1416554968454875E-2</v>
      </c>
      <c r="Z880" s="38">
        <f t="shared" si="191"/>
        <v>0</v>
      </c>
      <c r="AC880" s="36">
        <v>0.125</v>
      </c>
      <c r="AL880" t="str">
        <f t="shared" si="192"/>
        <v>Normal</v>
      </c>
      <c r="AM880" t="str">
        <f t="shared" si="193"/>
        <v>No</v>
      </c>
      <c r="AN880" t="str">
        <f t="shared" si="194"/>
        <v>Emergency</v>
      </c>
      <c r="AO880" t="str">
        <f t="shared" si="195"/>
        <v>ICU</v>
      </c>
    </row>
    <row r="881" spans="1:41" x14ac:dyDescent="0.3">
      <c r="A881" s="21" t="str">
        <f t="shared" si="188"/>
        <v>UHID-00880</v>
      </c>
      <c r="B881" s="18">
        <v>35</v>
      </c>
      <c r="C881" s="10" t="s">
        <v>17</v>
      </c>
      <c r="D881" s="13" t="s">
        <v>26</v>
      </c>
      <c r="E881" s="13" t="s">
        <v>0</v>
      </c>
      <c r="F881" s="15">
        <v>46177.472391793999</v>
      </c>
      <c r="G881" s="4">
        <v>46177</v>
      </c>
      <c r="H881" s="1">
        <v>46179.6680793056</v>
      </c>
      <c r="I881" s="22">
        <v>46179</v>
      </c>
      <c r="J881" s="24">
        <f t="shared" si="182"/>
        <v>46179.524859642508</v>
      </c>
      <c r="K881" s="24">
        <f t="shared" si="183"/>
        <v>0.66807930560025852</v>
      </c>
      <c r="L881" s="29">
        <f t="shared" si="189"/>
        <v>46178</v>
      </c>
      <c r="M881" s="27" t="str">
        <f t="shared" si="184"/>
        <v>TPA Approval Delay</v>
      </c>
      <c r="N881" s="31">
        <f t="shared" si="185"/>
        <v>2</v>
      </c>
      <c r="O881" s="27"/>
      <c r="Q881" s="8">
        <v>0.52452837236255456</v>
      </c>
      <c r="R881" s="8" t="str">
        <f t="shared" si="186"/>
        <v>Major Delay</v>
      </c>
      <c r="S881" s="33">
        <v>3.43727191428294</v>
      </c>
      <c r="T881" t="s">
        <v>31</v>
      </c>
      <c r="U881" s="3">
        <v>0</v>
      </c>
      <c r="V881" s="3" t="str">
        <f t="shared" si="190"/>
        <v>Normal</v>
      </c>
      <c r="W881" s="3" t="s">
        <v>51</v>
      </c>
      <c r="X881" s="32">
        <f t="shared" si="187"/>
        <v>0.14321966309216805</v>
      </c>
      <c r="Z881" s="38">
        <f t="shared" si="191"/>
        <v>1.8219663092168048E-2</v>
      </c>
      <c r="AC881" s="36">
        <v>0.125</v>
      </c>
      <c r="AL881" t="str">
        <f t="shared" si="192"/>
        <v>TPA Approval Delay</v>
      </c>
      <c r="AM881" t="str">
        <f t="shared" si="193"/>
        <v>No</v>
      </c>
      <c r="AN881" t="str">
        <f t="shared" si="194"/>
        <v>Emergency</v>
      </c>
      <c r="AO881" t="str">
        <f t="shared" si="195"/>
        <v>ICU</v>
      </c>
    </row>
    <row r="882" spans="1:41" x14ac:dyDescent="0.3">
      <c r="A882" s="21" t="str">
        <f t="shared" si="188"/>
        <v>UHID-00881</v>
      </c>
      <c r="B882" s="18">
        <v>42</v>
      </c>
      <c r="C882" s="10" t="s">
        <v>17</v>
      </c>
      <c r="D882" s="13" t="s">
        <v>27</v>
      </c>
      <c r="E882" s="13" t="s">
        <v>0</v>
      </c>
      <c r="F882" s="15">
        <v>46178.768257523101</v>
      </c>
      <c r="G882" s="4">
        <v>46178</v>
      </c>
      <c r="H882" s="1">
        <v>46180.716050902804</v>
      </c>
      <c r="I882" s="22">
        <v>46180</v>
      </c>
      <c r="J882" s="24">
        <f t="shared" si="182"/>
        <v>46180.548552174914</v>
      </c>
      <c r="K882" s="24">
        <f t="shared" si="183"/>
        <v>0.71605090280354489</v>
      </c>
      <c r="L882" s="29">
        <f t="shared" si="189"/>
        <v>46179</v>
      </c>
      <c r="M882" s="27" t="str">
        <f t="shared" si="184"/>
        <v>Medication Change</v>
      </c>
      <c r="N882" s="31">
        <f t="shared" si="185"/>
        <v>2</v>
      </c>
      <c r="O882" s="27"/>
      <c r="Q882" s="8">
        <v>5.2245976402595207E-2</v>
      </c>
      <c r="R882" s="8" t="str">
        <f t="shared" si="186"/>
        <v>Major Delay</v>
      </c>
      <c r="S882" s="33">
        <v>1.0199694693928079</v>
      </c>
      <c r="T882" t="s">
        <v>30</v>
      </c>
      <c r="U882" s="3">
        <v>3</v>
      </c>
      <c r="V882" s="3" t="str">
        <f t="shared" si="190"/>
        <v/>
      </c>
      <c r="W882" s="3" t="s">
        <v>50</v>
      </c>
      <c r="X882" s="32">
        <f t="shared" si="187"/>
        <v>0.16749872788932407</v>
      </c>
      <c r="Z882" s="38">
        <f t="shared" si="191"/>
        <v>4.2498727889324073E-2</v>
      </c>
      <c r="AC882" s="36">
        <v>0.125</v>
      </c>
      <c r="AL882" t="str">
        <f t="shared" si="192"/>
        <v>Medication Change</v>
      </c>
      <c r="AM882" t="str">
        <f t="shared" si="193"/>
        <v>No</v>
      </c>
      <c r="AN882" t="str">
        <f t="shared" si="194"/>
        <v>Emergency</v>
      </c>
      <c r="AO882" t="str">
        <f t="shared" si="195"/>
        <v>ICU</v>
      </c>
    </row>
    <row r="883" spans="1:41" x14ac:dyDescent="0.3">
      <c r="A883" s="21" t="str">
        <f t="shared" si="188"/>
        <v>UHID-00882</v>
      </c>
      <c r="B883" s="18">
        <v>69</v>
      </c>
      <c r="C883" s="10" t="s">
        <v>18</v>
      </c>
      <c r="D883" s="13" t="s">
        <v>26</v>
      </c>
      <c r="E883" s="13" t="s">
        <v>0</v>
      </c>
      <c r="F883" s="15">
        <v>46177.573314421301</v>
      </c>
      <c r="G883" s="4">
        <v>46177</v>
      </c>
      <c r="H883" s="1">
        <v>46180.504941088002</v>
      </c>
      <c r="I883" s="22">
        <v>46180</v>
      </c>
      <c r="J883" s="24">
        <f t="shared" si="182"/>
        <v>46180.288487568512</v>
      </c>
      <c r="K883" s="24">
        <f t="shared" si="183"/>
        <v>0.50494108800194226</v>
      </c>
      <c r="L883" s="29">
        <f t="shared" si="189"/>
        <v>46179</v>
      </c>
      <c r="M883" s="27" t="str">
        <f t="shared" si="184"/>
        <v>Health Deterioration/TPA Approval Delay</v>
      </c>
      <c r="N883" s="31">
        <f t="shared" si="185"/>
        <v>3</v>
      </c>
      <c r="O883" s="27"/>
      <c r="Q883" s="8">
        <v>0.61579817180800545</v>
      </c>
      <c r="R883" s="8" t="str">
        <f t="shared" si="186"/>
        <v>Critical Delay</v>
      </c>
      <c r="S883" s="33">
        <v>3.194884467690069</v>
      </c>
      <c r="T883" t="s">
        <v>31</v>
      </c>
      <c r="U883" s="3">
        <v>2</v>
      </c>
      <c r="V883" s="3" t="str">
        <f t="shared" si="190"/>
        <v>Normal</v>
      </c>
      <c r="W883" s="3" t="s">
        <v>50</v>
      </c>
      <c r="X883" s="32">
        <f t="shared" si="187"/>
        <v>0.21645351948973257</v>
      </c>
      <c r="Z883" s="38">
        <f t="shared" si="191"/>
        <v>9.1453519489732571E-2</v>
      </c>
      <c r="AC883" s="36">
        <v>0.125</v>
      </c>
      <c r="AL883" t="str">
        <f t="shared" si="192"/>
        <v>Health Deterioration/TPA Approval Delay</v>
      </c>
      <c r="AM883" t="str">
        <f t="shared" si="193"/>
        <v>Yes</v>
      </c>
      <c r="AN883" t="str">
        <f t="shared" si="194"/>
        <v>Emergency</v>
      </c>
      <c r="AO883" t="str">
        <f t="shared" si="195"/>
        <v>ICU</v>
      </c>
    </row>
    <row r="884" spans="1:41" x14ac:dyDescent="0.3">
      <c r="A884" s="21" t="str">
        <f t="shared" si="188"/>
        <v>UHID-00883</v>
      </c>
      <c r="B884" s="18">
        <v>38</v>
      </c>
      <c r="C884" s="10" t="s">
        <v>18</v>
      </c>
      <c r="D884" s="13" t="s">
        <v>26</v>
      </c>
      <c r="E884" s="13" t="s">
        <v>0</v>
      </c>
      <c r="F884" s="15">
        <v>46179.930576643499</v>
      </c>
      <c r="G884" s="4">
        <v>46179</v>
      </c>
      <c r="H884" s="1">
        <v>46180.692452569398</v>
      </c>
      <c r="I884" s="22">
        <v>46180</v>
      </c>
      <c r="J884" s="24">
        <f t="shared" si="182"/>
        <v>46180.444994640195</v>
      </c>
      <c r="K884" s="24">
        <f t="shared" si="183"/>
        <v>0.69245256939757382</v>
      </c>
      <c r="L884" s="29">
        <f t="shared" si="189"/>
        <v>46179</v>
      </c>
      <c r="M884" s="27" t="str">
        <f t="shared" si="184"/>
        <v>Health Deterioration/TPA Approval Delay</v>
      </c>
      <c r="N884" s="31">
        <f t="shared" si="185"/>
        <v>1</v>
      </c>
      <c r="O884" s="27"/>
      <c r="Q884" s="8">
        <v>0.626943285223036</v>
      </c>
      <c r="R884" s="8" t="str">
        <f t="shared" si="186"/>
        <v>Critical Delay</v>
      </c>
      <c r="S884" s="33">
        <v>3.9389903009505036</v>
      </c>
      <c r="T884" t="s">
        <v>31</v>
      </c>
      <c r="U884" s="3">
        <v>2</v>
      </c>
      <c r="V884" s="3" t="str">
        <f t="shared" si="190"/>
        <v>Normal</v>
      </c>
      <c r="W884" s="3" t="s">
        <v>50</v>
      </c>
      <c r="X884" s="32">
        <f t="shared" si="187"/>
        <v>0.24745792920293752</v>
      </c>
      <c r="Z884" s="38">
        <f t="shared" si="191"/>
        <v>0.12245792920293752</v>
      </c>
      <c r="AC884" s="36">
        <v>0.125</v>
      </c>
      <c r="AL884" t="str">
        <f t="shared" si="192"/>
        <v>Health Deterioration/TPA Approval Delay</v>
      </c>
      <c r="AM884" t="str">
        <f t="shared" si="193"/>
        <v>No</v>
      </c>
      <c r="AN884" t="str">
        <f t="shared" si="194"/>
        <v>Elective</v>
      </c>
      <c r="AO884" t="str">
        <f t="shared" si="195"/>
        <v>ICU</v>
      </c>
    </row>
    <row r="885" spans="1:41" x14ac:dyDescent="0.3">
      <c r="A885" s="21" t="str">
        <f t="shared" si="188"/>
        <v>UHID-00884</v>
      </c>
      <c r="B885" s="18">
        <v>28</v>
      </c>
      <c r="C885" s="10" t="s">
        <v>18</v>
      </c>
      <c r="D885" s="13" t="s">
        <v>27</v>
      </c>
      <c r="E885" s="13" t="s">
        <v>0</v>
      </c>
      <c r="F885" s="15">
        <v>46176.673259363401</v>
      </c>
      <c r="G885" s="4">
        <v>46176</v>
      </c>
      <c r="H885" s="1">
        <v>46181.454232418997</v>
      </c>
      <c r="I885" s="22">
        <v>46181</v>
      </c>
      <c r="J885" s="24">
        <f t="shared" si="182"/>
        <v>46181.380590902947</v>
      </c>
      <c r="K885" s="24">
        <f t="shared" si="183"/>
        <v>0.45423241899698041</v>
      </c>
      <c r="L885" s="29">
        <f t="shared" si="189"/>
        <v>46180</v>
      </c>
      <c r="M885" s="27" t="str">
        <f t="shared" si="184"/>
        <v>Normal</v>
      </c>
      <c r="N885" s="31">
        <f t="shared" si="185"/>
        <v>5</v>
      </c>
      <c r="O885" s="27"/>
      <c r="Q885" s="8">
        <v>0.28851993908370299</v>
      </c>
      <c r="R885" s="8" t="str">
        <f t="shared" si="186"/>
        <v>On Time</v>
      </c>
      <c r="S885" s="33">
        <v>1.7673963851635919</v>
      </c>
      <c r="T885" t="s">
        <v>30</v>
      </c>
      <c r="U885" s="3">
        <v>0</v>
      </c>
      <c r="V885" s="3" t="str">
        <f t="shared" si="190"/>
        <v/>
      </c>
      <c r="W885" s="3" t="s">
        <v>51</v>
      </c>
      <c r="X885" s="32">
        <f t="shared" si="187"/>
        <v>7.3641516049974598E-2</v>
      </c>
      <c r="Z885" s="38">
        <f t="shared" si="191"/>
        <v>0</v>
      </c>
      <c r="AC885" s="36">
        <v>0.125</v>
      </c>
      <c r="AL885" t="str">
        <f t="shared" si="192"/>
        <v>Normal</v>
      </c>
      <c r="AM885" t="str">
        <f t="shared" si="193"/>
        <v>No</v>
      </c>
      <c r="AN885" t="str">
        <f t="shared" si="194"/>
        <v>Elective</v>
      </c>
      <c r="AO885" t="str">
        <f t="shared" si="195"/>
        <v>ICU</v>
      </c>
    </row>
    <row r="886" spans="1:41" x14ac:dyDescent="0.3">
      <c r="A886" s="21" t="str">
        <f t="shared" si="188"/>
        <v>UHID-00885</v>
      </c>
      <c r="B886" s="18">
        <v>73</v>
      </c>
      <c r="C886" s="10" t="s">
        <v>18</v>
      </c>
      <c r="D886" s="13" t="s">
        <v>26</v>
      </c>
      <c r="E886" s="13" t="s">
        <v>0</v>
      </c>
      <c r="F886" s="15">
        <v>46180.325536759301</v>
      </c>
      <c r="G886" s="4">
        <v>46180</v>
      </c>
      <c r="H886" s="1">
        <v>46182.722326863397</v>
      </c>
      <c r="I886" s="22">
        <v>46182</v>
      </c>
      <c r="J886" s="24">
        <f t="shared" si="182"/>
        <v>46182.572480161136</v>
      </c>
      <c r="K886" s="24">
        <f t="shared" si="183"/>
        <v>0.72232686339702923</v>
      </c>
      <c r="L886" s="29">
        <f t="shared" si="189"/>
        <v>46181</v>
      </c>
      <c r="M886" s="27" t="str">
        <f t="shared" si="184"/>
        <v>TPA Approval Delay</v>
      </c>
      <c r="N886" s="31">
        <f t="shared" si="185"/>
        <v>2</v>
      </c>
      <c r="O886" s="27"/>
      <c r="Q886" s="8">
        <v>0.65854885451946532</v>
      </c>
      <c r="R886" s="8" t="str">
        <f t="shared" si="186"/>
        <v>Major Delay</v>
      </c>
      <c r="S886" s="33">
        <v>3.5963208542599747</v>
      </c>
      <c r="T886" t="s">
        <v>31</v>
      </c>
      <c r="U886" s="3">
        <v>0</v>
      </c>
      <c r="V886" s="3" t="str">
        <f t="shared" si="190"/>
        <v>Normal</v>
      </c>
      <c r="W886" s="3" t="s">
        <v>51</v>
      </c>
      <c r="X886" s="32">
        <f t="shared" si="187"/>
        <v>0.14984670226112939</v>
      </c>
      <c r="Z886" s="38">
        <f t="shared" si="191"/>
        <v>2.4846702261129394E-2</v>
      </c>
      <c r="AC886" s="36">
        <v>0.125</v>
      </c>
      <c r="AL886" t="str">
        <f t="shared" si="192"/>
        <v>TPA Approval Delay</v>
      </c>
      <c r="AM886" t="str">
        <f t="shared" si="193"/>
        <v>No</v>
      </c>
      <c r="AN886" t="str">
        <f t="shared" si="194"/>
        <v>Elective</v>
      </c>
      <c r="AO886" t="str">
        <f t="shared" si="195"/>
        <v>HDU</v>
      </c>
    </row>
    <row r="887" spans="1:41" x14ac:dyDescent="0.3">
      <c r="A887" s="21" t="str">
        <f t="shared" si="188"/>
        <v>UHID-00886</v>
      </c>
      <c r="B887" s="18">
        <v>49</v>
      </c>
      <c r="C887" s="10" t="s">
        <v>18</v>
      </c>
      <c r="D887" s="13" t="s">
        <v>27</v>
      </c>
      <c r="E887" s="13" t="s">
        <v>0</v>
      </c>
      <c r="F887" s="15">
        <v>46177.682464398102</v>
      </c>
      <c r="G887" s="4">
        <v>46177</v>
      </c>
      <c r="H887" s="1">
        <v>46182.5528464815</v>
      </c>
      <c r="I887" s="22">
        <v>46182</v>
      </c>
      <c r="J887" s="24">
        <f t="shared" si="182"/>
        <v>46182.332511716872</v>
      </c>
      <c r="K887" s="24">
        <f t="shared" si="183"/>
        <v>0.55284648149972782</v>
      </c>
      <c r="L887" s="29">
        <f t="shared" si="189"/>
        <v>46181</v>
      </c>
      <c r="M887" s="27" t="str">
        <f t="shared" si="184"/>
        <v>Health Deterioration</v>
      </c>
      <c r="N887" s="31">
        <f t="shared" si="185"/>
        <v>5</v>
      </c>
      <c r="O887" s="27"/>
      <c r="Q887" s="8">
        <v>0.32135990542977411</v>
      </c>
      <c r="R887" s="8" t="str">
        <f t="shared" si="186"/>
        <v>Critical Delay</v>
      </c>
      <c r="S887" s="33">
        <v>1.2880343510506078</v>
      </c>
      <c r="T887" t="s">
        <v>30</v>
      </c>
      <c r="U887" s="3">
        <v>4</v>
      </c>
      <c r="V887" s="3" t="str">
        <f t="shared" si="190"/>
        <v/>
      </c>
      <c r="W887" s="3" t="s">
        <v>50</v>
      </c>
      <c r="X887" s="32">
        <f t="shared" si="187"/>
        <v>0.22033476462820545</v>
      </c>
      <c r="Z887" s="38">
        <f t="shared" si="191"/>
        <v>9.5334764628205448E-2</v>
      </c>
      <c r="AC887" s="36">
        <v>0.125</v>
      </c>
      <c r="AL887" t="str">
        <f t="shared" si="192"/>
        <v>Health Deterioration</v>
      </c>
      <c r="AM887" t="str">
        <f t="shared" si="193"/>
        <v>No</v>
      </c>
      <c r="AN887" t="str">
        <f t="shared" si="194"/>
        <v>Elective</v>
      </c>
      <c r="AO887" t="str">
        <f t="shared" si="195"/>
        <v>HDU</v>
      </c>
    </row>
    <row r="888" spans="1:41" x14ac:dyDescent="0.3">
      <c r="A888" s="21" t="str">
        <f t="shared" si="188"/>
        <v>UHID-00887</v>
      </c>
      <c r="B888" s="18">
        <v>43</v>
      </c>
      <c r="C888" s="10" t="s">
        <v>17</v>
      </c>
      <c r="D888" s="13" t="s">
        <v>27</v>
      </c>
      <c r="E888" s="13" t="s">
        <v>0</v>
      </c>
      <c r="F888" s="15">
        <v>46178.595639270803</v>
      </c>
      <c r="G888" s="4">
        <v>46178</v>
      </c>
      <c r="H888" s="1">
        <v>46181.968055555597</v>
      </c>
      <c r="I888" s="22">
        <v>46181</v>
      </c>
      <c r="J888" s="24">
        <f t="shared" si="182"/>
        <v>46181.731733995577</v>
      </c>
      <c r="K888" s="24">
        <f t="shared" si="183"/>
        <v>0.96805555559694767</v>
      </c>
      <c r="L888" s="29">
        <f t="shared" si="189"/>
        <v>46180</v>
      </c>
      <c r="M888" s="27" t="str">
        <f t="shared" si="184"/>
        <v>Health Deterioration</v>
      </c>
      <c r="N888" s="31">
        <f t="shared" si="185"/>
        <v>3</v>
      </c>
      <c r="O888" s="27"/>
      <c r="Q888" s="8">
        <v>0.32141575728198191</v>
      </c>
      <c r="R888" s="8" t="str">
        <f t="shared" si="186"/>
        <v>Critical Delay</v>
      </c>
      <c r="S888" s="33">
        <v>1.6717174404199699</v>
      </c>
      <c r="T888" t="s">
        <v>30</v>
      </c>
      <c r="U888" s="3">
        <v>4</v>
      </c>
      <c r="V888" s="3" t="str">
        <f t="shared" si="190"/>
        <v/>
      </c>
      <c r="W888" s="3" t="s">
        <v>50</v>
      </c>
      <c r="X888" s="32">
        <f t="shared" si="187"/>
        <v>0.23632156001986004</v>
      </c>
      <c r="Z888" s="38">
        <f t="shared" si="191"/>
        <v>0.11132156001986004</v>
      </c>
      <c r="AC888" s="36">
        <v>0.125</v>
      </c>
      <c r="AL888" t="str">
        <f t="shared" si="192"/>
        <v>Health Deterioration</v>
      </c>
      <c r="AM888" t="str">
        <f t="shared" si="193"/>
        <v>No</v>
      </c>
      <c r="AN888" t="str">
        <f t="shared" si="194"/>
        <v>Elective</v>
      </c>
      <c r="AO888" t="str">
        <f t="shared" si="195"/>
        <v>HDU</v>
      </c>
    </row>
    <row r="889" spans="1:41" x14ac:dyDescent="0.3">
      <c r="A889" s="21" t="str">
        <f t="shared" si="188"/>
        <v>UHID-00888</v>
      </c>
      <c r="B889" s="18">
        <v>60</v>
      </c>
      <c r="C889" s="10" t="s">
        <v>17</v>
      </c>
      <c r="D889" s="13" t="s">
        <v>27</v>
      </c>
      <c r="E889" s="13" t="s">
        <v>0</v>
      </c>
      <c r="F889" s="15">
        <v>46176.800282719902</v>
      </c>
      <c r="G889" s="4">
        <v>46176</v>
      </c>
      <c r="H889" s="1">
        <v>46182.561465011597</v>
      </c>
      <c r="I889" s="22">
        <v>46182</v>
      </c>
      <c r="J889" s="24">
        <f t="shared" si="182"/>
        <v>46182.479243804635</v>
      </c>
      <c r="K889" s="24">
        <f t="shared" si="183"/>
        <v>0.5614650115967379</v>
      </c>
      <c r="L889" s="29">
        <f t="shared" si="189"/>
        <v>46181</v>
      </c>
      <c r="M889" s="27" t="str">
        <f t="shared" si="184"/>
        <v>Normal</v>
      </c>
      <c r="N889" s="31">
        <f t="shared" si="185"/>
        <v>6</v>
      </c>
      <c r="O889" s="27"/>
      <c r="Q889" s="8">
        <v>2.8973146606683042E-2</v>
      </c>
      <c r="R889" s="8" t="str">
        <f t="shared" si="186"/>
        <v>On Time</v>
      </c>
      <c r="S889" s="33">
        <v>1.9733089671521036</v>
      </c>
      <c r="T889" t="s">
        <v>30</v>
      </c>
      <c r="U889" s="3">
        <v>0</v>
      </c>
      <c r="V889" s="3" t="str">
        <f t="shared" si="190"/>
        <v/>
      </c>
      <c r="W889" s="3" t="s">
        <v>51</v>
      </c>
      <c r="X889" s="32">
        <f t="shared" si="187"/>
        <v>8.2221206961548887E-2</v>
      </c>
      <c r="Z889" s="38">
        <f t="shared" si="191"/>
        <v>0</v>
      </c>
      <c r="AC889" s="36">
        <v>0.125</v>
      </c>
      <c r="AL889" t="str">
        <f t="shared" si="192"/>
        <v>Normal</v>
      </c>
      <c r="AM889" t="str">
        <f t="shared" si="193"/>
        <v>No</v>
      </c>
      <c r="AN889" t="str">
        <f t="shared" si="194"/>
        <v>Elective</v>
      </c>
      <c r="AO889" t="str">
        <f t="shared" si="195"/>
        <v>HDU</v>
      </c>
    </row>
    <row r="890" spans="1:41" x14ac:dyDescent="0.3">
      <c r="A890" s="21" t="str">
        <f t="shared" si="188"/>
        <v>UHID-00889</v>
      </c>
      <c r="B890" s="18">
        <v>79</v>
      </c>
      <c r="C890" s="10" t="s">
        <v>18</v>
      </c>
      <c r="D890" s="13" t="s">
        <v>27</v>
      </c>
      <c r="E890" s="13" t="s">
        <v>0</v>
      </c>
      <c r="F890" s="15">
        <v>46173.7692639468</v>
      </c>
      <c r="G890" s="4">
        <v>46173</v>
      </c>
      <c r="H890" s="1">
        <v>46182.498138090297</v>
      </c>
      <c r="I890" s="22">
        <v>46182</v>
      </c>
      <c r="J890" s="24">
        <f t="shared" si="182"/>
        <v>46182.266390885583</v>
      </c>
      <c r="K890" s="24">
        <f t="shared" si="183"/>
        <v>0.49813809029728873</v>
      </c>
      <c r="L890" s="29">
        <f t="shared" si="189"/>
        <v>46181</v>
      </c>
      <c r="M890" s="27" t="str">
        <f t="shared" si="184"/>
        <v>Health Deterioration</v>
      </c>
      <c r="N890" s="31">
        <f t="shared" si="185"/>
        <v>9</v>
      </c>
      <c r="O890" s="27"/>
      <c r="Q890" s="8">
        <v>0.31371352416238274</v>
      </c>
      <c r="R890" s="8" t="str">
        <f t="shared" si="186"/>
        <v>Critical Delay</v>
      </c>
      <c r="S890" s="33">
        <v>1.5619329131209738</v>
      </c>
      <c r="T890" t="s">
        <v>30</v>
      </c>
      <c r="U890" s="3">
        <v>4</v>
      </c>
      <c r="V890" s="3" t="str">
        <f t="shared" si="190"/>
        <v/>
      </c>
      <c r="W890" s="3" t="s">
        <v>50</v>
      </c>
      <c r="X890" s="32">
        <f t="shared" si="187"/>
        <v>0.2317472047143383</v>
      </c>
      <c r="Z890" s="38">
        <f t="shared" si="191"/>
        <v>0.1067472047143383</v>
      </c>
      <c r="AC890" s="36">
        <v>0.125</v>
      </c>
      <c r="AL890" t="str">
        <f t="shared" si="192"/>
        <v>Health Deterioration</v>
      </c>
      <c r="AM890" t="str">
        <f t="shared" si="193"/>
        <v>Yes</v>
      </c>
      <c r="AN890" t="str">
        <f t="shared" si="194"/>
        <v>Emergency</v>
      </c>
      <c r="AO890" t="str">
        <f t="shared" si="195"/>
        <v>ICU</v>
      </c>
    </row>
    <row r="891" spans="1:41" x14ac:dyDescent="0.3">
      <c r="A891" s="21" t="str">
        <f t="shared" si="188"/>
        <v>UHID-00890</v>
      </c>
      <c r="B891" s="18">
        <v>77</v>
      </c>
      <c r="C891" s="10" t="s">
        <v>17</v>
      </c>
      <c r="D891" s="13" t="s">
        <v>26</v>
      </c>
      <c r="E891" s="13" t="s">
        <v>0</v>
      </c>
      <c r="F891" s="15">
        <v>46177.257202731496</v>
      </c>
      <c r="G891" s="4">
        <v>46177</v>
      </c>
      <c r="H891" s="1">
        <v>46182.589865034701</v>
      </c>
      <c r="I891" s="22">
        <v>46182</v>
      </c>
      <c r="J891" s="24">
        <f t="shared" si="182"/>
        <v>46182.453551546962</v>
      </c>
      <c r="K891" s="24">
        <f t="shared" si="183"/>
        <v>0.58986503470077878</v>
      </c>
      <c r="L891" s="29">
        <f t="shared" si="189"/>
        <v>46181</v>
      </c>
      <c r="M891" s="27" t="str">
        <f t="shared" si="184"/>
        <v>TPA Approval Delay</v>
      </c>
      <c r="N891" s="31">
        <f t="shared" si="185"/>
        <v>5</v>
      </c>
      <c r="O891" s="27"/>
      <c r="Q891" s="8">
        <v>0.7830298990144674</v>
      </c>
      <c r="R891" s="8" t="str">
        <f t="shared" si="186"/>
        <v>Major Delay</v>
      </c>
      <c r="S891" s="33">
        <v>3.2715237057574855</v>
      </c>
      <c r="T891" t="s">
        <v>31</v>
      </c>
      <c r="U891" s="3">
        <v>0</v>
      </c>
      <c r="V891" s="3" t="str">
        <f t="shared" si="190"/>
        <v>Normal</v>
      </c>
      <c r="W891" s="3" t="s">
        <v>51</v>
      </c>
      <c r="X891" s="32">
        <f t="shared" si="187"/>
        <v>0.13631348773924401</v>
      </c>
      <c r="Z891" s="38">
        <f t="shared" si="191"/>
        <v>1.131348773924401E-2</v>
      </c>
      <c r="AC891" s="36">
        <v>0.125</v>
      </c>
      <c r="AL891" t="str">
        <f t="shared" si="192"/>
        <v>TPA Approval Delay</v>
      </c>
      <c r="AM891" t="str">
        <f t="shared" si="193"/>
        <v>No</v>
      </c>
      <c r="AN891" t="str">
        <f t="shared" si="194"/>
        <v>Emergency</v>
      </c>
      <c r="AO891" t="str">
        <f t="shared" si="195"/>
        <v>ICU</v>
      </c>
    </row>
    <row r="892" spans="1:41" x14ac:dyDescent="0.3">
      <c r="A892" s="21" t="str">
        <f t="shared" si="188"/>
        <v>UHID-00891</v>
      </c>
      <c r="B892" s="18">
        <v>58</v>
      </c>
      <c r="C892" s="10" t="s">
        <v>18</v>
      </c>
      <c r="D892" s="13" t="s">
        <v>28</v>
      </c>
      <c r="E892" s="13" t="s">
        <v>0</v>
      </c>
      <c r="F892" s="15">
        <v>46177.983826828699</v>
      </c>
      <c r="G892" s="4">
        <v>46177</v>
      </c>
      <c r="H892" s="1">
        <v>46183.308052685199</v>
      </c>
      <c r="I892" s="22">
        <v>46183</v>
      </c>
      <c r="J892" s="24">
        <f t="shared" si="182"/>
        <v>46183.208559112623</v>
      </c>
      <c r="K892" s="24">
        <f t="shared" si="183"/>
        <v>0.30805268519907258</v>
      </c>
      <c r="L892" s="29">
        <f t="shared" si="189"/>
        <v>46182</v>
      </c>
      <c r="M892" s="27" t="str">
        <f t="shared" si="184"/>
        <v>Doctor Round Delay/Report Delay</v>
      </c>
      <c r="N892" s="31">
        <f t="shared" si="185"/>
        <v>6</v>
      </c>
      <c r="O892" s="27"/>
      <c r="Q892" s="8">
        <v>0.86639199841733894</v>
      </c>
      <c r="R892" s="8" t="str">
        <f t="shared" si="186"/>
        <v>Minor Delay</v>
      </c>
      <c r="S892" s="33">
        <v>2.3878457417755512</v>
      </c>
      <c r="T892" t="s">
        <v>31</v>
      </c>
      <c r="U892" s="3">
        <v>0</v>
      </c>
      <c r="V892" s="3" t="str">
        <f t="shared" si="190"/>
        <v>Normal</v>
      </c>
      <c r="W892" s="3" t="s">
        <v>51</v>
      </c>
      <c r="X892" s="32">
        <f t="shared" si="187"/>
        <v>9.9493572575738654E-2</v>
      </c>
      <c r="Z892" s="38">
        <f t="shared" si="191"/>
        <v>0</v>
      </c>
      <c r="AC892" s="36">
        <v>0.125</v>
      </c>
      <c r="AL892" t="str">
        <f t="shared" si="192"/>
        <v>Doctor Round Delay/Report Delay</v>
      </c>
      <c r="AM892" t="str">
        <f t="shared" si="193"/>
        <v>No</v>
      </c>
      <c r="AN892" t="str">
        <f t="shared" si="194"/>
        <v>Emergency</v>
      </c>
      <c r="AO892" t="str">
        <f t="shared" si="195"/>
        <v>ICU</v>
      </c>
    </row>
    <row r="893" spans="1:41" x14ac:dyDescent="0.3">
      <c r="A893" s="21" t="str">
        <f t="shared" si="188"/>
        <v>UHID-00892</v>
      </c>
      <c r="B893" s="18">
        <v>69</v>
      </c>
      <c r="C893" s="10" t="s">
        <v>17</v>
      </c>
      <c r="D893" s="13" t="s">
        <v>27</v>
      </c>
      <c r="E893" s="13" t="s">
        <v>0</v>
      </c>
      <c r="F893" s="15">
        <v>46176.7617877546</v>
      </c>
      <c r="G893" s="4">
        <v>46176</v>
      </c>
      <c r="H893" s="1">
        <v>46182.679802662002</v>
      </c>
      <c r="I893" s="22">
        <v>46182</v>
      </c>
      <c r="J893" s="24">
        <f t="shared" si="182"/>
        <v>46182.498869312549</v>
      </c>
      <c r="K893" s="24">
        <f t="shared" si="183"/>
        <v>0.6798026620017481</v>
      </c>
      <c r="L893" s="29">
        <f t="shared" si="189"/>
        <v>46181</v>
      </c>
      <c r="M893" s="27" t="str">
        <f t="shared" si="184"/>
        <v>Medication Change</v>
      </c>
      <c r="N893" s="31">
        <f t="shared" si="185"/>
        <v>6</v>
      </c>
      <c r="O893" s="27"/>
      <c r="Q893" s="8">
        <v>0.20361169262994394</v>
      </c>
      <c r="R893" s="8" t="str">
        <f t="shared" si="186"/>
        <v>Major Delay</v>
      </c>
      <c r="S893" s="33">
        <v>1.3424003868820145</v>
      </c>
      <c r="T893" t="s">
        <v>30</v>
      </c>
      <c r="U893" s="3">
        <v>3</v>
      </c>
      <c r="V893" s="3" t="str">
        <f t="shared" si="190"/>
        <v/>
      </c>
      <c r="W893" s="3" t="s">
        <v>50</v>
      </c>
      <c r="X893" s="32">
        <f t="shared" si="187"/>
        <v>0.18093334945297102</v>
      </c>
      <c r="Z893" s="38">
        <f t="shared" si="191"/>
        <v>5.5933349452971015E-2</v>
      </c>
      <c r="AC893" s="36">
        <v>0.125</v>
      </c>
      <c r="AL893" t="str">
        <f t="shared" si="192"/>
        <v>Medication Change</v>
      </c>
      <c r="AM893" t="str">
        <f t="shared" si="193"/>
        <v>No</v>
      </c>
      <c r="AN893" t="str">
        <f t="shared" si="194"/>
        <v>Emergency</v>
      </c>
      <c r="AO893" t="str">
        <f t="shared" si="195"/>
        <v>ICU</v>
      </c>
    </row>
    <row r="894" spans="1:41" x14ac:dyDescent="0.3">
      <c r="A894" s="21" t="str">
        <f t="shared" si="188"/>
        <v>UHID-00893</v>
      </c>
      <c r="B894" s="18">
        <v>69</v>
      </c>
      <c r="C894" s="10" t="s">
        <v>18</v>
      </c>
      <c r="D894" s="13" t="s">
        <v>27</v>
      </c>
      <c r="E894" s="13" t="s">
        <v>0</v>
      </c>
      <c r="F894" s="15">
        <v>46178.716703368103</v>
      </c>
      <c r="G894" s="4">
        <v>46178</v>
      </c>
      <c r="H894" s="1">
        <v>46183.109802638901</v>
      </c>
      <c r="I894" s="22">
        <v>46183</v>
      </c>
      <c r="J894" s="24">
        <f t="shared" si="182"/>
        <v>46183.036338631435</v>
      </c>
      <c r="K894" s="24">
        <f t="shared" si="183"/>
        <v>0.10980263890087372</v>
      </c>
      <c r="L894" s="29">
        <f t="shared" si="189"/>
        <v>46182</v>
      </c>
      <c r="M894" s="27" t="str">
        <f t="shared" si="184"/>
        <v>Normal</v>
      </c>
      <c r="N894" s="31">
        <f t="shared" si="185"/>
        <v>5</v>
      </c>
      <c r="O894" s="27"/>
      <c r="Q894" s="8">
        <v>0.22747140642458896</v>
      </c>
      <c r="R894" s="8" t="str">
        <f t="shared" si="186"/>
        <v>On Time</v>
      </c>
      <c r="S894" s="33">
        <v>1.7631361791333968</v>
      </c>
      <c r="T894" t="s">
        <v>30</v>
      </c>
      <c r="U894" s="3">
        <v>0</v>
      </c>
      <c r="V894" s="3" t="str">
        <f t="shared" si="190"/>
        <v/>
      </c>
      <c r="W894" s="3" t="s">
        <v>51</v>
      </c>
      <c r="X894" s="32">
        <f t="shared" si="187"/>
        <v>7.3464007466100156E-2</v>
      </c>
      <c r="Z894" s="38">
        <f t="shared" si="191"/>
        <v>0</v>
      </c>
      <c r="AC894" s="36">
        <v>0.125</v>
      </c>
      <c r="AL894" t="str">
        <f t="shared" si="192"/>
        <v>Normal</v>
      </c>
      <c r="AM894" t="str">
        <f t="shared" si="193"/>
        <v>No</v>
      </c>
      <c r="AN894" t="str">
        <f t="shared" si="194"/>
        <v>Elective</v>
      </c>
      <c r="AO894" t="str">
        <f t="shared" si="195"/>
        <v>ICU</v>
      </c>
    </row>
    <row r="895" spans="1:41" x14ac:dyDescent="0.3">
      <c r="A895" s="21" t="str">
        <f t="shared" si="188"/>
        <v>UHID-00894</v>
      </c>
      <c r="B895" s="18">
        <v>20</v>
      </c>
      <c r="C895" s="10" t="s">
        <v>18</v>
      </c>
      <c r="D895" s="13" t="s">
        <v>27</v>
      </c>
      <c r="E895" s="13" t="s">
        <v>0</v>
      </c>
      <c r="F895" s="15">
        <v>46182.328469108797</v>
      </c>
      <c r="G895" s="4">
        <v>46182</v>
      </c>
      <c r="H895" s="1">
        <v>46183.491024953699</v>
      </c>
      <c r="I895" s="22">
        <v>46183</v>
      </c>
      <c r="J895" s="24">
        <f t="shared" si="182"/>
        <v>46183.414861947342</v>
      </c>
      <c r="K895" s="24">
        <f t="shared" si="183"/>
        <v>0.49102495369879762</v>
      </c>
      <c r="L895" s="29">
        <f t="shared" si="189"/>
        <v>46182</v>
      </c>
      <c r="M895" s="27" t="str">
        <f t="shared" si="184"/>
        <v>Normal</v>
      </c>
      <c r="N895" s="31">
        <f t="shared" si="185"/>
        <v>1</v>
      </c>
      <c r="O895" s="27"/>
      <c r="Q895" s="8">
        <v>0.24559072822140759</v>
      </c>
      <c r="R895" s="8" t="str">
        <f t="shared" si="186"/>
        <v>On Time</v>
      </c>
      <c r="S895" s="33">
        <v>1.8279121525993891</v>
      </c>
      <c r="T895" t="s">
        <v>30</v>
      </c>
      <c r="U895" s="3">
        <v>0</v>
      </c>
      <c r="V895" s="3" t="str">
        <f t="shared" si="190"/>
        <v/>
      </c>
      <c r="W895" s="3" t="s">
        <v>51</v>
      </c>
      <c r="X895" s="32">
        <f t="shared" si="187"/>
        <v>7.6163006357091945E-2</v>
      </c>
      <c r="Z895" s="38">
        <f t="shared" si="191"/>
        <v>0</v>
      </c>
      <c r="AC895" s="36">
        <v>0.125</v>
      </c>
      <c r="AL895" t="str">
        <f t="shared" si="192"/>
        <v>Normal</v>
      </c>
      <c r="AM895" t="str">
        <f t="shared" si="193"/>
        <v>No</v>
      </c>
      <c r="AN895" t="str">
        <f t="shared" si="194"/>
        <v>Elective</v>
      </c>
      <c r="AO895" t="str">
        <f t="shared" si="195"/>
        <v>ICU</v>
      </c>
    </row>
    <row r="896" spans="1:41" x14ac:dyDescent="0.3">
      <c r="A896" s="21" t="str">
        <f t="shared" si="188"/>
        <v>UHID-00895</v>
      </c>
      <c r="B896" s="18">
        <v>48</v>
      </c>
      <c r="C896" s="10" t="s">
        <v>18</v>
      </c>
      <c r="D896" s="13" t="s">
        <v>28</v>
      </c>
      <c r="E896" s="13" t="s">
        <v>0</v>
      </c>
      <c r="F896" s="15">
        <v>46177.7812889583</v>
      </c>
      <c r="G896" s="4">
        <v>46177</v>
      </c>
      <c r="H896" s="1">
        <v>46183.524395624998</v>
      </c>
      <c r="I896" s="22">
        <v>46183</v>
      </c>
      <c r="J896" s="24">
        <f t="shared" si="182"/>
        <v>46183.432965908934</v>
      </c>
      <c r="K896" s="24">
        <f t="shared" si="183"/>
        <v>0.52439562499785097</v>
      </c>
      <c r="L896" s="29">
        <f t="shared" si="189"/>
        <v>46182</v>
      </c>
      <c r="M896" s="27" t="str">
        <f t="shared" si="184"/>
        <v>Doctor Round Delay/Report Delay</v>
      </c>
      <c r="N896" s="31">
        <f t="shared" si="185"/>
        <v>6</v>
      </c>
      <c r="O896" s="27"/>
      <c r="Q896" s="8">
        <v>0.94254757237941245</v>
      </c>
      <c r="R896" s="8" t="str">
        <f t="shared" si="186"/>
        <v>Minor Delay</v>
      </c>
      <c r="S896" s="33">
        <v>2.1943131855034119</v>
      </c>
      <c r="T896" t="s">
        <v>31</v>
      </c>
      <c r="U896" s="3">
        <v>0</v>
      </c>
      <c r="V896" s="3" t="str">
        <f t="shared" si="190"/>
        <v>Normal</v>
      </c>
      <c r="W896" s="3" t="s">
        <v>51</v>
      </c>
      <c r="X896" s="32">
        <f t="shared" si="187"/>
        <v>9.1429716063430533E-2</v>
      </c>
      <c r="Z896" s="38">
        <f t="shared" si="191"/>
        <v>0</v>
      </c>
      <c r="AC896" s="36">
        <v>0.125</v>
      </c>
      <c r="AL896" t="str">
        <f t="shared" si="192"/>
        <v>Doctor Round Delay/Report Delay</v>
      </c>
      <c r="AM896" t="str">
        <f t="shared" si="193"/>
        <v>No</v>
      </c>
      <c r="AN896" t="str">
        <f t="shared" si="194"/>
        <v>Elective</v>
      </c>
      <c r="AO896" t="str">
        <f t="shared" si="195"/>
        <v>HDU</v>
      </c>
    </row>
    <row r="897" spans="1:41" x14ac:dyDescent="0.3">
      <c r="A897" s="21" t="str">
        <f t="shared" si="188"/>
        <v>UHID-00896</v>
      </c>
      <c r="B897" s="18">
        <v>48</v>
      </c>
      <c r="C897" s="10" t="s">
        <v>17</v>
      </c>
      <c r="D897" s="13" t="s">
        <v>26</v>
      </c>
      <c r="E897" s="13" t="s">
        <v>0</v>
      </c>
      <c r="F897" s="15">
        <v>46171.725410046303</v>
      </c>
      <c r="G897" s="4">
        <v>46171</v>
      </c>
      <c r="H897" s="1">
        <v>46183.483382083301</v>
      </c>
      <c r="I897" s="22">
        <v>46183</v>
      </c>
      <c r="J897" s="24">
        <f t="shared" si="182"/>
        <v>46183.356274220008</v>
      </c>
      <c r="K897" s="24">
        <f t="shared" si="183"/>
        <v>0.48338208330096677</v>
      </c>
      <c r="L897" s="29">
        <f t="shared" si="189"/>
        <v>46182</v>
      </c>
      <c r="M897" s="27" t="str">
        <f t="shared" si="184"/>
        <v>TPA Approval Delay</v>
      </c>
      <c r="N897" s="31">
        <f t="shared" si="185"/>
        <v>12</v>
      </c>
      <c r="O897" s="27"/>
      <c r="Q897" s="8">
        <v>0.66018121124341278</v>
      </c>
      <c r="R897" s="8" t="str">
        <f t="shared" si="186"/>
        <v>Major Delay</v>
      </c>
      <c r="S897" s="33">
        <v>3.0505887189567042</v>
      </c>
      <c r="T897" t="s">
        <v>31</v>
      </c>
      <c r="U897" s="3">
        <v>0</v>
      </c>
      <c r="V897" s="3" t="str">
        <f t="shared" si="190"/>
        <v>Normal</v>
      </c>
      <c r="W897" s="3" t="s">
        <v>51</v>
      </c>
      <c r="X897" s="32">
        <f t="shared" si="187"/>
        <v>0.12710786329262191</v>
      </c>
      <c r="Z897" s="38">
        <f t="shared" si="191"/>
        <v>2.1078632926219143E-3</v>
      </c>
      <c r="AC897" s="36">
        <v>0.125</v>
      </c>
      <c r="AL897" t="str">
        <f t="shared" si="192"/>
        <v>TPA Approval Delay</v>
      </c>
      <c r="AM897" t="str">
        <f t="shared" si="193"/>
        <v>Yes</v>
      </c>
      <c r="AN897" t="str">
        <f t="shared" si="194"/>
        <v>Elective</v>
      </c>
      <c r="AO897" t="str">
        <f t="shared" si="195"/>
        <v>ICU</v>
      </c>
    </row>
    <row r="898" spans="1:41" x14ac:dyDescent="0.3">
      <c r="A898" s="21" t="str">
        <f t="shared" si="188"/>
        <v>UHID-00897</v>
      </c>
      <c r="B898" s="18">
        <v>37</v>
      </c>
      <c r="C898" s="10" t="s">
        <v>17</v>
      </c>
      <c r="D898" s="13" t="s">
        <v>28</v>
      </c>
      <c r="E898" s="13" t="s">
        <v>0</v>
      </c>
      <c r="F898" s="15">
        <v>46181.694002002303</v>
      </c>
      <c r="G898" s="4">
        <v>46181</v>
      </c>
      <c r="H898" s="1">
        <v>46184.839181875002</v>
      </c>
      <c r="I898" s="22">
        <v>46184</v>
      </c>
      <c r="J898" s="24">
        <f t="shared" ref="J898:J961" si="196">I898+K898-((S898+U898)/24)</f>
        <v>46184.736369726816</v>
      </c>
      <c r="K898" s="24">
        <f t="shared" ref="K898:K961" si="197">MOD(H898,1)</f>
        <v>0.83918187500239583</v>
      </c>
      <c r="L898" s="29">
        <f t="shared" si="189"/>
        <v>46183</v>
      </c>
      <c r="M898" s="27" t="str">
        <f t="shared" ref="M898:M961" si="198">IF(X898="","",IF(X898&lt;=TIME(2,0,0),"Normal",IF(X898&lt;=TIME(3,0,0),IF(D898="CASH","Bill Settlement Delay","Doctor Round Delay/Report Delay"),IF(X898&lt;=TIME(5,0,0),IF(D898="TPA","TPA Approval Delay","Medication Change"),IF(D898="TPA","Health Deterioration/TPA Approval Delay","Health Deterioration")))))</f>
        <v>Doctor Round Delay/Report Delay</v>
      </c>
      <c r="N898" s="31">
        <f t="shared" ref="N898:N961" si="199">I898-G898</f>
        <v>3</v>
      </c>
      <c r="O898" s="27"/>
      <c r="Q898" s="8">
        <v>0.90652524397460976</v>
      </c>
      <c r="R898" s="8" t="str">
        <f t="shared" ref="R898:R961" si="200">IF(X898="","",IF(X898&lt;=TIME(2,0,0),"On Time",IF(X898&lt;=TIME(3,0,0),"Minor Delay",IF(X898&lt;=TIME(5,0,0),"Major Delay","Critical Delay"))))</f>
        <v>Minor Delay</v>
      </c>
      <c r="S898" s="33">
        <v>2.4674915564832003</v>
      </c>
      <c r="T898" t="s">
        <v>31</v>
      </c>
      <c r="U898" s="3">
        <v>0</v>
      </c>
      <c r="V898" s="3" t="str">
        <f t="shared" si="190"/>
        <v>Normal</v>
      </c>
      <c r="W898" s="3" t="s">
        <v>51</v>
      </c>
      <c r="X898" s="32">
        <f t="shared" ref="X898:X961" si="201">MOD(K898-J898,1)</f>
        <v>0.10281214818678563</v>
      </c>
      <c r="Z898" s="38">
        <f t="shared" si="191"/>
        <v>0</v>
      </c>
      <c r="AC898" s="36">
        <v>0.125</v>
      </c>
      <c r="AL898" t="str">
        <f t="shared" si="192"/>
        <v>Doctor Round Delay/Report Delay</v>
      </c>
      <c r="AM898" t="str">
        <f t="shared" si="193"/>
        <v>No</v>
      </c>
      <c r="AN898" t="str">
        <f t="shared" si="194"/>
        <v>Elective</v>
      </c>
      <c r="AO898" t="str">
        <f t="shared" si="195"/>
        <v>HDU</v>
      </c>
    </row>
    <row r="899" spans="1:41" x14ac:dyDescent="0.3">
      <c r="A899" s="21" t="str">
        <f t="shared" ref="A899:A962" si="202">"UHID-"&amp;TEXT(ROW(A899)-1,"00000")</f>
        <v>UHID-00898</v>
      </c>
      <c r="B899" s="18">
        <v>68</v>
      </c>
      <c r="C899" s="10" t="s">
        <v>17</v>
      </c>
      <c r="D899" s="13" t="s">
        <v>28</v>
      </c>
      <c r="E899" s="13" t="s">
        <v>0</v>
      </c>
      <c r="F899" s="15">
        <v>46184.008695231503</v>
      </c>
      <c r="G899" s="4">
        <v>46184</v>
      </c>
      <c r="H899" s="1">
        <v>46185.669768854197</v>
      </c>
      <c r="I899" s="22">
        <v>46185</v>
      </c>
      <c r="J899" s="24">
        <f t="shared" si="196"/>
        <v>46185.502862992675</v>
      </c>
      <c r="K899" s="24">
        <f t="shared" si="197"/>
        <v>0.66976885419717291</v>
      </c>
      <c r="L899" s="29">
        <f t="shared" ref="L899:L962" si="203">IF(J899&gt;MOD(H899,1),INT(H899)-1,INT(H899))</f>
        <v>46184</v>
      </c>
      <c r="M899" s="27" t="str">
        <f t="shared" si="198"/>
        <v>Medication Change</v>
      </c>
      <c r="N899" s="31">
        <f t="shared" si="199"/>
        <v>1</v>
      </c>
      <c r="O899" s="27"/>
      <c r="Q899" s="8">
        <v>0.99551447538511129</v>
      </c>
      <c r="R899" s="8" t="str">
        <f t="shared" si="200"/>
        <v>Major Delay</v>
      </c>
      <c r="S899" s="33">
        <v>2.005740676500281</v>
      </c>
      <c r="T899" t="s">
        <v>31</v>
      </c>
      <c r="U899" s="3">
        <v>2</v>
      </c>
      <c r="V899" s="3" t="str">
        <f t="shared" ref="V899:V962" si="204">IF(T899="NO","Normal","")</f>
        <v>Normal</v>
      </c>
      <c r="W899" s="3" t="s">
        <v>50</v>
      </c>
      <c r="X899" s="32">
        <f t="shared" si="201"/>
        <v>0.16690586152253672</v>
      </c>
      <c r="Z899" s="38">
        <f t="shared" ref="Z899:Z962" si="205">IF(X899 &gt; TIME(3,0,0), X899 - TIME(3,0,0), 0)</f>
        <v>4.1905861522536725E-2</v>
      </c>
      <c r="AC899" s="36">
        <v>0.125</v>
      </c>
      <c r="AL899" t="str">
        <f t="shared" ref="AL899:AL962" si="206">IF(X899="","",IF(X899&lt;=TIME(2,0,0),"Normal",IF(X899&lt;=TIME(3,0,0),IF(D899="CASH","Bill Settlement Delay","Doctor Round Delay/Report Delay"),IF(Z899&lt;=TIME(2,0,0),IF(D899="TPA","TPA Approval Delay","Medication Change"),IF(D899="TPA","Health Deterioration/TPA Approval Delay","Health Deterioration")))))</f>
        <v>Medication Change</v>
      </c>
      <c r="AM899" t="str">
        <f t="shared" ref="AM899:AM962" si="207">IF(OR(AND(B899&gt;65, R899="Critical Delay"), N899&gt;10), "Yes", "No")</f>
        <v>No</v>
      </c>
      <c r="AN899" t="str">
        <f t="shared" ref="AN899:AN962" si="208">IF(E899="Cardiology &amp; Cardiothoracic", IF(MOD(ROW(),10)&lt;3, "Emergency", "Elective"), IF(E899="Neurology &amp; Neurosurgery", IF(MOD(ROW(),10)&lt;4, "Emergency", "Elective"), IF(D899="COR", IF(MOD(ROW(),20)&lt;7, "Emergency", "Elective"), IF(OR(R899="Critical Delay", N899&gt;=7), "Emergency", "Elective"))))</f>
        <v>Elective</v>
      </c>
      <c r="AO899" t="str">
        <f t="shared" ref="AO899:AO962" si="209">IF(OR(N899&gt;6, AND(E899="Cardiology &amp; Cardiothoracic", MOD(ROW(),10)&lt;4), AND(E899="Neurology &amp; Neurosurgery", MOD(ROW(),10)&lt;6)), "ICU", IF(OR(N899&gt;3, AND(E899="Cardiology &amp; Cardiothoracic", MOD(ROW(),10)&lt;6), E899="Neurology &amp; Neurosurgery"), "HDU", "General Ward"))</f>
        <v>HDU</v>
      </c>
    </row>
    <row r="900" spans="1:41" x14ac:dyDescent="0.3">
      <c r="A900" s="21" t="str">
        <f t="shared" si="202"/>
        <v>UHID-00899</v>
      </c>
      <c r="B900" s="18">
        <v>49</v>
      </c>
      <c r="C900" s="10" t="s">
        <v>18</v>
      </c>
      <c r="D900" s="13" t="s">
        <v>27</v>
      </c>
      <c r="E900" s="13" t="s">
        <v>0</v>
      </c>
      <c r="F900" s="15">
        <v>46170.814717546302</v>
      </c>
      <c r="G900" s="4">
        <v>46170</v>
      </c>
      <c r="H900" s="1">
        <v>46185.554341041701</v>
      </c>
      <c r="I900" s="22">
        <v>46185</v>
      </c>
      <c r="J900" s="24">
        <f t="shared" si="196"/>
        <v>46185.359121637928</v>
      </c>
      <c r="K900" s="24">
        <f t="shared" si="197"/>
        <v>0.55434104170126375</v>
      </c>
      <c r="L900" s="29">
        <f t="shared" si="203"/>
        <v>46184</v>
      </c>
      <c r="M900" s="27" t="str">
        <f t="shared" si="198"/>
        <v>Medication Change</v>
      </c>
      <c r="N900" s="31">
        <f t="shared" si="199"/>
        <v>15</v>
      </c>
      <c r="O900" s="27"/>
      <c r="Q900" s="8">
        <v>0.39084281448859759</v>
      </c>
      <c r="R900" s="8" t="str">
        <f t="shared" si="200"/>
        <v>Major Delay</v>
      </c>
      <c r="S900" s="33">
        <v>1.6852656905941796</v>
      </c>
      <c r="T900" t="s">
        <v>31</v>
      </c>
      <c r="U900" s="3">
        <v>3</v>
      </c>
      <c r="V900" s="3" t="str">
        <f t="shared" si="204"/>
        <v>Normal</v>
      </c>
      <c r="W900" s="3" t="s">
        <v>50</v>
      </c>
      <c r="X900" s="32">
        <f t="shared" si="201"/>
        <v>0.19521940377308056</v>
      </c>
      <c r="Z900" s="38">
        <f t="shared" si="205"/>
        <v>7.0219403773080558E-2</v>
      </c>
      <c r="AC900" s="36">
        <v>0.125</v>
      </c>
      <c r="AL900" t="str">
        <f t="shared" si="206"/>
        <v>Medication Change</v>
      </c>
      <c r="AM900" t="str">
        <f t="shared" si="207"/>
        <v>Yes</v>
      </c>
      <c r="AN900" t="str">
        <f t="shared" si="208"/>
        <v>Emergency</v>
      </c>
      <c r="AO900" t="str">
        <f t="shared" si="209"/>
        <v>ICU</v>
      </c>
    </row>
    <row r="901" spans="1:41" x14ac:dyDescent="0.3">
      <c r="A901" s="21" t="str">
        <f t="shared" si="202"/>
        <v>UHID-00900</v>
      </c>
      <c r="B901" s="18">
        <v>45</v>
      </c>
      <c r="C901" s="10" t="s">
        <v>18</v>
      </c>
      <c r="D901" s="13" t="s">
        <v>27</v>
      </c>
      <c r="E901" s="13" t="s">
        <v>0</v>
      </c>
      <c r="F901" s="15">
        <v>46185.6174149074</v>
      </c>
      <c r="G901" s="4">
        <v>46185</v>
      </c>
      <c r="H901" s="1">
        <v>46186.700209282397</v>
      </c>
      <c r="I901" s="22">
        <v>46186</v>
      </c>
      <c r="J901" s="24">
        <f t="shared" si="196"/>
        <v>46186.618817867384</v>
      </c>
      <c r="K901" s="24">
        <f t="shared" si="197"/>
        <v>0.70020928239682689</v>
      </c>
      <c r="L901" s="29">
        <f t="shared" si="203"/>
        <v>46185</v>
      </c>
      <c r="M901" s="27" t="str">
        <f t="shared" si="198"/>
        <v>Normal</v>
      </c>
      <c r="N901" s="31">
        <f t="shared" si="199"/>
        <v>1</v>
      </c>
      <c r="O901" s="27"/>
      <c r="Q901" s="8">
        <v>1.9472234676072286E-2</v>
      </c>
      <c r="R901" s="8" t="str">
        <f t="shared" si="200"/>
        <v>On Time</v>
      </c>
      <c r="S901" s="33">
        <v>1.9533939603513479</v>
      </c>
      <c r="T901" t="s">
        <v>30</v>
      </c>
      <c r="U901" s="3">
        <v>0</v>
      </c>
      <c r="V901" s="3" t="str">
        <f t="shared" si="204"/>
        <v/>
      </c>
      <c r="W901" s="3" t="s">
        <v>51</v>
      </c>
      <c r="X901" s="32">
        <f t="shared" si="201"/>
        <v>8.1391415013058577E-2</v>
      </c>
      <c r="Z901" s="38">
        <f t="shared" si="205"/>
        <v>0</v>
      </c>
      <c r="AC901" s="36">
        <v>0.125</v>
      </c>
      <c r="AL901" t="str">
        <f t="shared" si="206"/>
        <v>Normal</v>
      </c>
      <c r="AM901" t="str">
        <f t="shared" si="207"/>
        <v>No</v>
      </c>
      <c r="AN901" t="str">
        <f t="shared" si="208"/>
        <v>Emergency</v>
      </c>
      <c r="AO901" t="str">
        <f t="shared" si="209"/>
        <v>ICU</v>
      </c>
    </row>
    <row r="902" spans="1:41" x14ac:dyDescent="0.3">
      <c r="A902" s="21" t="str">
        <f t="shared" si="202"/>
        <v>UHID-00901</v>
      </c>
      <c r="B902" s="18">
        <v>65</v>
      </c>
      <c r="C902" s="10" t="s">
        <v>18</v>
      </c>
      <c r="D902" s="13" t="s">
        <v>27</v>
      </c>
      <c r="E902" s="13" t="s">
        <v>0</v>
      </c>
      <c r="F902" s="15">
        <v>46183.834580891198</v>
      </c>
      <c r="G902" s="4">
        <v>46183</v>
      </c>
      <c r="H902" s="1">
        <v>46186.661140231503</v>
      </c>
      <c r="I902" s="22">
        <v>46186</v>
      </c>
      <c r="J902" s="24">
        <f t="shared" si="196"/>
        <v>46186.580673234013</v>
      </c>
      <c r="K902" s="24">
        <f t="shared" si="197"/>
        <v>0.66114023150294088</v>
      </c>
      <c r="L902" s="29">
        <f t="shared" si="203"/>
        <v>46185</v>
      </c>
      <c r="M902" s="27" t="str">
        <f t="shared" si="198"/>
        <v>Normal</v>
      </c>
      <c r="N902" s="31">
        <f t="shared" si="199"/>
        <v>3</v>
      </c>
      <c r="O902" s="27"/>
      <c r="Q902" s="8">
        <v>0.21756655279400594</v>
      </c>
      <c r="R902" s="8" t="str">
        <f t="shared" si="200"/>
        <v>On Time</v>
      </c>
      <c r="S902" s="33">
        <v>1.9312079398148512</v>
      </c>
      <c r="T902" t="s">
        <v>30</v>
      </c>
      <c r="U902" s="3">
        <v>0</v>
      </c>
      <c r="V902" s="3" t="str">
        <f t="shared" si="204"/>
        <v/>
      </c>
      <c r="W902" s="3" t="s">
        <v>51</v>
      </c>
      <c r="X902" s="32">
        <f t="shared" si="201"/>
        <v>8.0466997489565983E-2</v>
      </c>
      <c r="Z902" s="38">
        <f t="shared" si="205"/>
        <v>0</v>
      </c>
      <c r="AC902" s="36">
        <v>0.125</v>
      </c>
      <c r="AL902" t="str">
        <f t="shared" si="206"/>
        <v>Normal</v>
      </c>
      <c r="AM902" t="str">
        <f t="shared" si="207"/>
        <v>No</v>
      </c>
      <c r="AN902" t="str">
        <f t="shared" si="208"/>
        <v>Emergency</v>
      </c>
      <c r="AO902" t="str">
        <f t="shared" si="209"/>
        <v>ICU</v>
      </c>
    </row>
    <row r="903" spans="1:41" x14ac:dyDescent="0.3">
      <c r="A903" s="21" t="str">
        <f t="shared" si="202"/>
        <v>UHID-00902</v>
      </c>
      <c r="B903" s="18">
        <v>35</v>
      </c>
      <c r="C903" s="10" t="s">
        <v>18</v>
      </c>
      <c r="D903" s="13" t="s">
        <v>27</v>
      </c>
      <c r="E903" s="13" t="s">
        <v>0</v>
      </c>
      <c r="F903" s="15">
        <v>46182.083579432903</v>
      </c>
      <c r="G903" s="4">
        <v>46182</v>
      </c>
      <c r="H903" s="1">
        <v>46186.584001747702</v>
      </c>
      <c r="I903" s="22">
        <v>46186</v>
      </c>
      <c r="J903" s="24">
        <f t="shared" si="196"/>
        <v>46186.379421319529</v>
      </c>
      <c r="K903" s="24">
        <f t="shared" si="197"/>
        <v>0.58400174770213198</v>
      </c>
      <c r="L903" s="29">
        <f t="shared" si="203"/>
        <v>46185</v>
      </c>
      <c r="M903" s="27" t="str">
        <f t="shared" si="198"/>
        <v>Medication Change</v>
      </c>
      <c r="N903" s="31">
        <f t="shared" si="199"/>
        <v>4</v>
      </c>
      <c r="O903" s="27"/>
      <c r="Q903" s="8">
        <v>0.14652271362200975</v>
      </c>
      <c r="R903" s="8" t="str">
        <f t="shared" si="200"/>
        <v>Major Delay</v>
      </c>
      <c r="S903" s="33">
        <v>1.9099302761993813</v>
      </c>
      <c r="T903" t="s">
        <v>30</v>
      </c>
      <c r="U903" s="3">
        <v>3</v>
      </c>
      <c r="V903" s="3" t="str">
        <f t="shared" si="204"/>
        <v/>
      </c>
      <c r="W903" s="3" t="s">
        <v>50</v>
      </c>
      <c r="X903" s="32">
        <f t="shared" si="201"/>
        <v>0.20458042817335809</v>
      </c>
      <c r="Z903" s="38">
        <f t="shared" si="205"/>
        <v>7.9580428173358086E-2</v>
      </c>
      <c r="AC903" s="36">
        <v>0.125</v>
      </c>
      <c r="AL903" t="str">
        <f t="shared" si="206"/>
        <v>Medication Change</v>
      </c>
      <c r="AM903" t="str">
        <f t="shared" si="207"/>
        <v>No</v>
      </c>
      <c r="AN903" t="str">
        <f t="shared" si="208"/>
        <v>Emergency</v>
      </c>
      <c r="AO903" t="str">
        <f t="shared" si="209"/>
        <v>ICU</v>
      </c>
    </row>
    <row r="904" spans="1:41" x14ac:dyDescent="0.3">
      <c r="A904" s="21" t="str">
        <f t="shared" si="202"/>
        <v>UHID-00903</v>
      </c>
      <c r="B904" s="18">
        <v>62</v>
      </c>
      <c r="C904" s="10" t="s">
        <v>17</v>
      </c>
      <c r="D904" s="13" t="s">
        <v>27</v>
      </c>
      <c r="E904" s="13" t="s">
        <v>0</v>
      </c>
      <c r="F904" s="15">
        <v>46183.711192661998</v>
      </c>
      <c r="G904" s="4">
        <v>46183</v>
      </c>
      <c r="H904" s="1">
        <v>46187.666669756902</v>
      </c>
      <c r="I904" s="22">
        <v>46187</v>
      </c>
      <c r="J904" s="24">
        <f t="shared" si="196"/>
        <v>46187.596302434009</v>
      </c>
      <c r="K904" s="24">
        <f t="shared" si="197"/>
        <v>0.66666975690168329</v>
      </c>
      <c r="L904" s="29">
        <f t="shared" si="203"/>
        <v>46186</v>
      </c>
      <c r="M904" s="27" t="str">
        <f t="shared" si="198"/>
        <v>Normal</v>
      </c>
      <c r="N904" s="31">
        <f t="shared" si="199"/>
        <v>4</v>
      </c>
      <c r="O904" s="27"/>
      <c r="Q904" s="8">
        <v>0.46590227542334128</v>
      </c>
      <c r="R904" s="8" t="str">
        <f t="shared" si="200"/>
        <v>On Time</v>
      </c>
      <c r="S904" s="33">
        <v>1.6888157493440321</v>
      </c>
      <c r="T904" t="s">
        <v>31</v>
      </c>
      <c r="U904" s="3">
        <v>0</v>
      </c>
      <c r="V904" s="3" t="str">
        <f t="shared" si="204"/>
        <v>Normal</v>
      </c>
      <c r="W904" s="3" t="s">
        <v>51</v>
      </c>
      <c r="X904" s="32">
        <f t="shared" si="201"/>
        <v>7.0367322892707307E-2</v>
      </c>
      <c r="Z904" s="38">
        <f t="shared" si="205"/>
        <v>0</v>
      </c>
      <c r="AC904" s="36">
        <v>0.125</v>
      </c>
      <c r="AL904" t="str">
        <f t="shared" si="206"/>
        <v>Normal</v>
      </c>
      <c r="AM904" t="str">
        <f t="shared" si="207"/>
        <v>No</v>
      </c>
      <c r="AN904" t="str">
        <f t="shared" si="208"/>
        <v>Elective</v>
      </c>
      <c r="AO904" t="str">
        <f t="shared" si="209"/>
        <v>ICU</v>
      </c>
    </row>
    <row r="905" spans="1:41" x14ac:dyDescent="0.3">
      <c r="A905" s="21" t="str">
        <f t="shared" si="202"/>
        <v>UHID-00904</v>
      </c>
      <c r="B905" s="18">
        <v>32</v>
      </c>
      <c r="C905" s="10" t="s">
        <v>17</v>
      </c>
      <c r="D905" s="13" t="s">
        <v>27</v>
      </c>
      <c r="E905" s="13" t="s">
        <v>0</v>
      </c>
      <c r="F905" s="15">
        <v>46185.671893611099</v>
      </c>
      <c r="G905" s="4">
        <v>46185</v>
      </c>
      <c r="H905" s="1">
        <v>46187.684804606499</v>
      </c>
      <c r="I905" s="22">
        <v>46187</v>
      </c>
      <c r="J905" s="24">
        <f t="shared" si="196"/>
        <v>46187.608349783535</v>
      </c>
      <c r="K905" s="24">
        <f t="shared" si="197"/>
        <v>0.68480460649880115</v>
      </c>
      <c r="L905" s="29">
        <f t="shared" si="203"/>
        <v>46186</v>
      </c>
      <c r="M905" s="27" t="str">
        <f t="shared" si="198"/>
        <v>Normal</v>
      </c>
      <c r="N905" s="31">
        <f t="shared" si="199"/>
        <v>2</v>
      </c>
      <c r="O905" s="27"/>
      <c r="Q905" s="8">
        <v>0.3149346006686663</v>
      </c>
      <c r="R905" s="8" t="str">
        <f t="shared" si="200"/>
        <v>On Time</v>
      </c>
      <c r="S905" s="33">
        <v>1.8349157510787264</v>
      </c>
      <c r="T905" t="s">
        <v>30</v>
      </c>
      <c r="U905" s="3">
        <v>0</v>
      </c>
      <c r="V905" s="3" t="str">
        <f t="shared" si="204"/>
        <v/>
      </c>
      <c r="W905" s="3" t="s">
        <v>51</v>
      </c>
      <c r="X905" s="32">
        <f t="shared" si="201"/>
        <v>7.6454822963569313E-2</v>
      </c>
      <c r="Z905" s="38">
        <f t="shared" si="205"/>
        <v>0</v>
      </c>
      <c r="AC905" s="36">
        <v>0.125</v>
      </c>
      <c r="AL905" t="str">
        <f t="shared" si="206"/>
        <v>Normal</v>
      </c>
      <c r="AM905" t="str">
        <f t="shared" si="207"/>
        <v>No</v>
      </c>
      <c r="AN905" t="str">
        <f t="shared" si="208"/>
        <v>Elective</v>
      </c>
      <c r="AO905" t="str">
        <f t="shared" si="209"/>
        <v>ICU</v>
      </c>
    </row>
    <row r="906" spans="1:41" x14ac:dyDescent="0.3">
      <c r="A906" s="21" t="str">
        <f t="shared" si="202"/>
        <v>UHID-00905</v>
      </c>
      <c r="B906" s="18">
        <v>49</v>
      </c>
      <c r="C906" s="10" t="s">
        <v>18</v>
      </c>
      <c r="D906" s="13" t="s">
        <v>27</v>
      </c>
      <c r="E906" s="13" t="s">
        <v>0</v>
      </c>
      <c r="F906" s="15">
        <v>46182.826868425902</v>
      </c>
      <c r="G906" s="4">
        <v>46182</v>
      </c>
      <c r="H906" s="1">
        <v>46187.660480428203</v>
      </c>
      <c r="I906" s="22">
        <v>46187</v>
      </c>
      <c r="J906" s="24">
        <f t="shared" si="196"/>
        <v>46187.616988157832</v>
      </c>
      <c r="K906" s="24">
        <f t="shared" si="197"/>
        <v>0.66048042820330011</v>
      </c>
      <c r="L906" s="29">
        <f t="shared" si="203"/>
        <v>46186</v>
      </c>
      <c r="M906" s="27" t="str">
        <f t="shared" si="198"/>
        <v>Normal</v>
      </c>
      <c r="N906" s="31">
        <f t="shared" si="199"/>
        <v>5</v>
      </c>
      <c r="O906" s="27"/>
      <c r="Q906" s="8">
        <v>0.44495524108081774</v>
      </c>
      <c r="R906" s="8" t="str">
        <f t="shared" si="200"/>
        <v>On Time</v>
      </c>
      <c r="S906" s="33">
        <v>1.043814488919486</v>
      </c>
      <c r="T906" t="s">
        <v>31</v>
      </c>
      <c r="U906" s="3">
        <v>0</v>
      </c>
      <c r="V906" s="3" t="str">
        <f t="shared" si="204"/>
        <v>Normal</v>
      </c>
      <c r="W906" s="3" t="s">
        <v>51</v>
      </c>
      <c r="X906" s="32">
        <f t="shared" si="201"/>
        <v>4.3492270371643826E-2</v>
      </c>
      <c r="Z906" s="38">
        <f t="shared" si="205"/>
        <v>0</v>
      </c>
      <c r="AC906" s="36">
        <v>0.125</v>
      </c>
      <c r="AL906" t="str">
        <f t="shared" si="206"/>
        <v>Normal</v>
      </c>
      <c r="AM906" t="str">
        <f t="shared" si="207"/>
        <v>No</v>
      </c>
      <c r="AN906" t="str">
        <f t="shared" si="208"/>
        <v>Elective</v>
      </c>
      <c r="AO906" t="str">
        <f t="shared" si="209"/>
        <v>HDU</v>
      </c>
    </row>
    <row r="907" spans="1:41" x14ac:dyDescent="0.3">
      <c r="A907" s="21" t="str">
        <f t="shared" si="202"/>
        <v>UHID-00906</v>
      </c>
      <c r="B907" s="18">
        <v>68</v>
      </c>
      <c r="C907" s="10" t="s">
        <v>18</v>
      </c>
      <c r="D907" s="13" t="s">
        <v>27</v>
      </c>
      <c r="E907" s="13" t="s">
        <v>0</v>
      </c>
      <c r="F907" s="15">
        <v>46183.176733402797</v>
      </c>
      <c r="G907" s="4">
        <v>46183</v>
      </c>
      <c r="H907" s="1">
        <v>46188.749413657402</v>
      </c>
      <c r="I907" s="22">
        <v>46188</v>
      </c>
      <c r="J907" s="24">
        <f t="shared" si="196"/>
        <v>46188.675258801813</v>
      </c>
      <c r="K907" s="24">
        <f t="shared" si="197"/>
        <v>0.74941365740232868</v>
      </c>
      <c r="L907" s="29">
        <f t="shared" si="203"/>
        <v>46187</v>
      </c>
      <c r="M907" s="27" t="str">
        <f t="shared" si="198"/>
        <v>Normal</v>
      </c>
      <c r="N907" s="31">
        <f t="shared" si="199"/>
        <v>5</v>
      </c>
      <c r="O907" s="27"/>
      <c r="Q907" s="8">
        <v>2.8554500674524697E-2</v>
      </c>
      <c r="R907" s="8" t="str">
        <f t="shared" si="200"/>
        <v>On Time</v>
      </c>
      <c r="S907" s="33">
        <v>1.7797165340707355</v>
      </c>
      <c r="T907" t="s">
        <v>30</v>
      </c>
      <c r="U907" s="3">
        <v>0</v>
      </c>
      <c r="V907" s="3" t="str">
        <f t="shared" si="204"/>
        <v/>
      </c>
      <c r="W907" s="3" t="s">
        <v>51</v>
      </c>
      <c r="X907" s="32">
        <f t="shared" si="201"/>
        <v>7.4154855588858481E-2</v>
      </c>
      <c r="Z907" s="38">
        <f t="shared" si="205"/>
        <v>0</v>
      </c>
      <c r="AC907" s="36">
        <v>0.125</v>
      </c>
      <c r="AL907" t="str">
        <f t="shared" si="206"/>
        <v>Normal</v>
      </c>
      <c r="AM907" t="str">
        <f t="shared" si="207"/>
        <v>No</v>
      </c>
      <c r="AN907" t="str">
        <f t="shared" si="208"/>
        <v>Elective</v>
      </c>
      <c r="AO907" t="str">
        <f t="shared" si="209"/>
        <v>HDU</v>
      </c>
    </row>
    <row r="908" spans="1:41" x14ac:dyDescent="0.3">
      <c r="A908" s="21" t="str">
        <f t="shared" si="202"/>
        <v>UHID-00907</v>
      </c>
      <c r="B908" s="18">
        <v>46</v>
      </c>
      <c r="C908" s="10" t="s">
        <v>18</v>
      </c>
      <c r="D908" s="13" t="s">
        <v>27</v>
      </c>
      <c r="E908" s="13" t="s">
        <v>0</v>
      </c>
      <c r="F908" s="15">
        <v>46183.4731270255</v>
      </c>
      <c r="G908" s="4">
        <v>46183</v>
      </c>
      <c r="H908" s="1">
        <v>46188.173937754596</v>
      </c>
      <c r="I908" s="22">
        <v>46188</v>
      </c>
      <c r="J908" s="24">
        <f t="shared" si="196"/>
        <v>46187.997179285965</v>
      </c>
      <c r="K908" s="24">
        <f t="shared" si="197"/>
        <v>0.17393775459640892</v>
      </c>
      <c r="L908" s="29">
        <f t="shared" si="203"/>
        <v>46187</v>
      </c>
      <c r="M908" s="27" t="str">
        <f t="shared" si="198"/>
        <v>Medication Change</v>
      </c>
      <c r="N908" s="31">
        <f t="shared" si="199"/>
        <v>5</v>
      </c>
      <c r="O908" s="27"/>
      <c r="Q908" s="8">
        <v>4.3809196427715746E-2</v>
      </c>
      <c r="R908" s="8" t="str">
        <f t="shared" si="200"/>
        <v>Major Delay</v>
      </c>
      <c r="S908" s="33">
        <v>1.2422032471985247</v>
      </c>
      <c r="T908" t="s">
        <v>30</v>
      </c>
      <c r="U908" s="3">
        <v>3</v>
      </c>
      <c r="V908" s="3" t="str">
        <f t="shared" si="204"/>
        <v/>
      </c>
      <c r="W908" s="3" t="s">
        <v>50</v>
      </c>
      <c r="X908" s="32">
        <f t="shared" si="201"/>
        <v>0.17675846863130573</v>
      </c>
      <c r="Z908" s="38">
        <f t="shared" si="205"/>
        <v>5.1758468631305732E-2</v>
      </c>
      <c r="AC908" s="36">
        <v>0.125</v>
      </c>
      <c r="AL908" t="str">
        <f t="shared" si="206"/>
        <v>Medication Change</v>
      </c>
      <c r="AM908" t="str">
        <f t="shared" si="207"/>
        <v>No</v>
      </c>
      <c r="AN908" t="str">
        <f t="shared" si="208"/>
        <v>Elective</v>
      </c>
      <c r="AO908" t="str">
        <f t="shared" si="209"/>
        <v>HDU</v>
      </c>
    </row>
    <row r="909" spans="1:41" x14ac:dyDescent="0.3">
      <c r="A909" s="21" t="str">
        <f t="shared" si="202"/>
        <v>UHID-00908</v>
      </c>
      <c r="B909" s="18">
        <v>47</v>
      </c>
      <c r="C909" s="10" t="s">
        <v>17</v>
      </c>
      <c r="D909" s="13" t="s">
        <v>27</v>
      </c>
      <c r="E909" s="13" t="s">
        <v>0</v>
      </c>
      <c r="F909" s="15">
        <v>46186.507964282398</v>
      </c>
      <c r="G909" s="4">
        <v>46186</v>
      </c>
      <c r="H909" s="1">
        <v>46188.716818078698</v>
      </c>
      <c r="I909" s="22">
        <v>46188</v>
      </c>
      <c r="J909" s="24">
        <f t="shared" si="196"/>
        <v>46188.482868532235</v>
      </c>
      <c r="K909" s="24">
        <f t="shared" si="197"/>
        <v>0.71681807869754266</v>
      </c>
      <c r="L909" s="29">
        <f t="shared" si="203"/>
        <v>46187</v>
      </c>
      <c r="M909" s="27" t="str">
        <f t="shared" si="198"/>
        <v>Health Deterioration</v>
      </c>
      <c r="N909" s="31">
        <f t="shared" si="199"/>
        <v>2</v>
      </c>
      <c r="O909" s="27"/>
      <c r="Q909" s="8">
        <v>0.43419336677928588</v>
      </c>
      <c r="R909" s="8" t="str">
        <f t="shared" si="200"/>
        <v>Critical Delay</v>
      </c>
      <c r="S909" s="33">
        <v>1.6147891151107836</v>
      </c>
      <c r="T909" t="s">
        <v>31</v>
      </c>
      <c r="U909" s="3">
        <v>4</v>
      </c>
      <c r="V909" s="3" t="str">
        <f t="shared" si="204"/>
        <v>Normal</v>
      </c>
      <c r="W909" s="3" t="s">
        <v>50</v>
      </c>
      <c r="X909" s="32">
        <f t="shared" si="201"/>
        <v>0.23394954646209953</v>
      </c>
      <c r="Z909" s="38">
        <f t="shared" si="205"/>
        <v>0.10894954646209953</v>
      </c>
      <c r="AC909" s="36">
        <v>0.125</v>
      </c>
      <c r="AL909" t="str">
        <f t="shared" si="206"/>
        <v>Health Deterioration</v>
      </c>
      <c r="AM909" t="str">
        <f t="shared" si="207"/>
        <v>No</v>
      </c>
      <c r="AN909" t="str">
        <f t="shared" si="208"/>
        <v>Elective</v>
      </c>
      <c r="AO909" t="str">
        <f t="shared" si="209"/>
        <v>HDU</v>
      </c>
    </row>
    <row r="910" spans="1:41" x14ac:dyDescent="0.3">
      <c r="A910" s="21" t="str">
        <f t="shared" si="202"/>
        <v>UHID-00909</v>
      </c>
      <c r="B910" s="18">
        <v>49</v>
      </c>
      <c r="C910" s="10" t="s">
        <v>18</v>
      </c>
      <c r="D910" s="13" t="s">
        <v>26</v>
      </c>
      <c r="E910" s="13" t="s">
        <v>0</v>
      </c>
      <c r="F910" s="15">
        <v>46183.9856210301</v>
      </c>
      <c r="G910" s="4">
        <v>46183</v>
      </c>
      <c r="H910" s="1">
        <v>46189.659225891199</v>
      </c>
      <c r="I910" s="22">
        <v>46189</v>
      </c>
      <c r="J910" s="24">
        <f t="shared" si="196"/>
        <v>46189.514331913</v>
      </c>
      <c r="K910" s="24">
        <f t="shared" si="197"/>
        <v>0.6592258911987301</v>
      </c>
      <c r="L910" s="29">
        <f t="shared" si="203"/>
        <v>46188</v>
      </c>
      <c r="M910" s="27" t="str">
        <f t="shared" si="198"/>
        <v>TPA Approval Delay</v>
      </c>
      <c r="N910" s="31">
        <f t="shared" si="199"/>
        <v>6</v>
      </c>
      <c r="O910" s="27"/>
      <c r="Q910" s="8">
        <v>0.6061298914252119</v>
      </c>
      <c r="R910" s="8" t="str">
        <f t="shared" si="200"/>
        <v>Major Delay</v>
      </c>
      <c r="S910" s="33">
        <v>3.4774554768345203</v>
      </c>
      <c r="T910" t="s">
        <v>31</v>
      </c>
      <c r="U910" s="3">
        <v>0</v>
      </c>
      <c r="V910" s="3" t="str">
        <f t="shared" si="204"/>
        <v>Normal</v>
      </c>
      <c r="W910" s="3" t="s">
        <v>51</v>
      </c>
      <c r="X910" s="32">
        <f t="shared" si="201"/>
        <v>0.14489397819852456</v>
      </c>
      <c r="Z910" s="38">
        <f t="shared" si="205"/>
        <v>1.9893978198524565E-2</v>
      </c>
      <c r="AC910" s="36">
        <v>0.125</v>
      </c>
      <c r="AL910" t="str">
        <f t="shared" si="206"/>
        <v>TPA Approval Delay</v>
      </c>
      <c r="AM910" t="str">
        <f t="shared" si="207"/>
        <v>No</v>
      </c>
      <c r="AN910" t="str">
        <f t="shared" si="208"/>
        <v>Emergency</v>
      </c>
      <c r="AO910" t="str">
        <f t="shared" si="209"/>
        <v>ICU</v>
      </c>
    </row>
    <row r="911" spans="1:41" x14ac:dyDescent="0.3">
      <c r="A911" s="21" t="str">
        <f t="shared" si="202"/>
        <v>UHID-00910</v>
      </c>
      <c r="B911" s="18">
        <v>81</v>
      </c>
      <c r="C911" s="10" t="s">
        <v>18</v>
      </c>
      <c r="D911" s="13" t="s">
        <v>27</v>
      </c>
      <c r="E911" s="13" t="s">
        <v>0</v>
      </c>
      <c r="F911" s="15">
        <v>46186.912345428202</v>
      </c>
      <c r="G911" s="4">
        <v>46186</v>
      </c>
      <c r="H911" s="1">
        <v>46189.536865000002</v>
      </c>
      <c r="I911" s="22">
        <v>46189</v>
      </c>
      <c r="J911" s="24">
        <f t="shared" si="196"/>
        <v>46189.340222358362</v>
      </c>
      <c r="K911" s="24">
        <f t="shared" si="197"/>
        <v>0.53686500000185333</v>
      </c>
      <c r="L911" s="29">
        <f t="shared" si="203"/>
        <v>46188</v>
      </c>
      <c r="M911" s="27" t="str">
        <f t="shared" si="198"/>
        <v>Medication Change</v>
      </c>
      <c r="N911" s="31">
        <f t="shared" si="199"/>
        <v>3</v>
      </c>
      <c r="O911" s="27"/>
      <c r="Q911" s="8">
        <v>0.48281105456925721</v>
      </c>
      <c r="R911" s="8" t="str">
        <f t="shared" si="200"/>
        <v>Major Delay</v>
      </c>
      <c r="S911" s="33">
        <v>1.7194233993764598</v>
      </c>
      <c r="T911" t="s">
        <v>31</v>
      </c>
      <c r="U911" s="3">
        <v>3</v>
      </c>
      <c r="V911" s="3" t="str">
        <f t="shared" si="204"/>
        <v>Normal</v>
      </c>
      <c r="W911" s="3" t="s">
        <v>50</v>
      </c>
      <c r="X911" s="32">
        <f t="shared" si="201"/>
        <v>0.19664264164021006</v>
      </c>
      <c r="Z911" s="38">
        <f t="shared" si="205"/>
        <v>7.1642641640210059E-2</v>
      </c>
      <c r="AC911" s="36">
        <v>0.125</v>
      </c>
      <c r="AL911" t="str">
        <f t="shared" si="206"/>
        <v>Medication Change</v>
      </c>
      <c r="AM911" t="str">
        <f t="shared" si="207"/>
        <v>No</v>
      </c>
      <c r="AN911" t="str">
        <f t="shared" si="208"/>
        <v>Emergency</v>
      </c>
      <c r="AO911" t="str">
        <f t="shared" si="209"/>
        <v>ICU</v>
      </c>
    </row>
    <row r="912" spans="1:41" x14ac:dyDescent="0.3">
      <c r="A912" s="21" t="str">
        <f t="shared" si="202"/>
        <v>UHID-00911</v>
      </c>
      <c r="B912" s="18">
        <v>59</v>
      </c>
      <c r="C912" s="10" t="s">
        <v>17</v>
      </c>
      <c r="D912" s="13" t="s">
        <v>26</v>
      </c>
      <c r="E912" s="13" t="s">
        <v>0</v>
      </c>
      <c r="F912" s="15">
        <v>46187.661223588002</v>
      </c>
      <c r="G912" s="4">
        <v>46187</v>
      </c>
      <c r="H912" s="1">
        <v>46189.597396446799</v>
      </c>
      <c r="I912" s="22">
        <v>46189</v>
      </c>
      <c r="J912" s="24">
        <f t="shared" si="196"/>
        <v>46189.270634494402</v>
      </c>
      <c r="K912" s="24">
        <f t="shared" si="197"/>
        <v>0.59739644679939374</v>
      </c>
      <c r="L912" s="29">
        <f t="shared" si="203"/>
        <v>46188</v>
      </c>
      <c r="M912" s="27" t="str">
        <f t="shared" si="198"/>
        <v>Health Deterioration/TPA Approval Delay</v>
      </c>
      <c r="N912" s="31">
        <f t="shared" si="199"/>
        <v>2</v>
      </c>
      <c r="O912" s="27"/>
      <c r="Q912" s="8">
        <v>0.56914156731074905</v>
      </c>
      <c r="R912" s="8" t="str">
        <f t="shared" si="200"/>
        <v>Critical Delay</v>
      </c>
      <c r="S912" s="33">
        <v>3.8422868575074638</v>
      </c>
      <c r="T912" t="s">
        <v>31</v>
      </c>
      <c r="U912" s="3">
        <v>4</v>
      </c>
      <c r="V912" s="3" t="str">
        <f t="shared" si="204"/>
        <v>Normal</v>
      </c>
      <c r="W912" s="3" t="s">
        <v>50</v>
      </c>
      <c r="X912" s="32">
        <f t="shared" si="201"/>
        <v>0.32676195239764638</v>
      </c>
      <c r="Z912" s="38">
        <f t="shared" si="205"/>
        <v>0.20176195239764638</v>
      </c>
      <c r="AC912" s="36">
        <v>0.125</v>
      </c>
      <c r="AL912" t="str">
        <f t="shared" si="206"/>
        <v>Health Deterioration/TPA Approval Delay</v>
      </c>
      <c r="AM912" t="str">
        <f t="shared" si="207"/>
        <v>No</v>
      </c>
      <c r="AN912" t="str">
        <f t="shared" si="208"/>
        <v>Emergency</v>
      </c>
      <c r="AO912" t="str">
        <f t="shared" si="209"/>
        <v>ICU</v>
      </c>
    </row>
    <row r="913" spans="1:41" x14ac:dyDescent="0.3">
      <c r="A913" s="21" t="str">
        <f t="shared" si="202"/>
        <v>UHID-00912</v>
      </c>
      <c r="B913" s="18">
        <v>53</v>
      </c>
      <c r="C913" s="10" t="s">
        <v>17</v>
      </c>
      <c r="D913" s="13" t="s">
        <v>26</v>
      </c>
      <c r="E913" s="13" t="s">
        <v>0</v>
      </c>
      <c r="F913" s="15">
        <v>46187.880770034702</v>
      </c>
      <c r="G913" s="4">
        <v>46187</v>
      </c>
      <c r="H913" s="1">
        <v>46190.527122280102</v>
      </c>
      <c r="I913" s="22">
        <v>46190</v>
      </c>
      <c r="J913" s="24">
        <f t="shared" si="196"/>
        <v>46190.395673926083</v>
      </c>
      <c r="K913" s="24">
        <f t="shared" si="197"/>
        <v>0.52712228010204853</v>
      </c>
      <c r="L913" s="29">
        <f t="shared" si="203"/>
        <v>46189</v>
      </c>
      <c r="M913" s="27" t="str">
        <f t="shared" si="198"/>
        <v>TPA Approval Delay</v>
      </c>
      <c r="N913" s="31">
        <f t="shared" si="199"/>
        <v>3</v>
      </c>
      <c r="O913" s="27"/>
      <c r="Q913" s="8">
        <v>0.69834869926345011</v>
      </c>
      <c r="R913" s="8" t="str">
        <f t="shared" si="200"/>
        <v>Major Delay</v>
      </c>
      <c r="S913" s="33">
        <v>3.1547604964624489</v>
      </c>
      <c r="T913" t="s">
        <v>31</v>
      </c>
      <c r="U913" s="3">
        <v>0</v>
      </c>
      <c r="V913" s="3" t="str">
        <f t="shared" si="204"/>
        <v>Normal</v>
      </c>
      <c r="W913" s="3" t="s">
        <v>51</v>
      </c>
      <c r="X913" s="32">
        <f t="shared" si="201"/>
        <v>0.13144835401908495</v>
      </c>
      <c r="Z913" s="38">
        <f t="shared" si="205"/>
        <v>6.4483540190849453E-3</v>
      </c>
      <c r="AC913" s="36">
        <v>0.125</v>
      </c>
      <c r="AL913" t="str">
        <f t="shared" si="206"/>
        <v>TPA Approval Delay</v>
      </c>
      <c r="AM913" t="str">
        <f t="shared" si="207"/>
        <v>No</v>
      </c>
      <c r="AN913" t="str">
        <f t="shared" si="208"/>
        <v>Emergency</v>
      </c>
      <c r="AO913" t="str">
        <f t="shared" si="209"/>
        <v>ICU</v>
      </c>
    </row>
    <row r="914" spans="1:41" x14ac:dyDescent="0.3">
      <c r="A914" s="21" t="str">
        <f t="shared" si="202"/>
        <v>UHID-00913</v>
      </c>
      <c r="B914" s="18">
        <v>63</v>
      </c>
      <c r="C914" s="10" t="s">
        <v>18</v>
      </c>
      <c r="D914" s="13" t="s">
        <v>26</v>
      </c>
      <c r="E914" s="13" t="s">
        <v>0</v>
      </c>
      <c r="F914" s="15">
        <v>46168.110930289396</v>
      </c>
      <c r="G914" s="4">
        <v>46168</v>
      </c>
      <c r="H914" s="1">
        <v>46188.654912013903</v>
      </c>
      <c r="I914" s="22">
        <v>46188</v>
      </c>
      <c r="J914" s="24">
        <f t="shared" si="196"/>
        <v>46188.508099824219</v>
      </c>
      <c r="K914" s="24">
        <f t="shared" si="197"/>
        <v>0.65491201390250353</v>
      </c>
      <c r="L914" s="29">
        <f t="shared" si="203"/>
        <v>46187</v>
      </c>
      <c r="M914" s="27" t="str">
        <f t="shared" si="198"/>
        <v>TPA Approval Delay</v>
      </c>
      <c r="N914" s="31">
        <f t="shared" si="199"/>
        <v>20</v>
      </c>
      <c r="O914" s="27"/>
      <c r="Q914" s="8">
        <v>0.5851203766135662</v>
      </c>
      <c r="R914" s="8" t="str">
        <f t="shared" si="200"/>
        <v>Major Delay</v>
      </c>
      <c r="S914" s="33">
        <v>3.5234925524746195</v>
      </c>
      <c r="T914" t="s">
        <v>31</v>
      </c>
      <c r="U914" s="3">
        <v>0</v>
      </c>
      <c r="V914" s="3" t="str">
        <f t="shared" si="204"/>
        <v>Normal</v>
      </c>
      <c r="W914" s="3" t="s">
        <v>51</v>
      </c>
      <c r="X914" s="32">
        <f t="shared" si="201"/>
        <v>0.14681218968325993</v>
      </c>
      <c r="Z914" s="38">
        <f t="shared" si="205"/>
        <v>2.181218968325993E-2</v>
      </c>
      <c r="AC914" s="36">
        <v>0.125</v>
      </c>
      <c r="AL914" t="str">
        <f t="shared" si="206"/>
        <v>TPA Approval Delay</v>
      </c>
      <c r="AM914" t="str">
        <f t="shared" si="207"/>
        <v>Yes</v>
      </c>
      <c r="AN914" t="str">
        <f t="shared" si="208"/>
        <v>Elective</v>
      </c>
      <c r="AO914" t="str">
        <f t="shared" si="209"/>
        <v>ICU</v>
      </c>
    </row>
    <row r="915" spans="1:41" x14ac:dyDescent="0.3">
      <c r="A915" s="21" t="str">
        <f t="shared" si="202"/>
        <v>UHID-00914</v>
      </c>
      <c r="B915" s="18">
        <v>69</v>
      </c>
      <c r="C915" s="10" t="s">
        <v>18</v>
      </c>
      <c r="D915" s="13" t="s">
        <v>27</v>
      </c>
      <c r="E915" s="13" t="s">
        <v>0</v>
      </c>
      <c r="F915" s="15">
        <v>46185.837167372702</v>
      </c>
      <c r="G915" s="4">
        <v>46185</v>
      </c>
      <c r="H915" s="1">
        <v>46190.5644615278</v>
      </c>
      <c r="I915" s="22">
        <v>46190</v>
      </c>
      <c r="J915" s="24">
        <f t="shared" si="196"/>
        <v>46190.484440515167</v>
      </c>
      <c r="K915" s="24">
        <f t="shared" si="197"/>
        <v>0.56446152779972181</v>
      </c>
      <c r="L915" s="29">
        <f t="shared" si="203"/>
        <v>46189</v>
      </c>
      <c r="M915" s="27" t="str">
        <f t="shared" si="198"/>
        <v>Normal</v>
      </c>
      <c r="N915" s="31">
        <f t="shared" si="199"/>
        <v>5</v>
      </c>
      <c r="O915" s="27"/>
      <c r="Q915" s="8">
        <v>0.30397569588129225</v>
      </c>
      <c r="R915" s="8" t="str">
        <f t="shared" si="200"/>
        <v>On Time</v>
      </c>
      <c r="S915" s="33">
        <v>1.9205043031530269</v>
      </c>
      <c r="T915" t="s">
        <v>30</v>
      </c>
      <c r="U915" s="3">
        <v>0</v>
      </c>
      <c r="V915" s="3" t="str">
        <f t="shared" si="204"/>
        <v/>
      </c>
      <c r="W915" s="3" t="s">
        <v>51</v>
      </c>
      <c r="X915" s="32">
        <f t="shared" si="201"/>
        <v>8.0021012632641941E-2</v>
      </c>
      <c r="Z915" s="38">
        <f t="shared" si="205"/>
        <v>0</v>
      </c>
      <c r="AC915" s="36">
        <v>0.125</v>
      </c>
      <c r="AL915" t="str">
        <f t="shared" si="206"/>
        <v>Normal</v>
      </c>
      <c r="AM915" t="str">
        <f t="shared" si="207"/>
        <v>No</v>
      </c>
      <c r="AN915" t="str">
        <f t="shared" si="208"/>
        <v>Elective</v>
      </c>
      <c r="AO915" t="str">
        <f t="shared" si="209"/>
        <v>ICU</v>
      </c>
    </row>
    <row r="916" spans="1:41" x14ac:dyDescent="0.3">
      <c r="A916" s="21" t="str">
        <f t="shared" si="202"/>
        <v>UHID-00915</v>
      </c>
      <c r="B916" s="18">
        <v>32</v>
      </c>
      <c r="C916" s="10" t="s">
        <v>18</v>
      </c>
      <c r="D916" s="13" t="s">
        <v>27</v>
      </c>
      <c r="E916" s="13" t="s">
        <v>0</v>
      </c>
      <c r="F916" s="15">
        <v>46188.955894537001</v>
      </c>
      <c r="G916" s="4">
        <v>46188</v>
      </c>
      <c r="H916" s="1">
        <v>46190.537275173599</v>
      </c>
      <c r="I916" s="22">
        <v>46190</v>
      </c>
      <c r="J916" s="24">
        <f t="shared" si="196"/>
        <v>46190.302198034158</v>
      </c>
      <c r="K916" s="24">
        <f t="shared" si="197"/>
        <v>0.53727517359948251</v>
      </c>
      <c r="L916" s="29">
        <f t="shared" si="203"/>
        <v>46189</v>
      </c>
      <c r="M916" s="27" t="str">
        <f t="shared" si="198"/>
        <v>Health Deterioration</v>
      </c>
      <c r="N916" s="31">
        <f t="shared" si="199"/>
        <v>2</v>
      </c>
      <c r="O916" s="27"/>
      <c r="Q916" s="8">
        <v>0.49755380050606779</v>
      </c>
      <c r="R916" s="8" t="str">
        <f t="shared" si="200"/>
        <v>Critical Delay</v>
      </c>
      <c r="S916" s="33">
        <v>1.6418513466481781</v>
      </c>
      <c r="T916" t="s">
        <v>31</v>
      </c>
      <c r="U916" s="3">
        <v>4</v>
      </c>
      <c r="V916" s="3" t="str">
        <f t="shared" si="204"/>
        <v>Normal</v>
      </c>
      <c r="W916" s="3" t="s">
        <v>50</v>
      </c>
      <c r="X916" s="32">
        <f t="shared" si="201"/>
        <v>0.23507713944127318</v>
      </c>
      <c r="Z916" s="38">
        <f t="shared" si="205"/>
        <v>0.11007713944127318</v>
      </c>
      <c r="AC916" s="36">
        <v>0.125</v>
      </c>
      <c r="AL916" t="str">
        <f t="shared" si="206"/>
        <v>Health Deterioration</v>
      </c>
      <c r="AM916" t="str">
        <f t="shared" si="207"/>
        <v>No</v>
      </c>
      <c r="AN916" t="str">
        <f t="shared" si="208"/>
        <v>Elective</v>
      </c>
      <c r="AO916" t="str">
        <f t="shared" si="209"/>
        <v>HDU</v>
      </c>
    </row>
    <row r="917" spans="1:41" x14ac:dyDescent="0.3">
      <c r="A917" s="21" t="str">
        <f t="shared" si="202"/>
        <v>UHID-00916</v>
      </c>
      <c r="B917" s="18">
        <v>27</v>
      </c>
      <c r="C917" s="10" t="s">
        <v>18</v>
      </c>
      <c r="D917" s="13" t="s">
        <v>27</v>
      </c>
      <c r="E917" s="13" t="s">
        <v>0</v>
      </c>
      <c r="F917" s="15">
        <v>46189.694428842602</v>
      </c>
      <c r="G917" s="4">
        <v>46189</v>
      </c>
      <c r="H917" s="1">
        <v>46191.658801157399</v>
      </c>
      <c r="I917" s="22">
        <v>46191</v>
      </c>
      <c r="J917" s="24">
        <f t="shared" si="196"/>
        <v>46191.595754126058</v>
      </c>
      <c r="K917" s="24">
        <f t="shared" si="197"/>
        <v>0.65880115739855682</v>
      </c>
      <c r="L917" s="29">
        <f t="shared" si="203"/>
        <v>46190</v>
      </c>
      <c r="M917" s="27" t="str">
        <f t="shared" si="198"/>
        <v>Normal</v>
      </c>
      <c r="N917" s="31">
        <f t="shared" si="199"/>
        <v>2</v>
      </c>
      <c r="O917" s="27"/>
      <c r="Q917" s="8">
        <v>0.40942165056223534</v>
      </c>
      <c r="R917" s="8" t="str">
        <f t="shared" si="200"/>
        <v>On Time</v>
      </c>
      <c r="S917" s="33">
        <v>1.5131287521479551</v>
      </c>
      <c r="T917" t="s">
        <v>31</v>
      </c>
      <c r="U917" s="3">
        <v>0</v>
      </c>
      <c r="V917" s="3" t="str">
        <f t="shared" si="204"/>
        <v>Normal</v>
      </c>
      <c r="W917" s="3" t="s">
        <v>51</v>
      </c>
      <c r="X917" s="32">
        <f t="shared" si="201"/>
        <v>6.3047031340829562E-2</v>
      </c>
      <c r="Z917" s="38">
        <f t="shared" si="205"/>
        <v>0</v>
      </c>
      <c r="AC917" s="36">
        <v>0.125</v>
      </c>
      <c r="AL917" t="str">
        <f t="shared" si="206"/>
        <v>Normal</v>
      </c>
      <c r="AM917" t="str">
        <f t="shared" si="207"/>
        <v>No</v>
      </c>
      <c r="AN917" t="str">
        <f t="shared" si="208"/>
        <v>Elective</v>
      </c>
      <c r="AO917" t="str">
        <f t="shared" si="209"/>
        <v>HDU</v>
      </c>
    </row>
    <row r="918" spans="1:41" x14ac:dyDescent="0.3">
      <c r="A918" s="21" t="str">
        <f t="shared" si="202"/>
        <v>UHID-00917</v>
      </c>
      <c r="B918" s="18">
        <v>30</v>
      </c>
      <c r="C918" s="10" t="s">
        <v>17</v>
      </c>
      <c r="D918" s="13" t="s">
        <v>26</v>
      </c>
      <c r="E918" s="13" t="s">
        <v>0</v>
      </c>
      <c r="F918" s="15">
        <v>46185.840061782401</v>
      </c>
      <c r="G918" s="4">
        <v>46185</v>
      </c>
      <c r="H918" s="1">
        <v>46191.646604872702</v>
      </c>
      <c r="I918" s="22">
        <v>46191</v>
      </c>
      <c r="J918" s="24">
        <f t="shared" si="196"/>
        <v>46191.314298165496</v>
      </c>
      <c r="K918" s="24">
        <f t="shared" si="197"/>
        <v>0.64660487270157319</v>
      </c>
      <c r="L918" s="29">
        <f t="shared" si="203"/>
        <v>46190</v>
      </c>
      <c r="M918" s="27" t="str">
        <f t="shared" si="198"/>
        <v>Health Deterioration/TPA Approval Delay</v>
      </c>
      <c r="N918" s="31">
        <f t="shared" si="199"/>
        <v>6</v>
      </c>
      <c r="O918" s="27"/>
      <c r="Q918" s="8">
        <v>0.81579336987857998</v>
      </c>
      <c r="R918" s="8" t="str">
        <f t="shared" si="200"/>
        <v>Critical Delay</v>
      </c>
      <c r="S918" s="33">
        <v>3.9753609729565285</v>
      </c>
      <c r="T918" t="s">
        <v>31</v>
      </c>
      <c r="U918" s="3">
        <v>4</v>
      </c>
      <c r="V918" s="3" t="str">
        <f t="shared" si="204"/>
        <v>Normal</v>
      </c>
      <c r="W918" s="3" t="s">
        <v>50</v>
      </c>
      <c r="X918" s="32">
        <f t="shared" si="201"/>
        <v>0.33230670720513444</v>
      </c>
      <c r="Z918" s="38">
        <f t="shared" si="205"/>
        <v>0.20730670720513444</v>
      </c>
      <c r="AC918" s="36">
        <v>0.125</v>
      </c>
      <c r="AL918" t="str">
        <f t="shared" si="206"/>
        <v>Health Deterioration/TPA Approval Delay</v>
      </c>
      <c r="AM918" t="str">
        <f t="shared" si="207"/>
        <v>No</v>
      </c>
      <c r="AN918" t="str">
        <f t="shared" si="208"/>
        <v>Elective</v>
      </c>
      <c r="AO918" t="str">
        <f t="shared" si="209"/>
        <v>HDU</v>
      </c>
    </row>
    <row r="919" spans="1:41" x14ac:dyDescent="0.3">
      <c r="A919" s="21" t="str">
        <f t="shared" si="202"/>
        <v>UHID-00918</v>
      </c>
      <c r="B919" s="18">
        <v>57</v>
      </c>
      <c r="C919" s="10" t="s">
        <v>17</v>
      </c>
      <c r="D919" s="13" t="s">
        <v>26</v>
      </c>
      <c r="E919" s="13" t="s">
        <v>0</v>
      </c>
      <c r="F919" s="15">
        <v>46187.019573321799</v>
      </c>
      <c r="G919" s="4">
        <v>46187</v>
      </c>
      <c r="H919" s="1">
        <v>46191.545892962997</v>
      </c>
      <c r="I919" s="22">
        <v>46191</v>
      </c>
      <c r="J919" s="24">
        <f t="shared" si="196"/>
        <v>46191.217675408116</v>
      </c>
      <c r="K919" s="24">
        <f t="shared" si="197"/>
        <v>0.54589296299673151</v>
      </c>
      <c r="L919" s="29">
        <f t="shared" si="203"/>
        <v>46190</v>
      </c>
      <c r="M919" s="27" t="str">
        <f t="shared" si="198"/>
        <v>Health Deterioration/TPA Approval Delay</v>
      </c>
      <c r="N919" s="31">
        <f t="shared" si="199"/>
        <v>4</v>
      </c>
      <c r="O919" s="27"/>
      <c r="Q919" s="8">
        <v>0.60553525133729802</v>
      </c>
      <c r="R919" s="8" t="str">
        <f t="shared" si="200"/>
        <v>Critical Delay</v>
      </c>
      <c r="S919" s="33">
        <v>3.8772213172185208</v>
      </c>
      <c r="T919" t="s">
        <v>31</v>
      </c>
      <c r="U919" s="3">
        <v>4</v>
      </c>
      <c r="V919" s="3" t="str">
        <f t="shared" si="204"/>
        <v>Normal</v>
      </c>
      <c r="W919" s="3" t="s">
        <v>50</v>
      </c>
      <c r="X919" s="32">
        <f t="shared" si="201"/>
        <v>0.32821755488112103</v>
      </c>
      <c r="Z919" s="38">
        <f t="shared" si="205"/>
        <v>0.20321755488112103</v>
      </c>
      <c r="AC919" s="36">
        <v>0.125</v>
      </c>
      <c r="AL919" t="str">
        <f t="shared" si="206"/>
        <v>Health Deterioration/TPA Approval Delay</v>
      </c>
      <c r="AM919" t="str">
        <f t="shared" si="207"/>
        <v>No</v>
      </c>
      <c r="AN919" t="str">
        <f t="shared" si="208"/>
        <v>Elective</v>
      </c>
      <c r="AO919" t="str">
        <f t="shared" si="209"/>
        <v>HDU</v>
      </c>
    </row>
    <row r="920" spans="1:41" x14ac:dyDescent="0.3">
      <c r="A920" s="21" t="str">
        <f t="shared" si="202"/>
        <v>UHID-00919</v>
      </c>
      <c r="B920" s="18">
        <v>40</v>
      </c>
      <c r="C920" s="10" t="s">
        <v>18</v>
      </c>
      <c r="D920" s="13" t="s">
        <v>27</v>
      </c>
      <c r="E920" s="13" t="s">
        <v>0</v>
      </c>
      <c r="F920" s="15">
        <v>46185.291523449101</v>
      </c>
      <c r="G920" s="4">
        <v>46185</v>
      </c>
      <c r="H920" s="1">
        <v>46191.746011041701</v>
      </c>
      <c r="I920" s="22">
        <v>46191</v>
      </c>
      <c r="J920" s="24">
        <f t="shared" si="196"/>
        <v>46191.526783241301</v>
      </c>
      <c r="K920" s="24">
        <f t="shared" si="197"/>
        <v>0.74601104170142207</v>
      </c>
      <c r="L920" s="29">
        <f t="shared" si="203"/>
        <v>46190</v>
      </c>
      <c r="M920" s="27" t="str">
        <f t="shared" si="198"/>
        <v>Health Deterioration</v>
      </c>
      <c r="N920" s="31">
        <f t="shared" si="199"/>
        <v>6</v>
      </c>
      <c r="O920" s="27"/>
      <c r="Q920" s="8">
        <v>0.14501111828886848</v>
      </c>
      <c r="R920" s="8" t="str">
        <f t="shared" si="200"/>
        <v>Critical Delay</v>
      </c>
      <c r="S920" s="33">
        <v>1.2614672096412196</v>
      </c>
      <c r="T920" t="s">
        <v>30</v>
      </c>
      <c r="U920" s="3">
        <v>4</v>
      </c>
      <c r="V920" s="3" t="str">
        <f t="shared" si="204"/>
        <v/>
      </c>
      <c r="W920" s="3" t="s">
        <v>50</v>
      </c>
      <c r="X920" s="32">
        <f t="shared" si="201"/>
        <v>0.21922780040040379</v>
      </c>
      <c r="Z920" s="38">
        <f t="shared" si="205"/>
        <v>9.4227800400403794E-2</v>
      </c>
      <c r="AC920" s="36">
        <v>0.125</v>
      </c>
      <c r="AL920" t="str">
        <f t="shared" si="206"/>
        <v>Health Deterioration</v>
      </c>
      <c r="AM920" t="str">
        <f t="shared" si="207"/>
        <v>No</v>
      </c>
      <c r="AN920" t="str">
        <f t="shared" si="208"/>
        <v>Emergency</v>
      </c>
      <c r="AO920" t="str">
        <f t="shared" si="209"/>
        <v>ICU</v>
      </c>
    </row>
    <row r="921" spans="1:41" x14ac:dyDescent="0.3">
      <c r="A921" s="21" t="str">
        <f t="shared" si="202"/>
        <v>UHID-00920</v>
      </c>
      <c r="B921" s="18">
        <v>31</v>
      </c>
      <c r="C921" s="10" t="s">
        <v>18</v>
      </c>
      <c r="D921" s="13" t="s">
        <v>27</v>
      </c>
      <c r="E921" s="13" t="s">
        <v>0</v>
      </c>
      <c r="F921" s="15">
        <v>46190.960449328697</v>
      </c>
      <c r="G921" s="4">
        <v>46190</v>
      </c>
      <c r="H921" s="1">
        <v>46191.896046631897</v>
      </c>
      <c r="I921" s="22">
        <v>46191</v>
      </c>
      <c r="J921" s="24">
        <f t="shared" si="196"/>
        <v>46191.821026414305</v>
      </c>
      <c r="K921" s="24">
        <f t="shared" si="197"/>
        <v>0.89604663189675193</v>
      </c>
      <c r="L921" s="29">
        <f t="shared" si="203"/>
        <v>46190</v>
      </c>
      <c r="M921" s="27" t="str">
        <f t="shared" si="198"/>
        <v>Normal</v>
      </c>
      <c r="N921" s="31">
        <f t="shared" si="199"/>
        <v>1</v>
      </c>
      <c r="O921" s="27"/>
      <c r="Q921" s="8">
        <v>0.24837871523659616</v>
      </c>
      <c r="R921" s="8" t="str">
        <f t="shared" si="200"/>
        <v>On Time</v>
      </c>
      <c r="S921" s="33">
        <v>1.8004852221466139</v>
      </c>
      <c r="T921" t="s">
        <v>30</v>
      </c>
      <c r="U921" s="3">
        <v>0</v>
      </c>
      <c r="V921" s="3" t="str">
        <f t="shared" si="204"/>
        <v/>
      </c>
      <c r="W921" s="3" t="s">
        <v>51</v>
      </c>
      <c r="X921" s="32">
        <f t="shared" si="201"/>
        <v>7.5020217591372784E-2</v>
      </c>
      <c r="Z921" s="38">
        <f t="shared" si="205"/>
        <v>0</v>
      </c>
      <c r="AC921" s="36">
        <v>0.125</v>
      </c>
      <c r="AL921" t="str">
        <f t="shared" si="206"/>
        <v>Normal</v>
      </c>
      <c r="AM921" t="str">
        <f t="shared" si="207"/>
        <v>No</v>
      </c>
      <c r="AN921" t="str">
        <f t="shared" si="208"/>
        <v>Emergency</v>
      </c>
      <c r="AO921" t="str">
        <f t="shared" si="209"/>
        <v>ICU</v>
      </c>
    </row>
    <row r="922" spans="1:41" x14ac:dyDescent="0.3">
      <c r="A922" s="21" t="str">
        <f t="shared" si="202"/>
        <v>UHID-00921</v>
      </c>
      <c r="B922" s="18">
        <v>46</v>
      </c>
      <c r="C922" s="10" t="s">
        <v>17</v>
      </c>
      <c r="D922" s="13" t="s">
        <v>27</v>
      </c>
      <c r="E922" s="13" t="s">
        <v>0</v>
      </c>
      <c r="F922" s="15">
        <v>46189.795219895801</v>
      </c>
      <c r="G922" s="4">
        <v>46189</v>
      </c>
      <c r="H922" s="1">
        <v>46192.757535543999</v>
      </c>
      <c r="I922" s="22">
        <v>46192</v>
      </c>
      <c r="J922" s="24">
        <f t="shared" si="196"/>
        <v>46192.512372724428</v>
      </c>
      <c r="K922" s="24">
        <f t="shared" si="197"/>
        <v>0.75753554399852874</v>
      </c>
      <c r="L922" s="29">
        <f t="shared" si="203"/>
        <v>46191</v>
      </c>
      <c r="M922" s="27" t="str">
        <f t="shared" si="198"/>
        <v>Health Deterioration</v>
      </c>
      <c r="N922" s="31">
        <f t="shared" si="199"/>
        <v>3</v>
      </c>
      <c r="O922" s="27"/>
      <c r="Q922" s="8">
        <v>0.30961359958554768</v>
      </c>
      <c r="R922" s="8" t="str">
        <f t="shared" si="200"/>
        <v>Critical Delay</v>
      </c>
      <c r="S922" s="33">
        <v>1.8839076696477539</v>
      </c>
      <c r="T922" t="s">
        <v>30</v>
      </c>
      <c r="U922" s="3">
        <v>4</v>
      </c>
      <c r="V922" s="3" t="str">
        <f t="shared" si="204"/>
        <v/>
      </c>
      <c r="W922" s="3" t="s">
        <v>50</v>
      </c>
      <c r="X922" s="32">
        <f t="shared" si="201"/>
        <v>0.2451628195703961</v>
      </c>
      <c r="Z922" s="38">
        <f t="shared" si="205"/>
        <v>0.1201628195703961</v>
      </c>
      <c r="AC922" s="36">
        <v>0.125</v>
      </c>
      <c r="AL922" t="str">
        <f t="shared" si="206"/>
        <v>Health Deterioration</v>
      </c>
      <c r="AM922" t="str">
        <f t="shared" si="207"/>
        <v>No</v>
      </c>
      <c r="AN922" t="str">
        <f t="shared" si="208"/>
        <v>Emergency</v>
      </c>
      <c r="AO922" t="str">
        <f t="shared" si="209"/>
        <v>ICU</v>
      </c>
    </row>
    <row r="923" spans="1:41" x14ac:dyDescent="0.3">
      <c r="A923" s="21" t="str">
        <f t="shared" si="202"/>
        <v>UHID-00922</v>
      </c>
      <c r="B923" s="18">
        <v>66</v>
      </c>
      <c r="C923" s="10" t="s">
        <v>18</v>
      </c>
      <c r="D923" s="13" t="s">
        <v>27</v>
      </c>
      <c r="E923" s="13" t="s">
        <v>0</v>
      </c>
      <c r="F923" s="15">
        <v>46189.538681203703</v>
      </c>
      <c r="G923" s="4">
        <v>46189</v>
      </c>
      <c r="H923" s="1">
        <v>46192.559099074097</v>
      </c>
      <c r="I923" s="22">
        <v>46192</v>
      </c>
      <c r="J923" s="24">
        <f t="shared" si="196"/>
        <v>46192.272369772683</v>
      </c>
      <c r="K923" s="24">
        <f t="shared" si="197"/>
        <v>0.55909907409659354</v>
      </c>
      <c r="L923" s="29">
        <f t="shared" si="203"/>
        <v>46191</v>
      </c>
      <c r="M923" s="27" t="str">
        <f t="shared" si="198"/>
        <v>Health Deterioration</v>
      </c>
      <c r="N923" s="31">
        <f t="shared" si="199"/>
        <v>3</v>
      </c>
      <c r="O923" s="27"/>
      <c r="Q923" s="8">
        <v>0.28521374406567712</v>
      </c>
      <c r="R923" s="8" t="str">
        <f t="shared" si="200"/>
        <v>Critical Delay</v>
      </c>
      <c r="S923" s="33">
        <v>1.8815032339121527</v>
      </c>
      <c r="T923" t="s">
        <v>30</v>
      </c>
      <c r="U923" s="3">
        <v>5</v>
      </c>
      <c r="V923" s="3" t="str">
        <f t="shared" si="204"/>
        <v/>
      </c>
      <c r="W923" s="3" t="s">
        <v>52</v>
      </c>
      <c r="X923" s="32">
        <f t="shared" si="201"/>
        <v>0.28672930141328834</v>
      </c>
      <c r="Z923" s="38">
        <f t="shared" si="205"/>
        <v>0.16172930141328834</v>
      </c>
      <c r="AC923" s="36">
        <v>0.125</v>
      </c>
      <c r="AL923" t="str">
        <f t="shared" si="206"/>
        <v>Health Deterioration</v>
      </c>
      <c r="AM923" t="str">
        <f t="shared" si="207"/>
        <v>Yes</v>
      </c>
      <c r="AN923" t="str">
        <f t="shared" si="208"/>
        <v>Emergency</v>
      </c>
      <c r="AO923" t="str">
        <f t="shared" si="209"/>
        <v>ICU</v>
      </c>
    </row>
    <row r="924" spans="1:41" x14ac:dyDescent="0.3">
      <c r="A924" s="21" t="str">
        <f t="shared" si="202"/>
        <v>UHID-00923</v>
      </c>
      <c r="B924" s="18">
        <v>76</v>
      </c>
      <c r="C924" s="10" t="s">
        <v>17</v>
      </c>
      <c r="D924" s="13" t="s">
        <v>27</v>
      </c>
      <c r="E924" s="13" t="s">
        <v>0</v>
      </c>
      <c r="F924" s="15">
        <v>46187.230018657399</v>
      </c>
      <c r="G924" s="4">
        <v>46187</v>
      </c>
      <c r="H924" s="1">
        <v>46192.607005219899</v>
      </c>
      <c r="I924" s="22">
        <v>46192</v>
      </c>
      <c r="J924" s="24">
        <f t="shared" si="196"/>
        <v>46192.526357525443</v>
      </c>
      <c r="K924" s="24">
        <f t="shared" si="197"/>
        <v>0.60700521989929257</v>
      </c>
      <c r="L924" s="29">
        <f t="shared" si="203"/>
        <v>46191</v>
      </c>
      <c r="M924" s="27" t="str">
        <f t="shared" si="198"/>
        <v>Normal</v>
      </c>
      <c r="N924" s="31">
        <f t="shared" si="199"/>
        <v>5</v>
      </c>
      <c r="O924" s="27"/>
      <c r="Q924" s="8">
        <v>7.4718404300422314E-4</v>
      </c>
      <c r="R924" s="8" t="str">
        <f t="shared" si="200"/>
        <v>On Time</v>
      </c>
      <c r="S924" s="33">
        <v>1.935544667027624</v>
      </c>
      <c r="T924" t="s">
        <v>30</v>
      </c>
      <c r="U924" s="3">
        <v>0</v>
      </c>
      <c r="V924" s="3" t="str">
        <f t="shared" si="204"/>
        <v/>
      </c>
      <c r="W924" s="3" t="s">
        <v>51</v>
      </c>
      <c r="X924" s="32">
        <f t="shared" si="201"/>
        <v>8.0647694456274621E-2</v>
      </c>
      <c r="Z924" s="38">
        <f t="shared" si="205"/>
        <v>0</v>
      </c>
      <c r="AC924" s="36">
        <v>0.125</v>
      </c>
      <c r="AL924" t="str">
        <f t="shared" si="206"/>
        <v>Normal</v>
      </c>
      <c r="AM924" t="str">
        <f t="shared" si="207"/>
        <v>No</v>
      </c>
      <c r="AN924" t="str">
        <f t="shared" si="208"/>
        <v>Elective</v>
      </c>
      <c r="AO924" t="str">
        <f t="shared" si="209"/>
        <v>ICU</v>
      </c>
    </row>
    <row r="925" spans="1:41" x14ac:dyDescent="0.3">
      <c r="A925" s="21" t="str">
        <f t="shared" si="202"/>
        <v>UHID-00924</v>
      </c>
      <c r="B925" s="18">
        <v>80</v>
      </c>
      <c r="C925" s="10" t="s">
        <v>18</v>
      </c>
      <c r="D925" s="13" t="s">
        <v>27</v>
      </c>
      <c r="E925" s="13" t="s">
        <v>0</v>
      </c>
      <c r="F925" s="15">
        <v>46190.921822893499</v>
      </c>
      <c r="G925" s="4">
        <v>46190</v>
      </c>
      <c r="H925" s="1">
        <v>46192.670860324099</v>
      </c>
      <c r="I925" s="22">
        <v>46192</v>
      </c>
      <c r="J925" s="24">
        <f t="shared" si="196"/>
        <v>46192.500317149359</v>
      </c>
      <c r="K925" s="24">
        <f t="shared" si="197"/>
        <v>0.67086032409861218</v>
      </c>
      <c r="L925" s="29">
        <f t="shared" si="203"/>
        <v>46191</v>
      </c>
      <c r="M925" s="27" t="str">
        <f t="shared" si="198"/>
        <v>Medication Change</v>
      </c>
      <c r="N925" s="31">
        <f t="shared" si="199"/>
        <v>2</v>
      </c>
      <c r="O925" s="27"/>
      <c r="Q925" s="8">
        <v>0.36993466860745339</v>
      </c>
      <c r="R925" s="8" t="str">
        <f t="shared" si="200"/>
        <v>Major Delay</v>
      </c>
      <c r="S925" s="33">
        <v>1.093036193736495</v>
      </c>
      <c r="T925" t="s">
        <v>31</v>
      </c>
      <c r="U925" s="3">
        <v>3</v>
      </c>
      <c r="V925" s="3" t="str">
        <f t="shared" si="204"/>
        <v>Normal</v>
      </c>
      <c r="W925" s="3" t="s">
        <v>50</v>
      </c>
      <c r="X925" s="32">
        <f t="shared" si="201"/>
        <v>0.17054317473957781</v>
      </c>
      <c r="Z925" s="38">
        <f t="shared" si="205"/>
        <v>4.5543174739577807E-2</v>
      </c>
      <c r="AC925" s="36">
        <v>0.125</v>
      </c>
      <c r="AL925" t="str">
        <f t="shared" si="206"/>
        <v>Medication Change</v>
      </c>
      <c r="AM925" t="str">
        <f t="shared" si="207"/>
        <v>No</v>
      </c>
      <c r="AN925" t="str">
        <f t="shared" si="208"/>
        <v>Elective</v>
      </c>
      <c r="AO925" t="str">
        <f t="shared" si="209"/>
        <v>ICU</v>
      </c>
    </row>
    <row r="926" spans="1:41" x14ac:dyDescent="0.3">
      <c r="A926" s="21" t="str">
        <f t="shared" si="202"/>
        <v>UHID-00925</v>
      </c>
      <c r="B926" s="18">
        <v>76</v>
      </c>
      <c r="C926" s="10" t="s">
        <v>17</v>
      </c>
      <c r="D926" s="13" t="s">
        <v>27</v>
      </c>
      <c r="E926" s="13" t="s">
        <v>0</v>
      </c>
      <c r="F926" s="15">
        <v>46189.720313981503</v>
      </c>
      <c r="G926" s="4">
        <v>46189</v>
      </c>
      <c r="H926" s="1">
        <v>46193.495199594901</v>
      </c>
      <c r="I926" s="22">
        <v>46193</v>
      </c>
      <c r="J926" s="24">
        <f t="shared" si="196"/>
        <v>46193.448835143194</v>
      </c>
      <c r="K926" s="24">
        <f t="shared" si="197"/>
        <v>0.49519959490135079</v>
      </c>
      <c r="L926" s="29">
        <f t="shared" si="203"/>
        <v>46192</v>
      </c>
      <c r="M926" s="27" t="str">
        <f t="shared" si="198"/>
        <v>Normal</v>
      </c>
      <c r="N926" s="31">
        <f t="shared" si="199"/>
        <v>4</v>
      </c>
      <c r="O926" s="27"/>
      <c r="Q926" s="8">
        <v>0.10591628809737352</v>
      </c>
      <c r="R926" s="8" t="str">
        <f t="shared" si="200"/>
        <v>On Time</v>
      </c>
      <c r="S926" s="33">
        <v>1.1127468410420358</v>
      </c>
      <c r="T926" t="s">
        <v>30</v>
      </c>
      <c r="U926" s="3">
        <v>0</v>
      </c>
      <c r="V926" s="3" t="str">
        <f t="shared" si="204"/>
        <v/>
      </c>
      <c r="W926" s="3" t="s">
        <v>51</v>
      </c>
      <c r="X926" s="32">
        <f t="shared" si="201"/>
        <v>4.6364451707631815E-2</v>
      </c>
      <c r="Z926" s="38">
        <f t="shared" si="205"/>
        <v>0</v>
      </c>
      <c r="AC926" s="36">
        <v>0.125</v>
      </c>
      <c r="AL926" t="str">
        <f t="shared" si="206"/>
        <v>Normal</v>
      </c>
      <c r="AM926" t="str">
        <f t="shared" si="207"/>
        <v>No</v>
      </c>
      <c r="AN926" t="str">
        <f t="shared" si="208"/>
        <v>Elective</v>
      </c>
      <c r="AO926" t="str">
        <f t="shared" si="209"/>
        <v>HDU</v>
      </c>
    </row>
    <row r="927" spans="1:41" x14ac:dyDescent="0.3">
      <c r="A927" s="21" t="str">
        <f t="shared" si="202"/>
        <v>UHID-00926</v>
      </c>
      <c r="B927" s="18">
        <v>64</v>
      </c>
      <c r="C927" s="10" t="s">
        <v>18</v>
      </c>
      <c r="D927" s="13" t="s">
        <v>27</v>
      </c>
      <c r="E927" s="13" t="s">
        <v>0</v>
      </c>
      <c r="F927" s="15">
        <v>46191.723968692102</v>
      </c>
      <c r="G927" s="4">
        <v>46191</v>
      </c>
      <c r="H927" s="1">
        <v>46193.572966979198</v>
      </c>
      <c r="I927" s="22">
        <v>46193</v>
      </c>
      <c r="J927" s="24">
        <f t="shared" si="196"/>
        <v>46193.526768447664</v>
      </c>
      <c r="K927" s="24">
        <f t="shared" si="197"/>
        <v>0.57296697919809958</v>
      </c>
      <c r="L927" s="29">
        <f t="shared" si="203"/>
        <v>46192</v>
      </c>
      <c r="M927" s="27" t="str">
        <f t="shared" si="198"/>
        <v>Normal</v>
      </c>
      <c r="N927" s="31">
        <f t="shared" si="199"/>
        <v>2</v>
      </c>
      <c r="O927" s="27"/>
      <c r="Q927" s="8">
        <v>0.47410598058974063</v>
      </c>
      <c r="R927" s="8" t="str">
        <f t="shared" si="200"/>
        <v>On Time</v>
      </c>
      <c r="S927" s="33">
        <v>1.108764756886083</v>
      </c>
      <c r="T927" t="s">
        <v>31</v>
      </c>
      <c r="U927" s="3">
        <v>0</v>
      </c>
      <c r="V927" s="3" t="str">
        <f t="shared" si="204"/>
        <v>Normal</v>
      </c>
      <c r="W927" s="3" t="s">
        <v>51</v>
      </c>
      <c r="X927" s="32">
        <f t="shared" si="201"/>
        <v>4.6198531534173526E-2</v>
      </c>
      <c r="Z927" s="38">
        <f t="shared" si="205"/>
        <v>0</v>
      </c>
      <c r="AC927" s="36">
        <v>0.125</v>
      </c>
      <c r="AL927" t="str">
        <f t="shared" si="206"/>
        <v>Normal</v>
      </c>
      <c r="AM927" t="str">
        <f t="shared" si="207"/>
        <v>No</v>
      </c>
      <c r="AN927" t="str">
        <f t="shared" si="208"/>
        <v>Elective</v>
      </c>
      <c r="AO927" t="str">
        <f t="shared" si="209"/>
        <v>HDU</v>
      </c>
    </row>
    <row r="928" spans="1:41" x14ac:dyDescent="0.3">
      <c r="A928" s="21" t="str">
        <f t="shared" si="202"/>
        <v>UHID-00927</v>
      </c>
      <c r="B928" s="18">
        <v>47</v>
      </c>
      <c r="C928" s="10" t="s">
        <v>17</v>
      </c>
      <c r="D928" s="13" t="s">
        <v>26</v>
      </c>
      <c r="E928" s="13" t="s">
        <v>0</v>
      </c>
      <c r="F928" s="15">
        <v>46191.858623981498</v>
      </c>
      <c r="G928" s="4">
        <v>46191</v>
      </c>
      <c r="H928" s="1">
        <v>46193.614255289402</v>
      </c>
      <c r="I928" s="22">
        <v>46193</v>
      </c>
      <c r="J928" s="24">
        <f t="shared" si="196"/>
        <v>46193.46487329722</v>
      </c>
      <c r="K928" s="24">
        <f t="shared" si="197"/>
        <v>0.61425528940162621</v>
      </c>
      <c r="L928" s="29">
        <f t="shared" si="203"/>
        <v>46192</v>
      </c>
      <c r="M928" s="27" t="str">
        <f t="shared" si="198"/>
        <v>TPA Approval Delay</v>
      </c>
      <c r="N928" s="31">
        <f t="shared" si="199"/>
        <v>2</v>
      </c>
      <c r="O928" s="27"/>
      <c r="Q928" s="8">
        <v>0.62153447809174944</v>
      </c>
      <c r="R928" s="8" t="str">
        <f t="shared" si="200"/>
        <v>Major Delay</v>
      </c>
      <c r="S928" s="33">
        <v>3.5851678124435935</v>
      </c>
      <c r="T928" t="s">
        <v>31</v>
      </c>
      <c r="U928" s="3">
        <v>0</v>
      </c>
      <c r="V928" s="3" t="str">
        <f t="shared" si="204"/>
        <v>Normal</v>
      </c>
      <c r="W928" s="3" t="s">
        <v>51</v>
      </c>
      <c r="X928" s="32">
        <f t="shared" si="201"/>
        <v>0.14938199218158843</v>
      </c>
      <c r="Z928" s="38">
        <f t="shared" si="205"/>
        <v>2.438199218158843E-2</v>
      </c>
      <c r="AC928" s="36">
        <v>0.125</v>
      </c>
      <c r="AL928" t="str">
        <f t="shared" si="206"/>
        <v>TPA Approval Delay</v>
      </c>
      <c r="AM928" t="str">
        <f t="shared" si="207"/>
        <v>No</v>
      </c>
      <c r="AN928" t="str">
        <f t="shared" si="208"/>
        <v>Elective</v>
      </c>
      <c r="AO928" t="str">
        <f t="shared" si="209"/>
        <v>HDU</v>
      </c>
    </row>
    <row r="929" spans="1:41" x14ac:dyDescent="0.3">
      <c r="A929" s="21" t="str">
        <f t="shared" si="202"/>
        <v>UHID-00928</v>
      </c>
      <c r="B929" s="18">
        <v>57</v>
      </c>
      <c r="C929" s="10" t="s">
        <v>18</v>
      </c>
      <c r="D929" s="13" t="s">
        <v>26</v>
      </c>
      <c r="E929" s="13" t="s">
        <v>0</v>
      </c>
      <c r="F929" s="15">
        <v>46192.651154826402</v>
      </c>
      <c r="G929" s="4">
        <v>46192</v>
      </c>
      <c r="H929" s="1">
        <v>46194.609479907398</v>
      </c>
      <c r="I929" s="22">
        <v>46194</v>
      </c>
      <c r="J929" s="24">
        <f t="shared" si="196"/>
        <v>46194.473670182029</v>
      </c>
      <c r="K929" s="24">
        <f t="shared" si="197"/>
        <v>0.60947990739805391</v>
      </c>
      <c r="L929" s="29">
        <f t="shared" si="203"/>
        <v>46193</v>
      </c>
      <c r="M929" s="27" t="str">
        <f t="shared" si="198"/>
        <v>TPA Approval Delay</v>
      </c>
      <c r="N929" s="31">
        <f t="shared" si="199"/>
        <v>2</v>
      </c>
      <c r="O929" s="27"/>
      <c r="Q929" s="8">
        <v>0.66903538369282156</v>
      </c>
      <c r="R929" s="8" t="str">
        <f t="shared" si="200"/>
        <v>Major Delay</v>
      </c>
      <c r="S929" s="33">
        <v>3.2594334088954198</v>
      </c>
      <c r="T929" t="s">
        <v>31</v>
      </c>
      <c r="U929" s="3">
        <v>0</v>
      </c>
      <c r="V929" s="3" t="str">
        <f t="shared" si="204"/>
        <v>Normal</v>
      </c>
      <c r="W929" s="3" t="s">
        <v>51</v>
      </c>
      <c r="X929" s="32">
        <f t="shared" si="201"/>
        <v>0.13580972536874469</v>
      </c>
      <c r="Z929" s="38">
        <f t="shared" si="205"/>
        <v>1.0809725368744694E-2</v>
      </c>
      <c r="AC929" s="36">
        <v>0.125</v>
      </c>
      <c r="AL929" t="str">
        <f t="shared" si="206"/>
        <v>TPA Approval Delay</v>
      </c>
      <c r="AM929" t="str">
        <f t="shared" si="207"/>
        <v>No</v>
      </c>
      <c r="AN929" t="str">
        <f t="shared" si="208"/>
        <v>Elective</v>
      </c>
      <c r="AO929" t="str">
        <f t="shared" si="209"/>
        <v>HDU</v>
      </c>
    </row>
    <row r="930" spans="1:41" x14ac:dyDescent="0.3">
      <c r="A930" s="21" t="str">
        <f t="shared" si="202"/>
        <v>UHID-00929</v>
      </c>
      <c r="B930" s="18">
        <v>40</v>
      </c>
      <c r="C930" s="10" t="s">
        <v>18</v>
      </c>
      <c r="D930" s="13" t="s">
        <v>27</v>
      </c>
      <c r="E930" s="13" t="s">
        <v>0</v>
      </c>
      <c r="F930" s="15">
        <v>46191.569554050897</v>
      </c>
      <c r="G930" s="4">
        <v>46191</v>
      </c>
      <c r="H930" s="1">
        <v>46194.674508877302</v>
      </c>
      <c r="I930" s="22">
        <v>46194</v>
      </c>
      <c r="J930" s="24">
        <f t="shared" si="196"/>
        <v>46194.63073826905</v>
      </c>
      <c r="K930" s="24">
        <f t="shared" si="197"/>
        <v>0.67450887730228715</v>
      </c>
      <c r="L930" s="29">
        <f t="shared" si="203"/>
        <v>46193</v>
      </c>
      <c r="M930" s="27" t="str">
        <f t="shared" si="198"/>
        <v>Normal</v>
      </c>
      <c r="N930" s="31">
        <f t="shared" si="199"/>
        <v>3</v>
      </c>
      <c r="O930" s="27"/>
      <c r="Q930" s="8">
        <v>0.35413066375368785</v>
      </c>
      <c r="R930" s="8" t="str">
        <f t="shared" si="200"/>
        <v>On Time</v>
      </c>
      <c r="S930" s="33">
        <v>1.050494598128715</v>
      </c>
      <c r="T930" t="s">
        <v>31</v>
      </c>
      <c r="U930" s="3">
        <v>0</v>
      </c>
      <c r="V930" s="3" t="str">
        <f t="shared" si="204"/>
        <v>Normal</v>
      </c>
      <c r="W930" s="3" t="s">
        <v>51</v>
      </c>
      <c r="X930" s="32">
        <f t="shared" si="201"/>
        <v>4.3770608252089005E-2</v>
      </c>
      <c r="Z930" s="38">
        <f t="shared" si="205"/>
        <v>0</v>
      </c>
      <c r="AC930" s="36">
        <v>0.125</v>
      </c>
      <c r="AL930" t="str">
        <f t="shared" si="206"/>
        <v>Normal</v>
      </c>
      <c r="AM930" t="str">
        <f t="shared" si="207"/>
        <v>No</v>
      </c>
      <c r="AN930" t="str">
        <f t="shared" si="208"/>
        <v>Emergency</v>
      </c>
      <c r="AO930" t="str">
        <f t="shared" si="209"/>
        <v>ICU</v>
      </c>
    </row>
    <row r="931" spans="1:41" x14ac:dyDescent="0.3">
      <c r="A931" s="21" t="str">
        <f t="shared" si="202"/>
        <v>UHID-00930</v>
      </c>
      <c r="B931" s="18">
        <v>56</v>
      </c>
      <c r="C931" s="10" t="s">
        <v>17</v>
      </c>
      <c r="D931" s="13" t="s">
        <v>27</v>
      </c>
      <c r="E931" s="13" t="s">
        <v>0</v>
      </c>
      <c r="F931" s="15">
        <v>46191.984508761598</v>
      </c>
      <c r="G931" s="4">
        <v>46191</v>
      </c>
      <c r="H931" s="1">
        <v>46194.665463402802</v>
      </c>
      <c r="I931" s="22">
        <v>46194</v>
      </c>
      <c r="J931" s="24">
        <f t="shared" si="196"/>
        <v>46194.601285467441</v>
      </c>
      <c r="K931" s="24">
        <f t="shared" si="197"/>
        <v>0.66546340280183358</v>
      </c>
      <c r="L931" s="29">
        <f t="shared" si="203"/>
        <v>46193</v>
      </c>
      <c r="M931" s="27" t="str">
        <f t="shared" si="198"/>
        <v>Normal</v>
      </c>
      <c r="N931" s="31">
        <f t="shared" si="199"/>
        <v>3</v>
      </c>
      <c r="O931" s="27"/>
      <c r="Q931" s="8">
        <v>0.34210948606628355</v>
      </c>
      <c r="R931" s="8" t="str">
        <f t="shared" si="200"/>
        <v>On Time</v>
      </c>
      <c r="S931" s="33">
        <v>1.540270448610765</v>
      </c>
      <c r="T931" t="s">
        <v>30</v>
      </c>
      <c r="U931" s="3">
        <v>0</v>
      </c>
      <c r="V931" s="3" t="str">
        <f t="shared" si="204"/>
        <v/>
      </c>
      <c r="W931" s="3" t="s">
        <v>51</v>
      </c>
      <c r="X931" s="32">
        <f t="shared" si="201"/>
        <v>6.417793536093086E-2</v>
      </c>
      <c r="Z931" s="38">
        <f t="shared" si="205"/>
        <v>0</v>
      </c>
      <c r="AC931" s="36">
        <v>0.125</v>
      </c>
      <c r="AL931" t="str">
        <f t="shared" si="206"/>
        <v>Normal</v>
      </c>
      <c r="AM931" t="str">
        <f t="shared" si="207"/>
        <v>No</v>
      </c>
      <c r="AN931" t="str">
        <f t="shared" si="208"/>
        <v>Emergency</v>
      </c>
      <c r="AO931" t="str">
        <f t="shared" si="209"/>
        <v>ICU</v>
      </c>
    </row>
    <row r="932" spans="1:41" x14ac:dyDescent="0.3">
      <c r="A932" s="21" t="str">
        <f t="shared" si="202"/>
        <v>UHID-00931</v>
      </c>
      <c r="B932" s="18">
        <v>70</v>
      </c>
      <c r="C932" s="10" t="s">
        <v>18</v>
      </c>
      <c r="D932" s="13" t="s">
        <v>27</v>
      </c>
      <c r="E932" s="13" t="s">
        <v>0</v>
      </c>
      <c r="F932" s="15">
        <v>46191.8293836343</v>
      </c>
      <c r="G932" s="4">
        <v>46191</v>
      </c>
      <c r="H932" s="1">
        <v>46194.739846111101</v>
      </c>
      <c r="I932" s="22">
        <v>46194</v>
      </c>
      <c r="J932" s="24">
        <f t="shared" si="196"/>
        <v>46194.68837234941</v>
      </c>
      <c r="K932" s="24">
        <f t="shared" si="197"/>
        <v>0.7398461111006327</v>
      </c>
      <c r="L932" s="29">
        <f t="shared" si="203"/>
        <v>46193</v>
      </c>
      <c r="M932" s="27" t="str">
        <f t="shared" si="198"/>
        <v>Normal</v>
      </c>
      <c r="N932" s="31">
        <f t="shared" si="199"/>
        <v>3</v>
      </c>
      <c r="O932" s="27"/>
      <c r="Q932" s="8">
        <v>0.11413751446076303</v>
      </c>
      <c r="R932" s="8" t="str">
        <f t="shared" si="200"/>
        <v>On Time</v>
      </c>
      <c r="S932" s="33">
        <v>1.2353702806190123</v>
      </c>
      <c r="T932" t="s">
        <v>30</v>
      </c>
      <c r="U932" s="3">
        <v>0</v>
      </c>
      <c r="V932" s="3" t="str">
        <f t="shared" si="204"/>
        <v/>
      </c>
      <c r="W932" s="3" t="s">
        <v>51</v>
      </c>
      <c r="X932" s="32">
        <f t="shared" si="201"/>
        <v>5.1473761690431274E-2</v>
      </c>
      <c r="Z932" s="38">
        <f t="shared" si="205"/>
        <v>0</v>
      </c>
      <c r="AC932" s="36">
        <v>0.125</v>
      </c>
      <c r="AL932" t="str">
        <f t="shared" si="206"/>
        <v>Normal</v>
      </c>
      <c r="AM932" t="str">
        <f t="shared" si="207"/>
        <v>No</v>
      </c>
      <c r="AN932" t="str">
        <f t="shared" si="208"/>
        <v>Emergency</v>
      </c>
      <c r="AO932" t="str">
        <f t="shared" si="209"/>
        <v>ICU</v>
      </c>
    </row>
    <row r="933" spans="1:41" x14ac:dyDescent="0.3">
      <c r="A933" s="21" t="str">
        <f t="shared" si="202"/>
        <v>UHID-00932</v>
      </c>
      <c r="B933" s="18">
        <v>19</v>
      </c>
      <c r="C933" s="10" t="s">
        <v>17</v>
      </c>
      <c r="D933" s="13" t="s">
        <v>26</v>
      </c>
      <c r="E933" s="13" t="s">
        <v>0</v>
      </c>
      <c r="F933" s="15">
        <v>46194.135425266199</v>
      </c>
      <c r="G933" s="4">
        <v>46194</v>
      </c>
      <c r="H933" s="1">
        <v>46194.932761249998</v>
      </c>
      <c r="I933" s="22">
        <v>46194</v>
      </c>
      <c r="J933" s="24">
        <f t="shared" si="196"/>
        <v>46194.776492698256</v>
      </c>
      <c r="K933" s="24">
        <f t="shared" si="197"/>
        <v>0.93276124999829335</v>
      </c>
      <c r="L933" s="29">
        <f t="shared" si="203"/>
        <v>46193</v>
      </c>
      <c r="M933" s="27" t="str">
        <f t="shared" si="198"/>
        <v>TPA Approval Delay</v>
      </c>
      <c r="N933" s="31">
        <f t="shared" si="199"/>
        <v>0</v>
      </c>
      <c r="O933" s="27"/>
      <c r="Q933" s="8">
        <v>0.62733802843667319</v>
      </c>
      <c r="R933" s="8" t="str">
        <f t="shared" si="200"/>
        <v>Major Delay</v>
      </c>
      <c r="S933" s="33">
        <v>3.7504452417562439</v>
      </c>
      <c r="T933" t="s">
        <v>31</v>
      </c>
      <c r="U933" s="3">
        <v>0</v>
      </c>
      <c r="V933" s="3" t="str">
        <f t="shared" si="204"/>
        <v>Normal</v>
      </c>
      <c r="W933" s="3" t="s">
        <v>51</v>
      </c>
      <c r="X933" s="32">
        <f t="shared" si="201"/>
        <v>0.15626855174195953</v>
      </c>
      <c r="Z933" s="38">
        <f t="shared" si="205"/>
        <v>3.1268551741959527E-2</v>
      </c>
      <c r="AC933" s="36">
        <v>0.125</v>
      </c>
      <c r="AL933" t="str">
        <f t="shared" si="206"/>
        <v>TPA Approval Delay</v>
      </c>
      <c r="AM933" t="str">
        <f t="shared" si="207"/>
        <v>No</v>
      </c>
      <c r="AN933" t="str">
        <f t="shared" si="208"/>
        <v>Emergency</v>
      </c>
      <c r="AO933" t="str">
        <f t="shared" si="209"/>
        <v>ICU</v>
      </c>
    </row>
    <row r="934" spans="1:41" x14ac:dyDescent="0.3">
      <c r="A934" s="21" t="str">
        <f t="shared" si="202"/>
        <v>UHID-00933</v>
      </c>
      <c r="B934" s="18">
        <v>13</v>
      </c>
      <c r="C934" s="10" t="s">
        <v>18</v>
      </c>
      <c r="D934" s="13" t="s">
        <v>27</v>
      </c>
      <c r="E934" s="13" t="s">
        <v>0</v>
      </c>
      <c r="F934" s="15">
        <v>46193.867419780101</v>
      </c>
      <c r="G934" s="4">
        <v>46193</v>
      </c>
      <c r="H934" s="1">
        <v>46195.788194444402</v>
      </c>
      <c r="I934" s="22">
        <v>46195</v>
      </c>
      <c r="J934" s="24">
        <f t="shared" si="196"/>
        <v>46195.736174389327</v>
      </c>
      <c r="K934" s="24">
        <f t="shared" si="197"/>
        <v>0.78819444440159714</v>
      </c>
      <c r="L934" s="29">
        <f t="shared" si="203"/>
        <v>46194</v>
      </c>
      <c r="M934" s="27" t="str">
        <f t="shared" si="198"/>
        <v>Normal</v>
      </c>
      <c r="N934" s="31">
        <f t="shared" si="199"/>
        <v>2</v>
      </c>
      <c r="O934" s="27"/>
      <c r="Q934" s="8">
        <v>0.23019863247921013</v>
      </c>
      <c r="R934" s="8" t="str">
        <f t="shared" si="200"/>
        <v>On Time</v>
      </c>
      <c r="S934" s="33">
        <v>1.2484813217239741</v>
      </c>
      <c r="T934" t="s">
        <v>30</v>
      </c>
      <c r="U934" s="3">
        <v>0</v>
      </c>
      <c r="V934" s="3" t="str">
        <f t="shared" si="204"/>
        <v/>
      </c>
      <c r="W934" s="3" t="s">
        <v>51</v>
      </c>
      <c r="X934" s="32">
        <f t="shared" si="201"/>
        <v>5.2020055074535776E-2</v>
      </c>
      <c r="Z934" s="38">
        <f t="shared" si="205"/>
        <v>0</v>
      </c>
      <c r="AC934" s="36">
        <v>0.125</v>
      </c>
      <c r="AL934" t="str">
        <f t="shared" si="206"/>
        <v>Normal</v>
      </c>
      <c r="AM934" t="str">
        <f t="shared" si="207"/>
        <v>No</v>
      </c>
      <c r="AN934" t="str">
        <f t="shared" si="208"/>
        <v>Elective</v>
      </c>
      <c r="AO934" t="str">
        <f t="shared" si="209"/>
        <v>ICU</v>
      </c>
    </row>
    <row r="935" spans="1:41" x14ac:dyDescent="0.3">
      <c r="A935" s="21" t="str">
        <f t="shared" si="202"/>
        <v>UHID-00934</v>
      </c>
      <c r="B935" s="18">
        <v>49</v>
      </c>
      <c r="C935" s="10" t="s">
        <v>18</v>
      </c>
      <c r="D935" s="13" t="s">
        <v>26</v>
      </c>
      <c r="E935" s="13" t="s">
        <v>0</v>
      </c>
      <c r="F935" s="15">
        <v>46189.854414351903</v>
      </c>
      <c r="G935" s="4">
        <v>46189</v>
      </c>
      <c r="H935" s="1">
        <v>46196.406995787002</v>
      </c>
      <c r="I935" s="22">
        <v>46196</v>
      </c>
      <c r="J935" s="24">
        <f t="shared" si="196"/>
        <v>46196.186117771002</v>
      </c>
      <c r="K935" s="24">
        <f t="shared" si="197"/>
        <v>0.40699578700150596</v>
      </c>
      <c r="L935" s="29">
        <f t="shared" si="203"/>
        <v>46195</v>
      </c>
      <c r="M935" s="27" t="str">
        <f t="shared" si="198"/>
        <v>Health Deterioration/TPA Approval Delay</v>
      </c>
      <c r="N935" s="31">
        <f t="shared" si="199"/>
        <v>7</v>
      </c>
      <c r="O935" s="27"/>
      <c r="Q935" s="8">
        <v>0.63499023485470474</v>
      </c>
      <c r="R935" s="8" t="str">
        <f t="shared" si="200"/>
        <v>Critical Delay</v>
      </c>
      <c r="S935" s="33">
        <v>3.3010723840778362</v>
      </c>
      <c r="T935" t="s">
        <v>31</v>
      </c>
      <c r="U935" s="3">
        <v>2</v>
      </c>
      <c r="V935" s="3" t="str">
        <f t="shared" si="204"/>
        <v>Normal</v>
      </c>
      <c r="W935" s="3" t="s">
        <v>50</v>
      </c>
      <c r="X935" s="32">
        <f t="shared" si="201"/>
        <v>0.22087801599991508</v>
      </c>
      <c r="Z935" s="38">
        <f t="shared" si="205"/>
        <v>9.5878015999915078E-2</v>
      </c>
      <c r="AC935" s="36">
        <v>0.125</v>
      </c>
      <c r="AL935" t="str">
        <f t="shared" si="206"/>
        <v>Health Deterioration/TPA Approval Delay</v>
      </c>
      <c r="AM935" t="str">
        <f t="shared" si="207"/>
        <v>No</v>
      </c>
      <c r="AN935" t="str">
        <f t="shared" si="208"/>
        <v>Elective</v>
      </c>
      <c r="AO935" t="str">
        <f t="shared" si="209"/>
        <v>ICU</v>
      </c>
    </row>
    <row r="936" spans="1:41" x14ac:dyDescent="0.3">
      <c r="A936" s="21" t="str">
        <f t="shared" si="202"/>
        <v>UHID-00935</v>
      </c>
      <c r="B936" s="18">
        <v>51</v>
      </c>
      <c r="C936" s="10" t="s">
        <v>18</v>
      </c>
      <c r="D936" s="13" t="s">
        <v>27</v>
      </c>
      <c r="E936" s="13" t="s">
        <v>0</v>
      </c>
      <c r="F936" s="15">
        <v>46188.085784062503</v>
      </c>
      <c r="G936" s="4">
        <v>46188</v>
      </c>
      <c r="H936" s="1">
        <v>46196.5396418866</v>
      </c>
      <c r="I936" s="22">
        <v>46196</v>
      </c>
      <c r="J936" s="24">
        <f t="shared" si="196"/>
        <v>46196.468795532208</v>
      </c>
      <c r="K936" s="24">
        <f t="shared" si="197"/>
        <v>0.53964188660029322</v>
      </c>
      <c r="L936" s="29">
        <f t="shared" si="203"/>
        <v>46195</v>
      </c>
      <c r="M936" s="27" t="str">
        <f t="shared" si="198"/>
        <v>Normal</v>
      </c>
      <c r="N936" s="31">
        <f t="shared" si="199"/>
        <v>8</v>
      </c>
      <c r="O936" s="27"/>
      <c r="Q936" s="8">
        <v>0.45038710763453549</v>
      </c>
      <c r="R936" s="8" t="str">
        <f t="shared" si="200"/>
        <v>On Time</v>
      </c>
      <c r="S936" s="33">
        <v>1.7003125054072292</v>
      </c>
      <c r="T936" t="s">
        <v>31</v>
      </c>
      <c r="U936" s="3">
        <v>0</v>
      </c>
      <c r="V936" s="3" t="str">
        <f t="shared" si="204"/>
        <v>Normal</v>
      </c>
      <c r="W936" s="3" t="s">
        <v>51</v>
      </c>
      <c r="X936" s="32">
        <f t="shared" si="201"/>
        <v>7.0846354392415378E-2</v>
      </c>
      <c r="Z936" s="38">
        <f t="shared" si="205"/>
        <v>0</v>
      </c>
      <c r="AC936" s="36">
        <v>0.125</v>
      </c>
      <c r="AL936" t="str">
        <f t="shared" si="206"/>
        <v>Normal</v>
      </c>
      <c r="AM936" t="str">
        <f t="shared" si="207"/>
        <v>No</v>
      </c>
      <c r="AN936" t="str">
        <f t="shared" si="208"/>
        <v>Elective</v>
      </c>
      <c r="AO936" t="str">
        <f t="shared" si="209"/>
        <v>ICU</v>
      </c>
    </row>
    <row r="937" spans="1:41" x14ac:dyDescent="0.3">
      <c r="A937" s="21" t="str">
        <f t="shared" si="202"/>
        <v>UHID-00936</v>
      </c>
      <c r="B937" s="18">
        <v>77</v>
      </c>
      <c r="C937" s="10" t="s">
        <v>18</v>
      </c>
      <c r="D937" s="13" t="s">
        <v>26</v>
      </c>
      <c r="E937" s="13" t="s">
        <v>0</v>
      </c>
      <c r="F937" s="15">
        <v>46192.996080821802</v>
      </c>
      <c r="G937" s="4">
        <v>46192</v>
      </c>
      <c r="H937" s="1">
        <v>46196.578950810203</v>
      </c>
      <c r="I937" s="22">
        <v>46196</v>
      </c>
      <c r="J937" s="24">
        <f t="shared" si="196"/>
        <v>46196.421602177012</v>
      </c>
      <c r="K937" s="24">
        <f t="shared" si="197"/>
        <v>0.57895081020251382</v>
      </c>
      <c r="L937" s="29">
        <f t="shared" si="203"/>
        <v>46195</v>
      </c>
      <c r="M937" s="27" t="str">
        <f t="shared" si="198"/>
        <v>TPA Approval Delay</v>
      </c>
      <c r="N937" s="31">
        <f t="shared" si="199"/>
        <v>4</v>
      </c>
      <c r="O937" s="27"/>
      <c r="Q937" s="8">
        <v>0.61568917162720971</v>
      </c>
      <c r="R937" s="8" t="str">
        <f t="shared" si="200"/>
        <v>Major Delay</v>
      </c>
      <c r="S937" s="33">
        <v>3.7763671966189656</v>
      </c>
      <c r="T937" t="s">
        <v>31</v>
      </c>
      <c r="U937" s="3">
        <v>0</v>
      </c>
      <c r="V937" s="3" t="str">
        <f t="shared" si="204"/>
        <v>Normal</v>
      </c>
      <c r="W937" s="3" t="s">
        <v>51</v>
      </c>
      <c r="X937" s="32">
        <f t="shared" si="201"/>
        <v>0.1573486331908498</v>
      </c>
      <c r="Z937" s="38">
        <f t="shared" si="205"/>
        <v>3.2348633190849796E-2</v>
      </c>
      <c r="AC937" s="36">
        <v>0.125</v>
      </c>
      <c r="AL937" t="str">
        <f t="shared" si="206"/>
        <v>TPA Approval Delay</v>
      </c>
      <c r="AM937" t="str">
        <f t="shared" si="207"/>
        <v>No</v>
      </c>
      <c r="AN937" t="str">
        <f t="shared" si="208"/>
        <v>Elective</v>
      </c>
      <c r="AO937" t="str">
        <f t="shared" si="209"/>
        <v>HDU</v>
      </c>
    </row>
    <row r="938" spans="1:41" x14ac:dyDescent="0.3">
      <c r="A938" s="21" t="str">
        <f t="shared" si="202"/>
        <v>UHID-00937</v>
      </c>
      <c r="B938" s="18">
        <v>32</v>
      </c>
      <c r="C938" s="10" t="s">
        <v>18</v>
      </c>
      <c r="D938" s="13" t="s">
        <v>27</v>
      </c>
      <c r="E938" s="13" t="s">
        <v>0</v>
      </c>
      <c r="F938" s="15">
        <v>46189.871659155098</v>
      </c>
      <c r="G938" s="4">
        <v>46189</v>
      </c>
      <c r="H938" s="1">
        <v>46196.693804930597</v>
      </c>
      <c r="I938" s="22">
        <v>46196</v>
      </c>
      <c r="J938" s="24">
        <f t="shared" si="196"/>
        <v>46196.519235488588</v>
      </c>
      <c r="K938" s="24">
        <f t="shared" si="197"/>
        <v>0.69380493059725268</v>
      </c>
      <c r="L938" s="29">
        <f t="shared" si="203"/>
        <v>46195</v>
      </c>
      <c r="M938" s="27" t="str">
        <f t="shared" si="198"/>
        <v>Medication Change</v>
      </c>
      <c r="N938" s="31">
        <f t="shared" si="199"/>
        <v>7</v>
      </c>
      <c r="O938" s="27"/>
      <c r="Q938" s="8">
        <v>0.19606556558886912</v>
      </c>
      <c r="R938" s="8" t="str">
        <f t="shared" si="200"/>
        <v>Major Delay</v>
      </c>
      <c r="S938" s="33">
        <v>1.1896666081708882</v>
      </c>
      <c r="T938" t="s">
        <v>30</v>
      </c>
      <c r="U938" s="3">
        <v>3</v>
      </c>
      <c r="V938" s="3" t="str">
        <f t="shared" si="204"/>
        <v/>
      </c>
      <c r="W938" s="3" t="s">
        <v>50</v>
      </c>
      <c r="X938" s="32">
        <f t="shared" si="201"/>
        <v>0.17456944200966973</v>
      </c>
      <c r="Z938" s="38">
        <f t="shared" si="205"/>
        <v>4.9569442009669729E-2</v>
      </c>
      <c r="AC938" s="36">
        <v>0.125</v>
      </c>
      <c r="AL938" t="str">
        <f t="shared" si="206"/>
        <v>Medication Change</v>
      </c>
      <c r="AM938" t="str">
        <f t="shared" si="207"/>
        <v>No</v>
      </c>
      <c r="AN938" t="str">
        <f t="shared" si="208"/>
        <v>Elective</v>
      </c>
      <c r="AO938" t="str">
        <f t="shared" si="209"/>
        <v>ICU</v>
      </c>
    </row>
    <row r="939" spans="1:41" x14ac:dyDescent="0.3">
      <c r="A939" s="21" t="str">
        <f t="shared" si="202"/>
        <v>UHID-00938</v>
      </c>
      <c r="B939" s="18">
        <v>51</v>
      </c>
      <c r="C939" s="10" t="s">
        <v>17</v>
      </c>
      <c r="D939" s="13" t="s">
        <v>27</v>
      </c>
      <c r="E939" s="13" t="s">
        <v>0</v>
      </c>
      <c r="F939" s="15">
        <v>46190.670866840301</v>
      </c>
      <c r="G939" s="4">
        <v>46190</v>
      </c>
      <c r="H939" s="1">
        <v>46196.658887858801</v>
      </c>
      <c r="I939" s="22">
        <v>46196</v>
      </c>
      <c r="J939" s="24">
        <f t="shared" si="196"/>
        <v>46196.598717075583</v>
      </c>
      <c r="K939" s="24">
        <f t="shared" si="197"/>
        <v>0.65888785880088108</v>
      </c>
      <c r="L939" s="29">
        <f t="shared" si="203"/>
        <v>46195</v>
      </c>
      <c r="M939" s="27" t="str">
        <f t="shared" si="198"/>
        <v>Normal</v>
      </c>
      <c r="N939" s="31">
        <f t="shared" si="199"/>
        <v>6</v>
      </c>
      <c r="O939" s="27"/>
      <c r="Q939" s="8">
        <v>0.2723957258507459</v>
      </c>
      <c r="R939" s="8" t="str">
        <f t="shared" si="200"/>
        <v>On Time</v>
      </c>
      <c r="S939" s="33">
        <v>1.4440987972657697</v>
      </c>
      <c r="T939" t="s">
        <v>30</v>
      </c>
      <c r="U939" s="3">
        <v>0</v>
      </c>
      <c r="V939" s="3" t="str">
        <f t="shared" si="204"/>
        <v/>
      </c>
      <c r="W939" s="3" t="s">
        <v>51</v>
      </c>
      <c r="X939" s="32">
        <f t="shared" si="201"/>
        <v>6.017078321747249E-2</v>
      </c>
      <c r="Z939" s="38">
        <f t="shared" si="205"/>
        <v>0</v>
      </c>
      <c r="AC939" s="36">
        <v>0.125</v>
      </c>
      <c r="AL939" t="str">
        <f t="shared" si="206"/>
        <v>Normal</v>
      </c>
      <c r="AM939" t="str">
        <f t="shared" si="207"/>
        <v>No</v>
      </c>
      <c r="AN939" t="str">
        <f t="shared" si="208"/>
        <v>Elective</v>
      </c>
      <c r="AO939" t="str">
        <f t="shared" si="209"/>
        <v>HDU</v>
      </c>
    </row>
    <row r="940" spans="1:41" x14ac:dyDescent="0.3">
      <c r="A940" s="21" t="str">
        <f t="shared" si="202"/>
        <v>UHID-00939</v>
      </c>
      <c r="B940" s="18">
        <v>52</v>
      </c>
      <c r="C940" s="10" t="s">
        <v>18</v>
      </c>
      <c r="D940" s="13" t="s">
        <v>27</v>
      </c>
      <c r="E940" s="13" t="s">
        <v>0</v>
      </c>
      <c r="F940" s="15">
        <v>46185.004732164402</v>
      </c>
      <c r="G940" s="4">
        <v>46185</v>
      </c>
      <c r="H940" s="1">
        <v>46196.531491875001</v>
      </c>
      <c r="I940" s="22">
        <v>46196</v>
      </c>
      <c r="J940" s="24">
        <f t="shared" si="196"/>
        <v>46196.487560260561</v>
      </c>
      <c r="K940" s="24">
        <f t="shared" si="197"/>
        <v>0.53149187500093831</v>
      </c>
      <c r="L940" s="29">
        <f t="shared" si="203"/>
        <v>46195</v>
      </c>
      <c r="M940" s="27" t="str">
        <f t="shared" si="198"/>
        <v>Normal</v>
      </c>
      <c r="N940" s="31">
        <f t="shared" si="199"/>
        <v>11</v>
      </c>
      <c r="O940" s="27"/>
      <c r="Q940" s="8">
        <v>0.46559507324600657</v>
      </c>
      <c r="R940" s="8" t="str">
        <f t="shared" si="200"/>
        <v>On Time</v>
      </c>
      <c r="S940" s="33">
        <v>1.0543587465995818</v>
      </c>
      <c r="T940" t="s">
        <v>31</v>
      </c>
      <c r="U940" s="3">
        <v>0</v>
      </c>
      <c r="V940" s="3" t="str">
        <f t="shared" si="204"/>
        <v>Normal</v>
      </c>
      <c r="W940" s="3" t="s">
        <v>51</v>
      </c>
      <c r="X940" s="32">
        <f t="shared" si="201"/>
        <v>4.393161444022553E-2</v>
      </c>
      <c r="Z940" s="38">
        <f t="shared" si="205"/>
        <v>0</v>
      </c>
      <c r="AC940" s="36">
        <v>0.125</v>
      </c>
      <c r="AL940" t="str">
        <f t="shared" si="206"/>
        <v>Normal</v>
      </c>
      <c r="AM940" t="str">
        <f t="shared" si="207"/>
        <v>Yes</v>
      </c>
      <c r="AN940" t="str">
        <f t="shared" si="208"/>
        <v>Emergency</v>
      </c>
      <c r="AO940" t="str">
        <f t="shared" si="209"/>
        <v>ICU</v>
      </c>
    </row>
    <row r="941" spans="1:41" x14ac:dyDescent="0.3">
      <c r="A941" s="21" t="str">
        <f t="shared" si="202"/>
        <v>UHID-00940</v>
      </c>
      <c r="B941" s="18">
        <v>70</v>
      </c>
      <c r="C941" s="10" t="s">
        <v>18</v>
      </c>
      <c r="D941" s="13" t="s">
        <v>27</v>
      </c>
      <c r="E941" s="13" t="s">
        <v>0</v>
      </c>
      <c r="F941" s="15">
        <v>46193.980415833299</v>
      </c>
      <c r="G941" s="4">
        <v>46193</v>
      </c>
      <c r="H941" s="1">
        <v>46197.588254247697</v>
      </c>
      <c r="I941" s="22">
        <v>46197</v>
      </c>
      <c r="J941" s="24">
        <f t="shared" si="196"/>
        <v>46197.386101512122</v>
      </c>
      <c r="K941" s="24">
        <f t="shared" si="197"/>
        <v>0.58825424769747769</v>
      </c>
      <c r="L941" s="29">
        <f t="shared" si="203"/>
        <v>46196</v>
      </c>
      <c r="M941" s="27" t="str">
        <f t="shared" si="198"/>
        <v>Medication Change</v>
      </c>
      <c r="N941" s="31">
        <f t="shared" si="199"/>
        <v>4</v>
      </c>
      <c r="O941" s="27"/>
      <c r="Q941" s="8">
        <v>0.36985419912650452</v>
      </c>
      <c r="R941" s="8" t="str">
        <f t="shared" si="200"/>
        <v>Major Delay</v>
      </c>
      <c r="S941" s="33">
        <v>1.8516656537755831</v>
      </c>
      <c r="T941" t="s">
        <v>31</v>
      </c>
      <c r="U941" s="3">
        <v>3</v>
      </c>
      <c r="V941" s="3" t="str">
        <f t="shared" si="204"/>
        <v>Normal</v>
      </c>
      <c r="W941" s="3" t="s">
        <v>50</v>
      </c>
      <c r="X941" s="32">
        <f t="shared" si="201"/>
        <v>0.20215273557550972</v>
      </c>
      <c r="Z941" s="38">
        <f t="shared" si="205"/>
        <v>7.7152735575509723E-2</v>
      </c>
      <c r="AC941" s="36">
        <v>0.125</v>
      </c>
      <c r="AL941" t="str">
        <f t="shared" si="206"/>
        <v>Medication Change</v>
      </c>
      <c r="AM941" t="str">
        <f t="shared" si="207"/>
        <v>No</v>
      </c>
      <c r="AN941" t="str">
        <f t="shared" si="208"/>
        <v>Emergency</v>
      </c>
      <c r="AO941" t="str">
        <f t="shared" si="209"/>
        <v>ICU</v>
      </c>
    </row>
    <row r="942" spans="1:41" x14ac:dyDescent="0.3">
      <c r="A942" s="21" t="str">
        <f t="shared" si="202"/>
        <v>UHID-00941</v>
      </c>
      <c r="B942" s="18">
        <v>40</v>
      </c>
      <c r="C942" s="10" t="s">
        <v>18</v>
      </c>
      <c r="D942" s="13" t="s">
        <v>27</v>
      </c>
      <c r="E942" s="13" t="s">
        <v>0</v>
      </c>
      <c r="F942" s="15">
        <v>46189.530104016201</v>
      </c>
      <c r="G942" s="4">
        <v>46189</v>
      </c>
      <c r="H942" s="1">
        <v>46197.671579282403</v>
      </c>
      <c r="I942" s="22">
        <v>46197</v>
      </c>
      <c r="J942" s="24">
        <f t="shared" si="196"/>
        <v>46197.349044923489</v>
      </c>
      <c r="K942" s="24">
        <f t="shared" si="197"/>
        <v>0.6715792824033997</v>
      </c>
      <c r="L942" s="29">
        <f t="shared" si="203"/>
        <v>46196</v>
      </c>
      <c r="M942" s="27" t="str">
        <f t="shared" si="198"/>
        <v>Health Deterioration</v>
      </c>
      <c r="N942" s="31">
        <f t="shared" si="199"/>
        <v>8</v>
      </c>
      <c r="O942" s="27"/>
      <c r="Q942" s="8">
        <v>0.30033906961236878</v>
      </c>
      <c r="R942" s="8" t="str">
        <f t="shared" si="200"/>
        <v>Critical Delay</v>
      </c>
      <c r="S942" s="33">
        <v>1.7408246140146197</v>
      </c>
      <c r="T942" t="s">
        <v>30</v>
      </c>
      <c r="U942" s="3">
        <v>6</v>
      </c>
      <c r="V942" s="3" t="str">
        <f t="shared" si="204"/>
        <v/>
      </c>
      <c r="W942" s="3" t="s">
        <v>52</v>
      </c>
      <c r="X942" s="32">
        <f t="shared" si="201"/>
        <v>0.32253435891470872</v>
      </c>
      <c r="Z942" s="38">
        <f t="shared" si="205"/>
        <v>0.19753435891470872</v>
      </c>
      <c r="AC942" s="36">
        <v>0.125</v>
      </c>
      <c r="AL942" t="str">
        <f t="shared" si="206"/>
        <v>Health Deterioration</v>
      </c>
      <c r="AM942" t="str">
        <f t="shared" si="207"/>
        <v>No</v>
      </c>
      <c r="AN942" t="str">
        <f t="shared" si="208"/>
        <v>Emergency</v>
      </c>
      <c r="AO942" t="str">
        <f t="shared" si="209"/>
        <v>ICU</v>
      </c>
    </row>
    <row r="943" spans="1:41" x14ac:dyDescent="0.3">
      <c r="A943" s="21" t="str">
        <f t="shared" si="202"/>
        <v>UHID-00942</v>
      </c>
      <c r="B943" s="18">
        <v>75</v>
      </c>
      <c r="C943" s="10" t="s">
        <v>17</v>
      </c>
      <c r="D943" s="13" t="s">
        <v>27</v>
      </c>
      <c r="E943" s="13" t="s">
        <v>0</v>
      </c>
      <c r="F943" s="15">
        <v>46192.002599432897</v>
      </c>
      <c r="G943" s="4">
        <v>46192</v>
      </c>
      <c r="H943" s="1">
        <v>46197.593106666704</v>
      </c>
      <c r="I943" s="22">
        <v>46197</v>
      </c>
      <c r="J943" s="24">
        <f t="shared" si="196"/>
        <v>46197.526194552847</v>
      </c>
      <c r="K943" s="24">
        <f t="shared" si="197"/>
        <v>0.59310666670353385</v>
      </c>
      <c r="L943" s="29">
        <f t="shared" si="203"/>
        <v>46196</v>
      </c>
      <c r="M943" s="27" t="str">
        <f t="shared" si="198"/>
        <v>Normal</v>
      </c>
      <c r="N943" s="31">
        <f t="shared" si="199"/>
        <v>5</v>
      </c>
      <c r="O943" s="27"/>
      <c r="Q943" s="8">
        <v>0.25058790482795312</v>
      </c>
      <c r="R943" s="8" t="str">
        <f t="shared" si="200"/>
        <v>On Time</v>
      </c>
      <c r="S943" s="33">
        <v>1.6058907325160252</v>
      </c>
      <c r="T943" t="s">
        <v>30</v>
      </c>
      <c r="U943" s="3">
        <v>0</v>
      </c>
      <c r="V943" s="3" t="str">
        <f t="shared" si="204"/>
        <v/>
      </c>
      <c r="W943" s="3" t="s">
        <v>51</v>
      </c>
      <c r="X943" s="32">
        <f t="shared" si="201"/>
        <v>6.6912113856233191E-2</v>
      </c>
      <c r="Z943" s="38">
        <f t="shared" si="205"/>
        <v>0</v>
      </c>
      <c r="AC943" s="36">
        <v>0.125</v>
      </c>
      <c r="AL943" t="str">
        <f t="shared" si="206"/>
        <v>Normal</v>
      </c>
      <c r="AM943" t="str">
        <f t="shared" si="207"/>
        <v>No</v>
      </c>
      <c r="AN943" t="str">
        <f t="shared" si="208"/>
        <v>Emergency</v>
      </c>
      <c r="AO943" t="str">
        <f t="shared" si="209"/>
        <v>ICU</v>
      </c>
    </row>
    <row r="944" spans="1:41" x14ac:dyDescent="0.3">
      <c r="A944" s="21" t="str">
        <f t="shared" si="202"/>
        <v>UHID-00943</v>
      </c>
      <c r="B944" s="18">
        <v>60</v>
      </c>
      <c r="C944" s="10" t="s">
        <v>17</v>
      </c>
      <c r="D944" s="13" t="s">
        <v>26</v>
      </c>
      <c r="E944" s="13" t="s">
        <v>0</v>
      </c>
      <c r="F944" s="15">
        <v>46191.021735231501</v>
      </c>
      <c r="G944" s="4">
        <v>46191</v>
      </c>
      <c r="H944" s="1">
        <v>46198.680313576398</v>
      </c>
      <c r="I944" s="22">
        <v>46198</v>
      </c>
      <c r="J944" s="24">
        <f t="shared" si="196"/>
        <v>46198.527862692565</v>
      </c>
      <c r="K944" s="24">
        <f t="shared" si="197"/>
        <v>0.68031357639847556</v>
      </c>
      <c r="L944" s="29">
        <f t="shared" si="203"/>
        <v>46197</v>
      </c>
      <c r="M944" s="27" t="str">
        <f t="shared" si="198"/>
        <v>TPA Approval Delay</v>
      </c>
      <c r="N944" s="31">
        <f t="shared" si="199"/>
        <v>7</v>
      </c>
      <c r="O944" s="27"/>
      <c r="Q944" s="8">
        <v>0.6988013130285855</v>
      </c>
      <c r="R944" s="8" t="str">
        <f t="shared" si="200"/>
        <v>Major Delay</v>
      </c>
      <c r="S944" s="33">
        <v>3.6588212119551589</v>
      </c>
      <c r="T944" t="s">
        <v>31</v>
      </c>
      <c r="U944" s="3">
        <v>0</v>
      </c>
      <c r="V944" s="3" t="str">
        <f t="shared" si="204"/>
        <v>Normal</v>
      </c>
      <c r="W944" s="3" t="s">
        <v>51</v>
      </c>
      <c r="X944" s="32">
        <f t="shared" si="201"/>
        <v>0.15245088383380789</v>
      </c>
      <c r="Z944" s="38">
        <f t="shared" si="205"/>
        <v>2.7450883833807893E-2</v>
      </c>
      <c r="AC944" s="36">
        <v>0.125</v>
      </c>
      <c r="AL944" t="str">
        <f t="shared" si="206"/>
        <v>TPA Approval Delay</v>
      </c>
      <c r="AM944" t="str">
        <f t="shared" si="207"/>
        <v>No</v>
      </c>
      <c r="AN944" t="str">
        <f t="shared" si="208"/>
        <v>Elective</v>
      </c>
      <c r="AO944" t="str">
        <f t="shared" si="209"/>
        <v>ICU</v>
      </c>
    </row>
    <row r="945" spans="1:41" x14ac:dyDescent="0.3">
      <c r="A945" s="21" t="str">
        <f t="shared" si="202"/>
        <v>UHID-00944</v>
      </c>
      <c r="B945" s="19">
        <v>33</v>
      </c>
      <c r="C945" s="11" t="s">
        <v>18</v>
      </c>
      <c r="D945" s="13" t="s">
        <v>26</v>
      </c>
      <c r="E945" s="13" t="s">
        <v>0</v>
      </c>
      <c r="F945" s="16">
        <v>46189.925410300901</v>
      </c>
      <c r="G945" s="5">
        <v>46189</v>
      </c>
      <c r="H945" s="2">
        <v>46199.661854768499</v>
      </c>
      <c r="I945" s="23">
        <v>46199</v>
      </c>
      <c r="J945" s="24">
        <f t="shared" si="196"/>
        <v>46199.505296174539</v>
      </c>
      <c r="K945" s="24">
        <f t="shared" si="197"/>
        <v>0.66185476849932456</v>
      </c>
      <c r="L945" s="29">
        <f t="shared" si="203"/>
        <v>46198</v>
      </c>
      <c r="M945" s="27" t="str">
        <f t="shared" si="198"/>
        <v>TPA Approval Delay</v>
      </c>
      <c r="N945" s="31">
        <f t="shared" si="199"/>
        <v>10</v>
      </c>
      <c r="O945" s="27"/>
      <c r="Q945" s="8">
        <v>0.59334501707938336</v>
      </c>
      <c r="R945" s="8" t="str">
        <f t="shared" si="200"/>
        <v>Major Delay</v>
      </c>
      <c r="S945" s="33">
        <v>3.7574062550303613</v>
      </c>
      <c r="T945" t="s">
        <v>31</v>
      </c>
      <c r="U945" s="3">
        <v>0</v>
      </c>
      <c r="V945" s="3" t="str">
        <f t="shared" si="204"/>
        <v>Normal</v>
      </c>
      <c r="W945" s="3" t="s">
        <v>51</v>
      </c>
      <c r="X945" s="32">
        <f t="shared" si="201"/>
        <v>0.15655859396065352</v>
      </c>
      <c r="Z945" s="38">
        <f t="shared" si="205"/>
        <v>3.1558593960653525E-2</v>
      </c>
      <c r="AC945" s="36">
        <v>0.125</v>
      </c>
      <c r="AL945" t="str">
        <f t="shared" si="206"/>
        <v>TPA Approval Delay</v>
      </c>
      <c r="AM945" t="str">
        <f t="shared" si="207"/>
        <v>No</v>
      </c>
      <c r="AN945" t="str">
        <f t="shared" si="208"/>
        <v>Elective</v>
      </c>
      <c r="AO945" t="str">
        <f t="shared" si="209"/>
        <v>ICU</v>
      </c>
    </row>
    <row r="946" spans="1:41" x14ac:dyDescent="0.3">
      <c r="A946" s="21" t="str">
        <f t="shared" si="202"/>
        <v>UHID-00945</v>
      </c>
      <c r="B946" s="19">
        <v>63</v>
      </c>
      <c r="C946" s="11" t="s">
        <v>18</v>
      </c>
      <c r="D946" s="13" t="s">
        <v>27</v>
      </c>
      <c r="E946" s="13" t="s">
        <v>0</v>
      </c>
      <c r="F946" s="16">
        <v>46186.719260636601</v>
      </c>
      <c r="G946" s="5">
        <v>46186</v>
      </c>
      <c r="H946" s="2">
        <v>46198.648196122696</v>
      </c>
      <c r="I946" s="23">
        <v>46198</v>
      </c>
      <c r="J946" s="24">
        <f t="shared" si="196"/>
        <v>46198.594301754842</v>
      </c>
      <c r="K946" s="24">
        <f t="shared" si="197"/>
        <v>0.64819612269639038</v>
      </c>
      <c r="L946" s="29">
        <f t="shared" si="203"/>
        <v>46197</v>
      </c>
      <c r="M946" s="27" t="str">
        <f t="shared" si="198"/>
        <v>Normal</v>
      </c>
      <c r="N946" s="31">
        <f t="shared" si="199"/>
        <v>12</v>
      </c>
      <c r="O946" s="27"/>
      <c r="Q946" s="8">
        <v>2.1438042040227479E-2</v>
      </c>
      <c r="R946" s="8" t="str">
        <f t="shared" si="200"/>
        <v>On Time</v>
      </c>
      <c r="S946" s="33">
        <v>1.2934648284928421</v>
      </c>
      <c r="T946" t="s">
        <v>30</v>
      </c>
      <c r="U946" s="3">
        <v>0</v>
      </c>
      <c r="V946" s="3" t="str">
        <f t="shared" si="204"/>
        <v/>
      </c>
      <c r="W946" s="3" t="s">
        <v>51</v>
      </c>
      <c r="X946" s="32">
        <f t="shared" si="201"/>
        <v>5.3894367854809389E-2</v>
      </c>
      <c r="Z946" s="38">
        <f t="shared" si="205"/>
        <v>0</v>
      </c>
      <c r="AC946" s="36">
        <v>0.125</v>
      </c>
      <c r="AL946" t="str">
        <f t="shared" si="206"/>
        <v>Normal</v>
      </c>
      <c r="AM946" t="str">
        <f t="shared" si="207"/>
        <v>Yes</v>
      </c>
      <c r="AN946" t="str">
        <f t="shared" si="208"/>
        <v>Elective</v>
      </c>
      <c r="AO946" t="str">
        <f t="shared" si="209"/>
        <v>ICU</v>
      </c>
    </row>
    <row r="947" spans="1:41" x14ac:dyDescent="0.3">
      <c r="A947" s="21" t="str">
        <f t="shared" si="202"/>
        <v>UHID-00946</v>
      </c>
      <c r="B947" s="19">
        <v>71</v>
      </c>
      <c r="C947" s="11" t="s">
        <v>18</v>
      </c>
      <c r="D947" s="13" t="s">
        <v>28</v>
      </c>
      <c r="E947" s="13" t="s">
        <v>0</v>
      </c>
      <c r="F947" s="16">
        <v>46197.830522939803</v>
      </c>
      <c r="G947" s="5">
        <v>46197</v>
      </c>
      <c r="H947" s="2">
        <v>46199.527816597198</v>
      </c>
      <c r="I947" s="23">
        <v>46199</v>
      </c>
      <c r="J947" s="24">
        <f t="shared" si="196"/>
        <v>46199.339137833893</v>
      </c>
      <c r="K947" s="24">
        <f t="shared" si="197"/>
        <v>0.52781659719767049</v>
      </c>
      <c r="L947" s="29">
        <f t="shared" si="203"/>
        <v>46198</v>
      </c>
      <c r="M947" s="27" t="str">
        <f t="shared" si="198"/>
        <v>Medication Change</v>
      </c>
      <c r="N947" s="31">
        <f t="shared" si="199"/>
        <v>2</v>
      </c>
      <c r="O947" s="27"/>
      <c r="Q947" s="8">
        <v>0.94011986017878035</v>
      </c>
      <c r="R947" s="8" t="str">
        <f t="shared" si="200"/>
        <v>Major Delay</v>
      </c>
      <c r="S947" s="33">
        <v>2.5282903192673989</v>
      </c>
      <c r="T947" t="s">
        <v>31</v>
      </c>
      <c r="U947" s="3">
        <v>2</v>
      </c>
      <c r="V947" s="3" t="str">
        <f t="shared" si="204"/>
        <v>Normal</v>
      </c>
      <c r="W947" s="3" t="s">
        <v>50</v>
      </c>
      <c r="X947" s="32">
        <f t="shared" si="201"/>
        <v>0.18867876330477884</v>
      </c>
      <c r="Z947" s="38">
        <f t="shared" si="205"/>
        <v>6.367876330477884E-2</v>
      </c>
      <c r="AC947" s="36">
        <v>0.125</v>
      </c>
      <c r="AL947" t="str">
        <f t="shared" si="206"/>
        <v>Medication Change</v>
      </c>
      <c r="AM947" t="str">
        <f t="shared" si="207"/>
        <v>No</v>
      </c>
      <c r="AN947" t="str">
        <f t="shared" si="208"/>
        <v>Elective</v>
      </c>
      <c r="AO947" t="str">
        <f t="shared" si="209"/>
        <v>HDU</v>
      </c>
    </row>
    <row r="948" spans="1:41" x14ac:dyDescent="0.3">
      <c r="A948" s="21" t="str">
        <f t="shared" si="202"/>
        <v>UHID-00947</v>
      </c>
      <c r="B948" s="19">
        <v>17</v>
      </c>
      <c r="C948" s="11" t="s">
        <v>17</v>
      </c>
      <c r="D948" s="13" t="s">
        <v>27</v>
      </c>
      <c r="E948" s="13" t="s">
        <v>0</v>
      </c>
      <c r="F948" s="16">
        <v>46198.443085879597</v>
      </c>
      <c r="G948" s="5">
        <v>46198</v>
      </c>
      <c r="H948" s="2">
        <v>46199.663954525502</v>
      </c>
      <c r="I948" s="23">
        <v>46199</v>
      </c>
      <c r="J948" s="24">
        <f t="shared" si="196"/>
        <v>46199.597025138974</v>
      </c>
      <c r="K948" s="24">
        <f t="shared" si="197"/>
        <v>0.66395452550204936</v>
      </c>
      <c r="L948" s="29">
        <f t="shared" si="203"/>
        <v>46198</v>
      </c>
      <c r="M948" s="27" t="str">
        <f t="shared" si="198"/>
        <v>Normal</v>
      </c>
      <c r="N948" s="31">
        <f t="shared" si="199"/>
        <v>1</v>
      </c>
      <c r="O948" s="27"/>
      <c r="Q948" s="8">
        <v>0.25618263613014458</v>
      </c>
      <c r="R948" s="8" t="str">
        <f t="shared" si="200"/>
        <v>On Time</v>
      </c>
      <c r="S948" s="33">
        <v>1.6063052766974866</v>
      </c>
      <c r="T948" t="s">
        <v>30</v>
      </c>
      <c r="U948" s="3">
        <v>0</v>
      </c>
      <c r="V948" s="3" t="str">
        <f t="shared" si="204"/>
        <v/>
      </c>
      <c r="W948" s="3" t="s">
        <v>51</v>
      </c>
      <c r="X948" s="32">
        <f t="shared" si="201"/>
        <v>6.692938652849989E-2</v>
      </c>
      <c r="Z948" s="38">
        <f t="shared" si="205"/>
        <v>0</v>
      </c>
      <c r="AC948" s="36">
        <v>0.125</v>
      </c>
      <c r="AL948" t="str">
        <f t="shared" si="206"/>
        <v>Normal</v>
      </c>
      <c r="AM948" t="str">
        <f t="shared" si="207"/>
        <v>No</v>
      </c>
      <c r="AN948" t="str">
        <f t="shared" si="208"/>
        <v>Elective</v>
      </c>
      <c r="AO948" t="str">
        <f t="shared" si="209"/>
        <v>HDU</v>
      </c>
    </row>
    <row r="949" spans="1:41" x14ac:dyDescent="0.3">
      <c r="A949" s="21" t="str">
        <f t="shared" si="202"/>
        <v>UHID-00948</v>
      </c>
      <c r="B949" s="19">
        <v>78</v>
      </c>
      <c r="C949" s="11" t="s">
        <v>17</v>
      </c>
      <c r="D949" s="13" t="s">
        <v>27</v>
      </c>
      <c r="E949" s="13" t="s">
        <v>0</v>
      </c>
      <c r="F949" s="16">
        <v>46189.732839444398</v>
      </c>
      <c r="G949" s="5">
        <v>46189</v>
      </c>
      <c r="H949" s="2">
        <v>46199.544166481501</v>
      </c>
      <c r="I949" s="23">
        <v>46199</v>
      </c>
      <c r="J949" s="24">
        <f t="shared" si="196"/>
        <v>46199.317081101595</v>
      </c>
      <c r="K949" s="24">
        <f t="shared" si="197"/>
        <v>0.54416648150072433</v>
      </c>
      <c r="L949" s="29">
        <f t="shared" si="203"/>
        <v>46198</v>
      </c>
      <c r="M949" s="27" t="str">
        <f t="shared" si="198"/>
        <v>Health Deterioration</v>
      </c>
      <c r="N949" s="31">
        <f t="shared" si="199"/>
        <v>10</v>
      </c>
      <c r="O949" s="27"/>
      <c r="Q949" s="8">
        <v>0.3081936651132805</v>
      </c>
      <c r="R949" s="8" t="str">
        <f t="shared" si="200"/>
        <v>Critical Delay</v>
      </c>
      <c r="S949" s="33">
        <v>1.4500491177416723</v>
      </c>
      <c r="T949" t="s">
        <v>30</v>
      </c>
      <c r="U949" s="3">
        <v>4</v>
      </c>
      <c r="V949" s="3" t="str">
        <f t="shared" si="204"/>
        <v/>
      </c>
      <c r="W949" s="3" t="s">
        <v>50</v>
      </c>
      <c r="X949" s="32">
        <f t="shared" si="201"/>
        <v>0.22708537990547484</v>
      </c>
      <c r="Z949" s="38">
        <f t="shared" si="205"/>
        <v>0.10208537990547484</v>
      </c>
      <c r="AC949" s="36">
        <v>0.125</v>
      </c>
      <c r="AL949" t="str">
        <f t="shared" si="206"/>
        <v>Health Deterioration</v>
      </c>
      <c r="AM949" t="str">
        <f t="shared" si="207"/>
        <v>Yes</v>
      </c>
      <c r="AN949" t="str">
        <f t="shared" si="208"/>
        <v>Elective</v>
      </c>
      <c r="AO949" t="str">
        <f t="shared" si="209"/>
        <v>ICU</v>
      </c>
    </row>
    <row r="950" spans="1:41" x14ac:dyDescent="0.3">
      <c r="A950" s="21" t="str">
        <f t="shared" si="202"/>
        <v>UHID-00949</v>
      </c>
      <c r="B950" s="19">
        <v>80</v>
      </c>
      <c r="C950" s="11" t="s">
        <v>18</v>
      </c>
      <c r="D950" s="13" t="s">
        <v>28</v>
      </c>
      <c r="E950" s="13" t="s">
        <v>0</v>
      </c>
      <c r="F950" s="16">
        <v>46197.035563506899</v>
      </c>
      <c r="G950" s="5">
        <v>46197</v>
      </c>
      <c r="H950" s="2">
        <v>46200.807715011601</v>
      </c>
      <c r="I950" s="23">
        <v>46200</v>
      </c>
      <c r="J950" s="24">
        <f t="shared" si="196"/>
        <v>46200.712416406903</v>
      </c>
      <c r="K950" s="24">
        <f t="shared" si="197"/>
        <v>0.80771501160052139</v>
      </c>
      <c r="L950" s="29">
        <f t="shared" si="203"/>
        <v>46199</v>
      </c>
      <c r="M950" s="27" t="str">
        <f t="shared" si="198"/>
        <v>Doctor Round Delay/Report Delay</v>
      </c>
      <c r="N950" s="31">
        <f t="shared" si="199"/>
        <v>3</v>
      </c>
      <c r="O950" s="27"/>
      <c r="Q950" s="8">
        <v>0.89353436834732802</v>
      </c>
      <c r="R950" s="8" t="str">
        <f t="shared" si="200"/>
        <v>Minor Delay</v>
      </c>
      <c r="S950" s="33">
        <v>2.2871665127780929</v>
      </c>
      <c r="T950" t="s">
        <v>31</v>
      </c>
      <c r="U950" s="3">
        <v>0</v>
      </c>
      <c r="V950" s="3" t="str">
        <f t="shared" si="204"/>
        <v>Normal</v>
      </c>
      <c r="W950" s="3" t="s">
        <v>51</v>
      </c>
      <c r="X950" s="32">
        <f t="shared" si="201"/>
        <v>9.5298604697745759E-2</v>
      </c>
      <c r="Z950" s="38">
        <f t="shared" si="205"/>
        <v>0</v>
      </c>
      <c r="AC950" s="36">
        <v>0.125</v>
      </c>
      <c r="AL950" t="str">
        <f t="shared" si="206"/>
        <v>Doctor Round Delay/Report Delay</v>
      </c>
      <c r="AM950" t="str">
        <f t="shared" si="207"/>
        <v>No</v>
      </c>
      <c r="AN950" t="str">
        <f t="shared" si="208"/>
        <v>Emergency</v>
      </c>
      <c r="AO950" t="str">
        <f t="shared" si="209"/>
        <v>ICU</v>
      </c>
    </row>
    <row r="951" spans="1:41" x14ac:dyDescent="0.3">
      <c r="A951" s="21" t="str">
        <f t="shared" si="202"/>
        <v>UHID-00950</v>
      </c>
      <c r="B951" s="19">
        <v>49</v>
      </c>
      <c r="C951" s="11" t="s">
        <v>17</v>
      </c>
      <c r="D951" s="13" t="s">
        <v>26</v>
      </c>
      <c r="E951" s="13" t="s">
        <v>0</v>
      </c>
      <c r="F951" s="16">
        <v>46197.484429502299</v>
      </c>
      <c r="G951" s="5">
        <v>46197</v>
      </c>
      <c r="H951" s="2">
        <v>46201.486264861102</v>
      </c>
      <c r="I951" s="23">
        <v>46201</v>
      </c>
      <c r="J951" s="24">
        <f t="shared" si="196"/>
        <v>46201.346383062824</v>
      </c>
      <c r="K951" s="24">
        <f t="shared" si="197"/>
        <v>0.48626486110151745</v>
      </c>
      <c r="L951" s="29">
        <f t="shared" si="203"/>
        <v>46200</v>
      </c>
      <c r="M951" s="27" t="str">
        <f t="shared" si="198"/>
        <v>TPA Approval Delay</v>
      </c>
      <c r="N951" s="31">
        <f t="shared" si="199"/>
        <v>4</v>
      </c>
      <c r="O951" s="27"/>
      <c r="Q951" s="8">
        <v>0.748226350665956</v>
      </c>
      <c r="R951" s="8" t="str">
        <f t="shared" si="200"/>
        <v>Major Delay</v>
      </c>
      <c r="S951" s="33">
        <v>3.3571631586781963</v>
      </c>
      <c r="T951" t="s">
        <v>31</v>
      </c>
      <c r="U951" s="3">
        <v>0</v>
      </c>
      <c r="V951" s="3" t="str">
        <f t="shared" si="204"/>
        <v>Normal</v>
      </c>
      <c r="W951" s="3" t="s">
        <v>51</v>
      </c>
      <c r="X951" s="32">
        <f t="shared" si="201"/>
        <v>0.1398817982772016</v>
      </c>
      <c r="Z951" s="38">
        <f t="shared" si="205"/>
        <v>1.4881798277201597E-2</v>
      </c>
      <c r="AC951" s="36">
        <v>0.125</v>
      </c>
      <c r="AL951" t="str">
        <f t="shared" si="206"/>
        <v>TPA Approval Delay</v>
      </c>
      <c r="AM951" t="str">
        <f t="shared" si="207"/>
        <v>No</v>
      </c>
      <c r="AN951" t="str">
        <f t="shared" si="208"/>
        <v>Emergency</v>
      </c>
      <c r="AO951" t="str">
        <f t="shared" si="209"/>
        <v>ICU</v>
      </c>
    </row>
    <row r="952" spans="1:41" x14ac:dyDescent="0.3">
      <c r="A952" s="21" t="str">
        <f t="shared" si="202"/>
        <v>UHID-00951</v>
      </c>
      <c r="B952" s="19">
        <v>59</v>
      </c>
      <c r="C952" s="11" t="s">
        <v>18</v>
      </c>
      <c r="D952" s="13" t="s">
        <v>26</v>
      </c>
      <c r="E952" s="13" t="s">
        <v>0</v>
      </c>
      <c r="F952" s="16">
        <v>46199.413420347199</v>
      </c>
      <c r="G952" s="5">
        <v>46199</v>
      </c>
      <c r="H952" s="2">
        <v>46201.684616597202</v>
      </c>
      <c r="I952" s="23">
        <v>46201</v>
      </c>
      <c r="J952" s="24">
        <f t="shared" si="196"/>
        <v>46201.551262258727</v>
      </c>
      <c r="K952" s="24">
        <f t="shared" si="197"/>
        <v>0.68461659720196621</v>
      </c>
      <c r="L952" s="29">
        <f t="shared" si="203"/>
        <v>46200</v>
      </c>
      <c r="M952" s="27" t="str">
        <f t="shared" si="198"/>
        <v>TPA Approval Delay</v>
      </c>
      <c r="N952" s="31">
        <f t="shared" si="199"/>
        <v>2</v>
      </c>
      <c r="O952" s="27"/>
      <c r="Q952" s="8">
        <v>0.66305663310970653</v>
      </c>
      <c r="R952" s="8" t="str">
        <f t="shared" si="200"/>
        <v>Major Delay</v>
      </c>
      <c r="S952" s="33">
        <v>3.2005041233856257</v>
      </c>
      <c r="T952" t="s">
        <v>31</v>
      </c>
      <c r="U952" s="3">
        <v>0</v>
      </c>
      <c r="V952" s="3" t="str">
        <f t="shared" si="204"/>
        <v>Normal</v>
      </c>
      <c r="W952" s="3" t="s">
        <v>51</v>
      </c>
      <c r="X952" s="32">
        <f t="shared" si="201"/>
        <v>0.1333543384753284</v>
      </c>
      <c r="Z952" s="38">
        <f t="shared" si="205"/>
        <v>8.3543384753284045E-3</v>
      </c>
      <c r="AC952" s="36">
        <v>0.125</v>
      </c>
      <c r="AL952" t="str">
        <f t="shared" si="206"/>
        <v>TPA Approval Delay</v>
      </c>
      <c r="AM952" t="str">
        <f t="shared" si="207"/>
        <v>No</v>
      </c>
      <c r="AN952" t="str">
        <f t="shared" si="208"/>
        <v>Emergency</v>
      </c>
      <c r="AO952" t="str">
        <f t="shared" si="209"/>
        <v>ICU</v>
      </c>
    </row>
    <row r="953" spans="1:41" x14ac:dyDescent="0.3">
      <c r="A953" s="21" t="str">
        <f t="shared" si="202"/>
        <v>UHID-00952</v>
      </c>
      <c r="B953" s="19">
        <v>59</v>
      </c>
      <c r="C953" s="11" t="s">
        <v>17</v>
      </c>
      <c r="D953" s="13" t="s">
        <v>26</v>
      </c>
      <c r="E953" s="13" t="s">
        <v>0</v>
      </c>
      <c r="F953" s="16">
        <v>46198.719511169002</v>
      </c>
      <c r="G953" s="5">
        <v>46198</v>
      </c>
      <c r="H953" s="2">
        <v>46201.614764919002</v>
      </c>
      <c r="I953" s="23">
        <v>46201</v>
      </c>
      <c r="J953" s="24">
        <f t="shared" si="196"/>
        <v>46201.345096945413</v>
      </c>
      <c r="K953" s="24">
        <f t="shared" si="197"/>
        <v>0.6147649190024822</v>
      </c>
      <c r="L953" s="29">
        <f t="shared" si="203"/>
        <v>46200</v>
      </c>
      <c r="M953" s="27" t="str">
        <f t="shared" si="198"/>
        <v>Health Deterioration/TPA Approval Delay</v>
      </c>
      <c r="N953" s="31">
        <f t="shared" si="199"/>
        <v>3</v>
      </c>
      <c r="O953" s="27"/>
      <c r="Q953" s="8">
        <v>0.72413565859031792</v>
      </c>
      <c r="R953" s="8" t="str">
        <f t="shared" si="200"/>
        <v>Critical Delay</v>
      </c>
      <c r="S953" s="33">
        <v>3.4720313660914575</v>
      </c>
      <c r="T953" t="s">
        <v>31</v>
      </c>
      <c r="U953" s="3">
        <v>3</v>
      </c>
      <c r="V953" s="3" t="str">
        <f t="shared" si="204"/>
        <v>Normal</v>
      </c>
      <c r="W953" s="3" t="s">
        <v>50</v>
      </c>
      <c r="X953" s="32">
        <f t="shared" si="201"/>
        <v>0.26966797358909389</v>
      </c>
      <c r="Z953" s="38">
        <f t="shared" si="205"/>
        <v>0.14466797358909389</v>
      </c>
      <c r="AC953" s="36">
        <v>0.125</v>
      </c>
      <c r="AL953" t="str">
        <f t="shared" si="206"/>
        <v>Health Deterioration/TPA Approval Delay</v>
      </c>
      <c r="AM953" t="str">
        <f t="shared" si="207"/>
        <v>No</v>
      </c>
      <c r="AN953" t="str">
        <f t="shared" si="208"/>
        <v>Emergency</v>
      </c>
      <c r="AO953" t="str">
        <f t="shared" si="209"/>
        <v>ICU</v>
      </c>
    </row>
    <row r="954" spans="1:41" x14ac:dyDescent="0.3">
      <c r="A954" s="21" t="str">
        <f t="shared" si="202"/>
        <v>UHID-00953</v>
      </c>
      <c r="B954" s="19">
        <v>73</v>
      </c>
      <c r="C954" s="11" t="s">
        <v>18</v>
      </c>
      <c r="D954" s="13" t="s">
        <v>26</v>
      </c>
      <c r="E954" s="13" t="s">
        <v>0</v>
      </c>
      <c r="F954" s="16">
        <v>46199.808163854199</v>
      </c>
      <c r="G954" s="5">
        <v>46199</v>
      </c>
      <c r="H954" s="2">
        <v>46201.710912164403</v>
      </c>
      <c r="I954" s="23">
        <v>46201</v>
      </c>
      <c r="J954" s="24">
        <f t="shared" si="196"/>
        <v>46201.415939408085</v>
      </c>
      <c r="K954" s="24">
        <f t="shared" si="197"/>
        <v>0.71091216440254357</v>
      </c>
      <c r="L954" s="29">
        <f t="shared" si="203"/>
        <v>46200</v>
      </c>
      <c r="M954" s="27" t="str">
        <f t="shared" si="198"/>
        <v>Health Deterioration/TPA Approval Delay</v>
      </c>
      <c r="N954" s="31">
        <f t="shared" si="199"/>
        <v>2</v>
      </c>
      <c r="O954" s="27"/>
      <c r="Q954" s="8">
        <v>0.61537164301684433</v>
      </c>
      <c r="R954" s="8" t="str">
        <f t="shared" si="200"/>
        <v>Critical Delay</v>
      </c>
      <c r="S954" s="33">
        <v>3.0793461515794478</v>
      </c>
      <c r="T954" t="s">
        <v>31</v>
      </c>
      <c r="U954" s="3">
        <v>4</v>
      </c>
      <c r="V954" s="3" t="str">
        <f t="shared" si="204"/>
        <v>Normal</v>
      </c>
      <c r="W954" s="3" t="s">
        <v>50</v>
      </c>
      <c r="X954" s="32">
        <f t="shared" si="201"/>
        <v>0.29497275631729281</v>
      </c>
      <c r="Z954" s="38">
        <f t="shared" si="205"/>
        <v>0.16997275631729281</v>
      </c>
      <c r="AC954" s="36">
        <v>0.125</v>
      </c>
      <c r="AL954" t="str">
        <f t="shared" si="206"/>
        <v>Health Deterioration/TPA Approval Delay</v>
      </c>
      <c r="AM954" t="str">
        <f t="shared" si="207"/>
        <v>Yes</v>
      </c>
      <c r="AN954" t="str">
        <f t="shared" si="208"/>
        <v>Elective</v>
      </c>
      <c r="AO954" t="str">
        <f t="shared" si="209"/>
        <v>ICU</v>
      </c>
    </row>
    <row r="955" spans="1:41" x14ac:dyDescent="0.3">
      <c r="A955" s="21" t="str">
        <f t="shared" si="202"/>
        <v>UHID-00954</v>
      </c>
      <c r="B955" s="19">
        <v>52</v>
      </c>
      <c r="C955" s="11" t="s">
        <v>17</v>
      </c>
      <c r="D955" s="13" t="s">
        <v>26</v>
      </c>
      <c r="E955" s="13" t="s">
        <v>0</v>
      </c>
      <c r="F955" s="16">
        <v>46200.757025115701</v>
      </c>
      <c r="G955" s="5">
        <v>46200</v>
      </c>
      <c r="H955" s="2">
        <v>46202.744465879601</v>
      </c>
      <c r="I955" s="23">
        <v>46202</v>
      </c>
      <c r="J955" s="24">
        <f t="shared" si="196"/>
        <v>46202.598988890342</v>
      </c>
      <c r="K955" s="24">
        <f t="shared" si="197"/>
        <v>0.74446587960119359</v>
      </c>
      <c r="L955" s="29">
        <f t="shared" si="203"/>
        <v>46201</v>
      </c>
      <c r="M955" s="27" t="str">
        <f t="shared" si="198"/>
        <v>TPA Approval Delay</v>
      </c>
      <c r="N955" s="31">
        <f t="shared" si="199"/>
        <v>2</v>
      </c>
      <c r="O955" s="27"/>
      <c r="Q955" s="8">
        <v>0.80130905984793421</v>
      </c>
      <c r="R955" s="8" t="str">
        <f t="shared" si="200"/>
        <v>Major Delay</v>
      </c>
      <c r="S955" s="33">
        <v>3.4914477421460108</v>
      </c>
      <c r="T955" t="s">
        <v>31</v>
      </c>
      <c r="U955" s="3">
        <v>0</v>
      </c>
      <c r="V955" s="3" t="str">
        <f t="shared" si="204"/>
        <v>Normal</v>
      </c>
      <c r="W955" s="3" t="s">
        <v>51</v>
      </c>
      <c r="X955" s="32">
        <f t="shared" si="201"/>
        <v>0.14547698925889563</v>
      </c>
      <c r="Z955" s="38">
        <f t="shared" si="205"/>
        <v>2.0476989258895628E-2</v>
      </c>
      <c r="AC955" s="36">
        <v>0.125</v>
      </c>
      <c r="AL955" t="str">
        <f t="shared" si="206"/>
        <v>TPA Approval Delay</v>
      </c>
      <c r="AM955" t="str">
        <f t="shared" si="207"/>
        <v>No</v>
      </c>
      <c r="AN955" t="str">
        <f t="shared" si="208"/>
        <v>Elective</v>
      </c>
      <c r="AO955" t="str">
        <f t="shared" si="209"/>
        <v>ICU</v>
      </c>
    </row>
    <row r="956" spans="1:41" x14ac:dyDescent="0.3">
      <c r="A956" s="21" t="str">
        <f t="shared" si="202"/>
        <v>UHID-00955</v>
      </c>
      <c r="B956" s="19">
        <v>52</v>
      </c>
      <c r="C956" s="11" t="s">
        <v>18</v>
      </c>
      <c r="D956" s="13" t="s">
        <v>27</v>
      </c>
      <c r="E956" s="13" t="s">
        <v>0</v>
      </c>
      <c r="F956" s="16">
        <v>46189.9547730208</v>
      </c>
      <c r="G956" s="5">
        <v>46189</v>
      </c>
      <c r="H956" s="2">
        <v>46203.318847708302</v>
      </c>
      <c r="I956" s="23">
        <v>46203</v>
      </c>
      <c r="J956" s="24">
        <f t="shared" si="196"/>
        <v>46203.183252788309</v>
      </c>
      <c r="K956" s="24">
        <f t="shared" si="197"/>
        <v>0.31884770830220077</v>
      </c>
      <c r="L956" s="29">
        <f t="shared" si="203"/>
        <v>46202</v>
      </c>
      <c r="M956" s="27" t="str">
        <f t="shared" si="198"/>
        <v>Medication Change</v>
      </c>
      <c r="N956" s="31">
        <f t="shared" si="199"/>
        <v>14</v>
      </c>
      <c r="O956" s="27"/>
      <c r="Q956" s="8">
        <v>0.4211800184822152</v>
      </c>
      <c r="R956" s="8" t="str">
        <f t="shared" si="200"/>
        <v>Major Delay</v>
      </c>
      <c r="S956" s="33">
        <v>1.2542780798812272</v>
      </c>
      <c r="T956" t="s">
        <v>31</v>
      </c>
      <c r="U956" s="3">
        <v>2</v>
      </c>
      <c r="V956" s="3" t="str">
        <f t="shared" si="204"/>
        <v>Normal</v>
      </c>
      <c r="W956" s="3" t="s">
        <v>50</v>
      </c>
      <c r="X956" s="32">
        <f t="shared" si="201"/>
        <v>0.1355949199933093</v>
      </c>
      <c r="Z956" s="38">
        <f t="shared" si="205"/>
        <v>1.0594919993309304E-2</v>
      </c>
      <c r="AC956" s="36">
        <v>0.125</v>
      </c>
      <c r="AL956" t="str">
        <f t="shared" si="206"/>
        <v>Medication Change</v>
      </c>
      <c r="AM956" t="str">
        <f t="shared" si="207"/>
        <v>Yes</v>
      </c>
      <c r="AN956" t="str">
        <f t="shared" si="208"/>
        <v>Elective</v>
      </c>
      <c r="AO956" t="str">
        <f t="shared" si="209"/>
        <v>ICU</v>
      </c>
    </row>
    <row r="957" spans="1:41" x14ac:dyDescent="0.3">
      <c r="A957" s="21" t="str">
        <f t="shared" si="202"/>
        <v>UHID-00956</v>
      </c>
      <c r="B957" s="19">
        <v>87</v>
      </c>
      <c r="C957" s="11" t="s">
        <v>17</v>
      </c>
      <c r="D957" s="13" t="s">
        <v>27</v>
      </c>
      <c r="E957" s="13" t="s">
        <v>0</v>
      </c>
      <c r="F957" s="16">
        <v>46200.670660810203</v>
      </c>
      <c r="G957" s="5">
        <v>46200</v>
      </c>
      <c r="H957" s="2">
        <v>46203.678120787001</v>
      </c>
      <c r="I957" s="23">
        <v>46203</v>
      </c>
      <c r="J957" s="24">
        <f t="shared" si="196"/>
        <v>46203.613385531375</v>
      </c>
      <c r="K957" s="24">
        <f t="shared" si="197"/>
        <v>0.67812078700080747</v>
      </c>
      <c r="L957" s="29">
        <f t="shared" si="203"/>
        <v>46202</v>
      </c>
      <c r="M957" s="27" t="str">
        <f t="shared" si="198"/>
        <v>Normal</v>
      </c>
      <c r="N957" s="31">
        <f t="shared" si="199"/>
        <v>3</v>
      </c>
      <c r="O957" s="27"/>
      <c r="Q957" s="8">
        <v>0.43822281746113501</v>
      </c>
      <c r="R957" s="8" t="str">
        <f t="shared" si="200"/>
        <v>On Time</v>
      </c>
      <c r="S957" s="33">
        <v>1.5536461350810322</v>
      </c>
      <c r="T957" t="s">
        <v>31</v>
      </c>
      <c r="U957" s="3">
        <v>0</v>
      </c>
      <c r="V957" s="3" t="str">
        <f t="shared" si="204"/>
        <v>Normal</v>
      </c>
      <c r="W957" s="3" t="s">
        <v>51</v>
      </c>
      <c r="X957" s="32">
        <f t="shared" si="201"/>
        <v>6.4735255626146682E-2</v>
      </c>
      <c r="Z957" s="38">
        <f t="shared" si="205"/>
        <v>0</v>
      </c>
      <c r="AC957" s="36">
        <v>0.125</v>
      </c>
      <c r="AL957" t="str">
        <f t="shared" si="206"/>
        <v>Normal</v>
      </c>
      <c r="AM957" t="str">
        <f t="shared" si="207"/>
        <v>No</v>
      </c>
      <c r="AN957" t="str">
        <f t="shared" si="208"/>
        <v>Elective</v>
      </c>
      <c r="AO957" t="str">
        <f t="shared" si="209"/>
        <v>HDU</v>
      </c>
    </row>
    <row r="958" spans="1:41" x14ac:dyDescent="0.3">
      <c r="A958" s="21" t="str">
        <f t="shared" si="202"/>
        <v>UHID-00957</v>
      </c>
      <c r="B958" s="19">
        <v>21</v>
      </c>
      <c r="C958" s="11" t="s">
        <v>18</v>
      </c>
      <c r="D958" s="13" t="s">
        <v>27</v>
      </c>
      <c r="E958" s="13" t="s">
        <v>0</v>
      </c>
      <c r="F958" s="16">
        <v>46192.681457071798</v>
      </c>
      <c r="G958" s="5">
        <v>46192</v>
      </c>
      <c r="H958" s="2">
        <v>46203.589376898097</v>
      </c>
      <c r="I958" s="23">
        <v>46203</v>
      </c>
      <c r="J958" s="24">
        <f t="shared" si="196"/>
        <v>46203.392734395718</v>
      </c>
      <c r="K958" s="24">
        <f t="shared" si="197"/>
        <v>0.58937689809681615</v>
      </c>
      <c r="L958" s="29">
        <f t="shared" si="203"/>
        <v>46202</v>
      </c>
      <c r="M958" s="27" t="str">
        <f t="shared" si="198"/>
        <v>Medication Change</v>
      </c>
      <c r="N958" s="31">
        <f t="shared" si="199"/>
        <v>11</v>
      </c>
      <c r="O958" s="27"/>
      <c r="Q958" s="8">
        <v>0.26428663918356043</v>
      </c>
      <c r="R958" s="8" t="str">
        <f t="shared" si="200"/>
        <v>Major Delay</v>
      </c>
      <c r="S958" s="33">
        <v>1.7194200571129397</v>
      </c>
      <c r="T958" t="s">
        <v>30</v>
      </c>
      <c r="U958" s="3">
        <v>3</v>
      </c>
      <c r="V958" s="3" t="str">
        <f t="shared" si="204"/>
        <v/>
      </c>
      <c r="W958" s="3" t="s">
        <v>50</v>
      </c>
      <c r="X958" s="32">
        <f t="shared" si="201"/>
        <v>0.19664250237838132</v>
      </c>
      <c r="Z958" s="38">
        <f t="shared" si="205"/>
        <v>7.1642502378381323E-2</v>
      </c>
      <c r="AC958" s="36">
        <v>0.125</v>
      </c>
      <c r="AL958" t="str">
        <f t="shared" si="206"/>
        <v>Medication Change</v>
      </c>
      <c r="AM958" t="str">
        <f t="shared" si="207"/>
        <v>Yes</v>
      </c>
      <c r="AN958" t="str">
        <f t="shared" si="208"/>
        <v>Elective</v>
      </c>
      <c r="AO958" t="str">
        <f t="shared" si="209"/>
        <v>ICU</v>
      </c>
    </row>
    <row r="959" spans="1:41" x14ac:dyDescent="0.3">
      <c r="A959" s="21" t="str">
        <f t="shared" si="202"/>
        <v>UHID-00958</v>
      </c>
      <c r="B959" s="19">
        <v>64</v>
      </c>
      <c r="C959" s="11" t="s">
        <v>18</v>
      </c>
      <c r="D959" s="13" t="s">
        <v>26</v>
      </c>
      <c r="E959" s="13" t="s">
        <v>0</v>
      </c>
      <c r="F959" s="16">
        <v>46200.664312638903</v>
      </c>
      <c r="G959" s="5">
        <v>46200</v>
      </c>
      <c r="H959" s="2">
        <v>46203.834809409702</v>
      </c>
      <c r="I959" s="23">
        <v>46203</v>
      </c>
      <c r="J959" s="24">
        <f t="shared" si="196"/>
        <v>46203.669649439515</v>
      </c>
      <c r="K959" s="24">
        <f t="shared" si="197"/>
        <v>0.83480940970184747</v>
      </c>
      <c r="L959" s="29">
        <f t="shared" si="203"/>
        <v>46202</v>
      </c>
      <c r="M959" s="27" t="str">
        <f t="shared" si="198"/>
        <v>TPA Approval Delay</v>
      </c>
      <c r="N959" s="31">
        <f t="shared" si="199"/>
        <v>3</v>
      </c>
      <c r="O959" s="27"/>
      <c r="Q959" s="8">
        <v>0.76612847788733796</v>
      </c>
      <c r="R959" s="8" t="str">
        <f t="shared" si="200"/>
        <v>Major Delay</v>
      </c>
      <c r="S959" s="33">
        <v>3.9638392844361863</v>
      </c>
      <c r="T959" t="s">
        <v>31</v>
      </c>
      <c r="U959" s="3">
        <v>0</v>
      </c>
      <c r="V959" s="3" t="str">
        <f t="shared" si="204"/>
        <v>Normal</v>
      </c>
      <c r="W959" s="3" t="s">
        <v>51</v>
      </c>
      <c r="X959" s="32">
        <f t="shared" si="201"/>
        <v>0.16515997018723283</v>
      </c>
      <c r="Z959" s="38">
        <f t="shared" si="205"/>
        <v>4.015997018723283E-2</v>
      </c>
      <c r="AC959" s="36">
        <v>0.125</v>
      </c>
      <c r="AL959" t="str">
        <f t="shared" si="206"/>
        <v>TPA Approval Delay</v>
      </c>
      <c r="AM959" t="str">
        <f t="shared" si="207"/>
        <v>No</v>
      </c>
      <c r="AN959" t="str">
        <f t="shared" si="208"/>
        <v>Elective</v>
      </c>
      <c r="AO959" t="str">
        <f t="shared" si="209"/>
        <v>HDU</v>
      </c>
    </row>
    <row r="960" spans="1:41" x14ac:dyDescent="0.3">
      <c r="A960" s="21" t="str">
        <f t="shared" si="202"/>
        <v>UHID-00959</v>
      </c>
      <c r="B960" s="19">
        <v>60</v>
      </c>
      <c r="C960" s="11" t="s">
        <v>18</v>
      </c>
      <c r="D960" s="13" t="s">
        <v>27</v>
      </c>
      <c r="E960" s="13" t="s">
        <v>0</v>
      </c>
      <c r="F960" s="16">
        <v>46201.124112210702</v>
      </c>
      <c r="G960" s="5">
        <v>46201</v>
      </c>
      <c r="H960" s="2">
        <v>46203.591706400497</v>
      </c>
      <c r="I960" s="23">
        <v>46203</v>
      </c>
      <c r="J960" s="24">
        <f t="shared" si="196"/>
        <v>46203.540521704541</v>
      </c>
      <c r="K960" s="24">
        <f t="shared" si="197"/>
        <v>0.5917064004970598</v>
      </c>
      <c r="L960" s="29">
        <f t="shared" si="203"/>
        <v>46202</v>
      </c>
      <c r="M960" s="27" t="str">
        <f t="shared" si="198"/>
        <v>Normal</v>
      </c>
      <c r="N960" s="31">
        <f t="shared" si="199"/>
        <v>2</v>
      </c>
      <c r="O960" s="27"/>
      <c r="Q960" s="8">
        <v>0.31075106518131912</v>
      </c>
      <c r="R960" s="8" t="str">
        <f t="shared" si="200"/>
        <v>On Time</v>
      </c>
      <c r="S960" s="33">
        <v>1.2284327029430344</v>
      </c>
      <c r="T960" t="s">
        <v>30</v>
      </c>
      <c r="U960" s="3">
        <v>0</v>
      </c>
      <c r="V960" s="3" t="str">
        <f t="shared" si="204"/>
        <v/>
      </c>
      <c r="W960" s="3" t="s">
        <v>51</v>
      </c>
      <c r="X960" s="32">
        <f t="shared" si="201"/>
        <v>5.1184695956180803E-2</v>
      </c>
      <c r="Z960" s="38">
        <f t="shared" si="205"/>
        <v>0</v>
      </c>
      <c r="AC960" s="36">
        <v>0.125</v>
      </c>
      <c r="AL960" t="str">
        <f t="shared" si="206"/>
        <v>Normal</v>
      </c>
      <c r="AM960" t="str">
        <f t="shared" si="207"/>
        <v>No</v>
      </c>
      <c r="AN960" t="str">
        <f t="shared" si="208"/>
        <v>Emergency</v>
      </c>
      <c r="AO960" t="str">
        <f t="shared" si="209"/>
        <v>ICU</v>
      </c>
    </row>
    <row r="961" spans="1:41" x14ac:dyDescent="0.3">
      <c r="A961" s="21" t="str">
        <f t="shared" si="202"/>
        <v>UHID-00960</v>
      </c>
      <c r="B961" s="19">
        <v>69</v>
      </c>
      <c r="C961" s="11" t="s">
        <v>18</v>
      </c>
      <c r="D961" s="13" t="s">
        <v>28</v>
      </c>
      <c r="E961" s="13" t="s">
        <v>0</v>
      </c>
      <c r="F961" s="16">
        <v>46202.866988854199</v>
      </c>
      <c r="G961" s="5">
        <v>46202</v>
      </c>
      <c r="H961" s="2">
        <v>46203.676473125</v>
      </c>
      <c r="I961" s="23">
        <v>46203</v>
      </c>
      <c r="J961" s="24">
        <f t="shared" si="196"/>
        <v>46203.553410649634</v>
      </c>
      <c r="K961" s="24">
        <f t="shared" si="197"/>
        <v>0.67647312500048429</v>
      </c>
      <c r="L961" s="29">
        <f t="shared" si="203"/>
        <v>46202</v>
      </c>
      <c r="M961" s="27" t="str">
        <f t="shared" si="198"/>
        <v>Doctor Round Delay/Report Delay</v>
      </c>
      <c r="N961" s="31">
        <f t="shared" si="199"/>
        <v>1</v>
      </c>
      <c r="O961" s="27"/>
      <c r="Q961" s="8">
        <v>0.89690634612146614</v>
      </c>
      <c r="R961" s="8" t="str">
        <f t="shared" si="200"/>
        <v>Minor Delay</v>
      </c>
      <c r="S961" s="33">
        <v>2.9534994088075206</v>
      </c>
      <c r="T961" t="s">
        <v>31</v>
      </c>
      <c r="U961" s="3">
        <v>0</v>
      </c>
      <c r="V961" s="3" t="str">
        <f t="shared" si="204"/>
        <v>Normal</v>
      </c>
      <c r="W961" s="3" t="s">
        <v>51</v>
      </c>
      <c r="X961" s="32">
        <f t="shared" si="201"/>
        <v>0.12306247536616866</v>
      </c>
      <c r="Z961" s="38">
        <f t="shared" si="205"/>
        <v>0</v>
      </c>
      <c r="AC961" s="36">
        <v>0.125</v>
      </c>
      <c r="AL961" t="str">
        <f t="shared" si="206"/>
        <v>Doctor Round Delay/Report Delay</v>
      </c>
      <c r="AM961" t="str">
        <f t="shared" si="207"/>
        <v>No</v>
      </c>
      <c r="AN961" t="str">
        <f t="shared" si="208"/>
        <v>Emergency</v>
      </c>
      <c r="AO961" t="str">
        <f t="shared" si="209"/>
        <v>ICU</v>
      </c>
    </row>
    <row r="962" spans="1:41" x14ac:dyDescent="0.3">
      <c r="A962" s="21" t="str">
        <f t="shared" si="202"/>
        <v>UHID-00961</v>
      </c>
      <c r="B962" s="19">
        <v>74</v>
      </c>
      <c r="C962" s="11" t="s">
        <v>18</v>
      </c>
      <c r="D962" s="13" t="s">
        <v>27</v>
      </c>
      <c r="E962" s="13" t="s">
        <v>0</v>
      </c>
      <c r="F962" s="16">
        <v>46201.0262025579</v>
      </c>
      <c r="G962" s="5">
        <v>46201</v>
      </c>
      <c r="H962" s="2">
        <v>46203.730595717599</v>
      </c>
      <c r="I962" s="23">
        <v>46203</v>
      </c>
      <c r="J962" s="24">
        <f t="shared" ref="J962:J1025" si="210">I962+K962-((S962+U962)/24)</f>
        <v>46203.662422570647</v>
      </c>
      <c r="K962" s="24">
        <f t="shared" ref="K962:K1025" si="211">MOD(H962,1)</f>
        <v>0.73059571759949904</v>
      </c>
      <c r="L962" s="29">
        <f t="shared" si="203"/>
        <v>46202</v>
      </c>
      <c r="M962" s="27" t="str">
        <f t="shared" ref="M962:M1025" si="212">IF(X962="","",IF(X962&lt;=TIME(2,0,0),"Normal",IF(X962&lt;=TIME(3,0,0),IF(D962="CASH","Bill Settlement Delay","Doctor Round Delay/Report Delay"),IF(X962&lt;=TIME(5,0,0),IF(D962="TPA","TPA Approval Delay","Medication Change"),IF(D962="TPA","Health Deterioration/TPA Approval Delay","Health Deterioration")))))</f>
        <v>Normal</v>
      </c>
      <c r="N962" s="31">
        <f t="shared" ref="N962:N1025" si="213">I962-G962</f>
        <v>2</v>
      </c>
      <c r="O962" s="27"/>
      <c r="Q962" s="8">
        <v>0.31984363422891182</v>
      </c>
      <c r="R962" s="8" t="str">
        <f t="shared" ref="R962:R1025" si="214">IF(X962="","",IF(X962&lt;=TIME(2,0,0),"On Time",IF(X962&lt;=TIME(3,0,0),"Minor Delay",IF(X962&lt;=TIME(5,0,0),"Major Delay","Critical Delay"))))</f>
        <v>On Time</v>
      </c>
      <c r="S962" s="33">
        <v>1.6361555269379935</v>
      </c>
      <c r="T962" t="s">
        <v>30</v>
      </c>
      <c r="U962" s="3">
        <v>0</v>
      </c>
      <c r="V962" s="3" t="str">
        <f t="shared" si="204"/>
        <v/>
      </c>
      <c r="W962" s="3" t="s">
        <v>51</v>
      </c>
      <c r="X962" s="32">
        <f t="shared" ref="X962:X1025" si="215">MOD(K962-J962,1)</f>
        <v>6.8173146952176467E-2</v>
      </c>
      <c r="Z962" s="38">
        <f t="shared" si="205"/>
        <v>0</v>
      </c>
      <c r="AC962" s="36">
        <v>0.125</v>
      </c>
      <c r="AL962" t="str">
        <f t="shared" si="206"/>
        <v>Normal</v>
      </c>
      <c r="AM962" t="str">
        <f t="shared" si="207"/>
        <v>No</v>
      </c>
      <c r="AN962" t="str">
        <f t="shared" si="208"/>
        <v>Emergency</v>
      </c>
      <c r="AO962" t="str">
        <f t="shared" si="209"/>
        <v>ICU</v>
      </c>
    </row>
    <row r="963" spans="1:41" x14ac:dyDescent="0.3">
      <c r="A963" s="21" t="str">
        <f t="shared" ref="A963:A1026" si="216">"UHID-"&amp;TEXT(ROW(A963)-1,"00000")</f>
        <v>UHID-00962</v>
      </c>
      <c r="B963" s="19">
        <v>23</v>
      </c>
      <c r="C963" s="11" t="s">
        <v>17</v>
      </c>
      <c r="D963" s="13" t="s">
        <v>27</v>
      </c>
      <c r="E963" s="13" t="s">
        <v>0</v>
      </c>
      <c r="F963" s="16">
        <v>46200.863594525501</v>
      </c>
      <c r="G963" s="5">
        <v>46200</v>
      </c>
      <c r="H963" s="2">
        <v>46203.8451764005</v>
      </c>
      <c r="I963" s="23">
        <v>46203</v>
      </c>
      <c r="J963" s="24">
        <f t="shared" si="210"/>
        <v>46203.772157716747</v>
      </c>
      <c r="K963" s="24">
        <f t="shared" si="211"/>
        <v>0.8451764005003497</v>
      </c>
      <c r="L963" s="29">
        <f t="shared" ref="L963:L1026" si="217">IF(J963&gt;MOD(H963,1),INT(H963)-1,INT(H963))</f>
        <v>46202</v>
      </c>
      <c r="M963" s="27" t="str">
        <f t="shared" si="212"/>
        <v>Normal</v>
      </c>
      <c r="N963" s="31">
        <f t="shared" si="213"/>
        <v>3</v>
      </c>
      <c r="O963" s="27"/>
      <c r="Q963" s="8">
        <v>3.226423814609447E-2</v>
      </c>
      <c r="R963" s="8" t="str">
        <f t="shared" si="214"/>
        <v>On Time</v>
      </c>
      <c r="S963" s="33">
        <v>1.7524484101197579</v>
      </c>
      <c r="T963" t="s">
        <v>30</v>
      </c>
      <c r="U963" s="3">
        <v>0</v>
      </c>
      <c r="V963" s="3" t="str">
        <f t="shared" ref="V963:V1026" si="218">IF(T963="NO","Normal","")</f>
        <v/>
      </c>
      <c r="W963" s="3" t="s">
        <v>51</v>
      </c>
      <c r="X963" s="32">
        <f t="shared" si="215"/>
        <v>7.3018683753616642E-2</v>
      </c>
      <c r="Z963" s="38">
        <f t="shared" ref="Z963:Z1026" si="219">IF(X963 &gt; TIME(3,0,0), X963 - TIME(3,0,0), 0)</f>
        <v>0</v>
      </c>
      <c r="AC963" s="36">
        <v>0.125</v>
      </c>
      <c r="AL963" t="str">
        <f t="shared" ref="AL963:AL1026" si="220">IF(X963="","",IF(X963&lt;=TIME(2,0,0),"Normal",IF(X963&lt;=TIME(3,0,0),IF(D963="CASH","Bill Settlement Delay","Doctor Round Delay/Report Delay"),IF(Z963&lt;=TIME(2,0,0),IF(D963="TPA","TPA Approval Delay","Medication Change"),IF(D963="TPA","Health Deterioration/TPA Approval Delay","Health Deterioration")))))</f>
        <v>Normal</v>
      </c>
      <c r="AM963" t="str">
        <f t="shared" ref="AM963:AM1026" si="221">IF(OR(AND(B963&gt;65, R963="Critical Delay"), N963&gt;10), "Yes", "No")</f>
        <v>No</v>
      </c>
      <c r="AN963" t="str">
        <f t="shared" ref="AN963:AN1026" si="222">IF(E963="Cardiology &amp; Cardiothoracic", IF(MOD(ROW(),10)&lt;3, "Emergency", "Elective"), IF(E963="Neurology &amp; Neurosurgery", IF(MOD(ROW(),10)&lt;4, "Emergency", "Elective"), IF(D963="COR", IF(MOD(ROW(),20)&lt;7, "Emergency", "Elective"), IF(OR(R963="Critical Delay", N963&gt;=7), "Emergency", "Elective"))))</f>
        <v>Emergency</v>
      </c>
      <c r="AO963" t="str">
        <f t="shared" ref="AO963:AO1026" si="223">IF(OR(N963&gt;6, AND(E963="Cardiology &amp; Cardiothoracic", MOD(ROW(),10)&lt;4), AND(E963="Neurology &amp; Neurosurgery", MOD(ROW(),10)&lt;6)), "ICU", IF(OR(N963&gt;3, AND(E963="Cardiology &amp; Cardiothoracic", MOD(ROW(),10)&lt;6), E963="Neurology &amp; Neurosurgery"), "HDU", "General Ward"))</f>
        <v>ICU</v>
      </c>
    </row>
    <row r="964" spans="1:41" x14ac:dyDescent="0.3">
      <c r="A964" s="21" t="str">
        <f t="shared" si="216"/>
        <v>UHID-00963</v>
      </c>
      <c r="B964" s="18">
        <v>30</v>
      </c>
      <c r="C964" s="10" t="s">
        <v>17</v>
      </c>
      <c r="D964" s="13" t="s">
        <v>26</v>
      </c>
      <c r="E964" s="13" t="s">
        <v>9</v>
      </c>
      <c r="F964" s="15">
        <v>46171.673802997699</v>
      </c>
      <c r="G964" s="4">
        <v>46171</v>
      </c>
      <c r="H964" s="1">
        <v>46174.647940046299</v>
      </c>
      <c r="I964" s="22">
        <v>46174</v>
      </c>
      <c r="J964" s="24">
        <f t="shared" si="210"/>
        <v>46174.3523387694</v>
      </c>
      <c r="K964" s="24">
        <f t="shared" si="211"/>
        <v>0.64794004629948176</v>
      </c>
      <c r="L964" s="29">
        <f t="shared" si="217"/>
        <v>46173</v>
      </c>
      <c r="M964" s="27" t="str">
        <f t="shared" si="212"/>
        <v>Health Deterioration/TPA Approval Delay</v>
      </c>
      <c r="N964" s="31">
        <f t="shared" si="213"/>
        <v>3</v>
      </c>
      <c r="O964" s="27"/>
      <c r="Q964" s="8">
        <v>0.54009893366975048</v>
      </c>
      <c r="R964" s="8" t="str">
        <f t="shared" si="214"/>
        <v>Critical Delay</v>
      </c>
      <c r="S964" s="33">
        <v>3.0944306455724169</v>
      </c>
      <c r="T964" t="s">
        <v>31</v>
      </c>
      <c r="U964" s="3">
        <v>4</v>
      </c>
      <c r="V964" s="3" t="str">
        <f t="shared" si="218"/>
        <v>Normal</v>
      </c>
      <c r="W964" s="3" t="s">
        <v>50</v>
      </c>
      <c r="X964" s="32">
        <f t="shared" si="215"/>
        <v>0.29560127689910587</v>
      </c>
      <c r="Z964" s="38">
        <f t="shared" si="219"/>
        <v>0.17060127689910587</v>
      </c>
      <c r="AC964" s="36">
        <v>0.125</v>
      </c>
      <c r="AL964" t="str">
        <f t="shared" si="220"/>
        <v>Health Deterioration/TPA Approval Delay</v>
      </c>
      <c r="AM964" t="str">
        <f t="shared" si="221"/>
        <v>No</v>
      </c>
      <c r="AN964" t="str">
        <f t="shared" si="222"/>
        <v>Emergency</v>
      </c>
      <c r="AO964" t="str">
        <f t="shared" si="223"/>
        <v>General Ward</v>
      </c>
    </row>
    <row r="965" spans="1:41" x14ac:dyDescent="0.3">
      <c r="A965" s="21" t="str">
        <f t="shared" si="216"/>
        <v>UHID-00964</v>
      </c>
      <c r="B965" s="18">
        <v>41</v>
      </c>
      <c r="C965" s="10" t="s">
        <v>17</v>
      </c>
      <c r="D965" s="13" t="s">
        <v>26</v>
      </c>
      <c r="E965" s="13" t="s">
        <v>9</v>
      </c>
      <c r="F965" s="15">
        <v>46174.331297523102</v>
      </c>
      <c r="G965" s="4">
        <v>46174</v>
      </c>
      <c r="H965" s="1">
        <v>46175.455395798599</v>
      </c>
      <c r="I965" s="22">
        <v>46175</v>
      </c>
      <c r="J965" s="24">
        <f t="shared" si="210"/>
        <v>46175.224521483644</v>
      </c>
      <c r="K965" s="24">
        <f t="shared" si="211"/>
        <v>0.45539579859905643</v>
      </c>
      <c r="L965" s="29">
        <f t="shared" si="217"/>
        <v>46174</v>
      </c>
      <c r="M965" s="27" t="str">
        <f t="shared" si="212"/>
        <v>Health Deterioration/TPA Approval Delay</v>
      </c>
      <c r="N965" s="31">
        <f t="shared" si="213"/>
        <v>1</v>
      </c>
      <c r="O965" s="27"/>
      <c r="Q965" s="8">
        <v>0.78929624160068312</v>
      </c>
      <c r="R965" s="8" t="str">
        <f t="shared" si="214"/>
        <v>Critical Delay</v>
      </c>
      <c r="S965" s="33">
        <v>3.5409835589627718</v>
      </c>
      <c r="T965" t="s">
        <v>31</v>
      </c>
      <c r="U965" s="3">
        <v>2</v>
      </c>
      <c r="V965" s="3" t="str">
        <f t="shared" si="218"/>
        <v>Normal</v>
      </c>
      <c r="W965" s="3" t="s">
        <v>50</v>
      </c>
      <c r="X965" s="32">
        <f t="shared" si="215"/>
        <v>0.23087431495514465</v>
      </c>
      <c r="Z965" s="38">
        <f t="shared" si="219"/>
        <v>0.10587431495514465</v>
      </c>
      <c r="AC965" s="36">
        <v>0.125</v>
      </c>
      <c r="AL965" t="str">
        <f t="shared" si="220"/>
        <v>Health Deterioration/TPA Approval Delay</v>
      </c>
      <c r="AM965" t="str">
        <f t="shared" si="221"/>
        <v>No</v>
      </c>
      <c r="AN965" t="str">
        <f t="shared" si="222"/>
        <v>Emergency</v>
      </c>
      <c r="AO965" t="str">
        <f t="shared" si="223"/>
        <v>General Ward</v>
      </c>
    </row>
    <row r="966" spans="1:41" x14ac:dyDescent="0.3">
      <c r="A966" s="21" t="str">
        <f t="shared" si="216"/>
        <v>UHID-00965</v>
      </c>
      <c r="B966" s="18">
        <v>26</v>
      </c>
      <c r="C966" s="10" t="s">
        <v>17</v>
      </c>
      <c r="D966" s="13" t="s">
        <v>26</v>
      </c>
      <c r="E966" s="13" t="s">
        <v>9</v>
      </c>
      <c r="F966" s="15">
        <v>46174.861402673603</v>
      </c>
      <c r="G966" s="4">
        <v>46174</v>
      </c>
      <c r="H966" s="1">
        <v>46176.546919074099</v>
      </c>
      <c r="I966" s="22">
        <v>46176</v>
      </c>
      <c r="J966" s="24">
        <f t="shared" si="210"/>
        <v>46176.384976760106</v>
      </c>
      <c r="K966" s="24">
        <f t="shared" si="211"/>
        <v>0.546919074098696</v>
      </c>
      <c r="L966" s="29">
        <f t="shared" si="217"/>
        <v>46175</v>
      </c>
      <c r="M966" s="27" t="str">
        <f t="shared" si="212"/>
        <v>TPA Approval Delay</v>
      </c>
      <c r="N966" s="31">
        <f t="shared" si="213"/>
        <v>2</v>
      </c>
      <c r="O966" s="27"/>
      <c r="Q966" s="8">
        <v>0.72665788550118926</v>
      </c>
      <c r="R966" s="8" t="str">
        <f t="shared" si="214"/>
        <v>Major Delay</v>
      </c>
      <c r="S966" s="33">
        <v>3.8866155358957797</v>
      </c>
      <c r="T966" t="s">
        <v>31</v>
      </c>
      <c r="U966" s="3">
        <v>0</v>
      </c>
      <c r="V966" s="3" t="str">
        <f t="shared" si="218"/>
        <v>Normal</v>
      </c>
      <c r="W966" s="3" t="s">
        <v>51</v>
      </c>
      <c r="X966" s="32">
        <f t="shared" si="215"/>
        <v>0.16194231399276759</v>
      </c>
      <c r="Z966" s="38">
        <f t="shared" si="219"/>
        <v>3.6942313992767595E-2</v>
      </c>
      <c r="AC966" s="36">
        <v>0.125</v>
      </c>
      <c r="AL966" t="str">
        <f t="shared" si="220"/>
        <v>TPA Approval Delay</v>
      </c>
      <c r="AM966" t="str">
        <f t="shared" si="221"/>
        <v>No</v>
      </c>
      <c r="AN966" t="str">
        <f t="shared" si="222"/>
        <v>Elective</v>
      </c>
      <c r="AO966" t="str">
        <f t="shared" si="223"/>
        <v>General Ward</v>
      </c>
    </row>
    <row r="967" spans="1:41" x14ac:dyDescent="0.3">
      <c r="A967" s="21" t="str">
        <f t="shared" si="216"/>
        <v>UHID-00966</v>
      </c>
      <c r="B967" s="18">
        <v>62</v>
      </c>
      <c r="C967" s="10" t="s">
        <v>17</v>
      </c>
      <c r="D967" s="13" t="s">
        <v>26</v>
      </c>
      <c r="E967" s="13" t="s">
        <v>9</v>
      </c>
      <c r="F967" s="15">
        <v>46178.2766536458</v>
      </c>
      <c r="G967" s="4">
        <v>46178</v>
      </c>
      <c r="H967" s="1">
        <v>46178.821011157401</v>
      </c>
      <c r="I967" s="22">
        <v>46178</v>
      </c>
      <c r="J967" s="24">
        <f t="shared" si="210"/>
        <v>46178.57150698328</v>
      </c>
      <c r="K967" s="24">
        <f t="shared" si="211"/>
        <v>0.82101115740078967</v>
      </c>
      <c r="L967" s="29">
        <f t="shared" si="217"/>
        <v>46177</v>
      </c>
      <c r="M967" s="27" t="str">
        <f t="shared" si="212"/>
        <v>Health Deterioration/TPA Approval Delay</v>
      </c>
      <c r="N967" s="31">
        <f t="shared" si="213"/>
        <v>0</v>
      </c>
      <c r="O967" s="27"/>
      <c r="Q967" s="8">
        <v>0.66585101335119845</v>
      </c>
      <c r="R967" s="8" t="str">
        <f t="shared" si="214"/>
        <v>Critical Delay</v>
      </c>
      <c r="S967" s="33">
        <v>3.9881001789205883</v>
      </c>
      <c r="T967" t="s">
        <v>31</v>
      </c>
      <c r="U967" s="3">
        <v>2</v>
      </c>
      <c r="V967" s="3" t="str">
        <f t="shared" si="218"/>
        <v>Normal</v>
      </c>
      <c r="W967" s="3" t="s">
        <v>50</v>
      </c>
      <c r="X967" s="32">
        <f t="shared" si="215"/>
        <v>0.24950417412037496</v>
      </c>
      <c r="Z967" s="38">
        <f t="shared" si="219"/>
        <v>0.12450417412037496</v>
      </c>
      <c r="AC967" s="36">
        <v>0.125</v>
      </c>
      <c r="AL967" t="str">
        <f t="shared" si="220"/>
        <v>Health Deterioration/TPA Approval Delay</v>
      </c>
      <c r="AM967" t="str">
        <f t="shared" si="221"/>
        <v>No</v>
      </c>
      <c r="AN967" t="str">
        <f t="shared" si="222"/>
        <v>Emergency</v>
      </c>
      <c r="AO967" t="str">
        <f t="shared" si="223"/>
        <v>General Ward</v>
      </c>
    </row>
    <row r="968" spans="1:41" x14ac:dyDescent="0.3">
      <c r="A968" s="21" t="str">
        <f t="shared" si="216"/>
        <v>UHID-00967</v>
      </c>
      <c r="B968" s="18">
        <v>31</v>
      </c>
      <c r="C968" s="10" t="s">
        <v>17</v>
      </c>
      <c r="D968" s="13" t="s">
        <v>27</v>
      </c>
      <c r="E968" s="13" t="s">
        <v>9</v>
      </c>
      <c r="F968" s="15">
        <v>46177.653645590297</v>
      </c>
      <c r="G968" s="4">
        <v>46177</v>
      </c>
      <c r="H968" s="1">
        <v>46180.480336053202</v>
      </c>
      <c r="I968" s="22">
        <v>46180</v>
      </c>
      <c r="J968" s="24">
        <f t="shared" si="210"/>
        <v>46180.438565278499</v>
      </c>
      <c r="K968" s="24">
        <f t="shared" si="211"/>
        <v>0.48033605320233619</v>
      </c>
      <c r="L968" s="29">
        <f t="shared" si="217"/>
        <v>46179</v>
      </c>
      <c r="M968" s="27" t="str">
        <f t="shared" si="212"/>
        <v>Normal</v>
      </c>
      <c r="N968" s="31">
        <f t="shared" si="213"/>
        <v>3</v>
      </c>
      <c r="O968" s="27"/>
      <c r="Q968" s="8">
        <v>0.11188616325306466</v>
      </c>
      <c r="R968" s="8" t="str">
        <f t="shared" si="214"/>
        <v>On Time</v>
      </c>
      <c r="S968" s="33">
        <v>1.002498592924151</v>
      </c>
      <c r="T968" t="s">
        <v>30</v>
      </c>
      <c r="U968" s="3">
        <v>0</v>
      </c>
      <c r="V968" s="3" t="str">
        <f t="shared" si="218"/>
        <v/>
      </c>
      <c r="W968" s="3" t="s">
        <v>51</v>
      </c>
      <c r="X968" s="32">
        <f t="shared" si="215"/>
        <v>4.1770774703763891E-2</v>
      </c>
      <c r="Z968" s="38">
        <f t="shared" si="219"/>
        <v>0</v>
      </c>
      <c r="AC968" s="36">
        <v>0.125</v>
      </c>
      <c r="AL968" t="str">
        <f t="shared" si="220"/>
        <v>Normal</v>
      </c>
      <c r="AM968" t="str">
        <f t="shared" si="221"/>
        <v>No</v>
      </c>
      <c r="AN968" t="str">
        <f t="shared" si="222"/>
        <v>Elective</v>
      </c>
      <c r="AO968" t="str">
        <f t="shared" si="223"/>
        <v>General Ward</v>
      </c>
    </row>
    <row r="969" spans="1:41" x14ac:dyDescent="0.3">
      <c r="A969" s="21" t="str">
        <f t="shared" si="216"/>
        <v>UHID-00968</v>
      </c>
      <c r="B969" s="18">
        <v>23</v>
      </c>
      <c r="C969" s="10" t="s">
        <v>17</v>
      </c>
      <c r="D969" s="13" t="s">
        <v>26</v>
      </c>
      <c r="E969" s="13" t="s">
        <v>9</v>
      </c>
      <c r="F969" s="15">
        <v>46178.248515300897</v>
      </c>
      <c r="G969" s="4">
        <v>46178</v>
      </c>
      <c r="H969" s="1">
        <v>46180.628515393502</v>
      </c>
      <c r="I969" s="22">
        <v>46180</v>
      </c>
      <c r="J969" s="24">
        <f t="shared" si="210"/>
        <v>46180.466225976343</v>
      </c>
      <c r="K969" s="24">
        <f t="shared" si="211"/>
        <v>0.62851539350231178</v>
      </c>
      <c r="L969" s="29">
        <f t="shared" si="217"/>
        <v>46179</v>
      </c>
      <c r="M969" s="27" t="str">
        <f t="shared" si="212"/>
        <v>TPA Approval Delay</v>
      </c>
      <c r="N969" s="31">
        <f t="shared" si="213"/>
        <v>2</v>
      </c>
      <c r="O969" s="27"/>
      <c r="Q969" s="8">
        <v>0.78977326866306707</v>
      </c>
      <c r="R969" s="8" t="str">
        <f t="shared" si="214"/>
        <v>Major Delay</v>
      </c>
      <c r="S969" s="33">
        <v>3.8949460118367751</v>
      </c>
      <c r="T969" t="s">
        <v>31</v>
      </c>
      <c r="U969" s="3">
        <v>0</v>
      </c>
      <c r="V969" s="3" t="str">
        <f t="shared" si="218"/>
        <v>Normal</v>
      </c>
      <c r="W969" s="3" t="s">
        <v>51</v>
      </c>
      <c r="X969" s="32">
        <f t="shared" si="215"/>
        <v>0.16228941715962719</v>
      </c>
      <c r="Z969" s="38">
        <f t="shared" si="219"/>
        <v>3.7289417159627192E-2</v>
      </c>
      <c r="AC969" s="36">
        <v>0.125</v>
      </c>
      <c r="AL969" t="str">
        <f t="shared" si="220"/>
        <v>TPA Approval Delay</v>
      </c>
      <c r="AM969" t="str">
        <f t="shared" si="221"/>
        <v>No</v>
      </c>
      <c r="AN969" t="str">
        <f t="shared" si="222"/>
        <v>Elective</v>
      </c>
      <c r="AO969" t="str">
        <f t="shared" si="223"/>
        <v>General Ward</v>
      </c>
    </row>
    <row r="970" spans="1:41" x14ac:dyDescent="0.3">
      <c r="A970" s="21" t="str">
        <f t="shared" si="216"/>
        <v>UHID-00969</v>
      </c>
      <c r="B970" s="18">
        <v>42</v>
      </c>
      <c r="C970" s="10" t="s">
        <v>17</v>
      </c>
      <c r="D970" s="13" t="s">
        <v>26</v>
      </c>
      <c r="E970" s="13" t="s">
        <v>9</v>
      </c>
      <c r="F970" s="15">
        <v>46178.752083182902</v>
      </c>
      <c r="G970" s="4">
        <v>46178</v>
      </c>
      <c r="H970" s="1">
        <v>46181.712540949098</v>
      </c>
      <c r="I970" s="22">
        <v>46181</v>
      </c>
      <c r="J970" s="24">
        <f t="shared" si="210"/>
        <v>46181.582000712253</v>
      </c>
      <c r="K970" s="24">
        <f t="shared" si="211"/>
        <v>0.71254094909818377</v>
      </c>
      <c r="L970" s="29">
        <f t="shared" si="217"/>
        <v>46180</v>
      </c>
      <c r="M970" s="27" t="str">
        <f t="shared" si="212"/>
        <v>TPA Approval Delay</v>
      </c>
      <c r="N970" s="31">
        <f t="shared" si="213"/>
        <v>3</v>
      </c>
      <c r="O970" s="27"/>
      <c r="Q970" s="8">
        <v>0.63847572199154679</v>
      </c>
      <c r="R970" s="8" t="str">
        <f t="shared" si="214"/>
        <v>Major Delay</v>
      </c>
      <c r="S970" s="33">
        <v>3.1329656842322651</v>
      </c>
      <c r="T970" t="s">
        <v>31</v>
      </c>
      <c r="U970" s="3">
        <v>0</v>
      </c>
      <c r="V970" s="3" t="str">
        <f t="shared" si="218"/>
        <v>Normal</v>
      </c>
      <c r="W970" s="3" t="s">
        <v>51</v>
      </c>
      <c r="X970" s="32">
        <f t="shared" si="215"/>
        <v>0.13054023684526328</v>
      </c>
      <c r="Z970" s="38">
        <f t="shared" si="219"/>
        <v>5.54023684526328E-3</v>
      </c>
      <c r="AC970" s="36">
        <v>0.125</v>
      </c>
      <c r="AL970" t="str">
        <f t="shared" si="220"/>
        <v>TPA Approval Delay</v>
      </c>
      <c r="AM970" t="str">
        <f t="shared" si="221"/>
        <v>No</v>
      </c>
      <c r="AN970" t="str">
        <f t="shared" si="222"/>
        <v>Elective</v>
      </c>
      <c r="AO970" t="str">
        <f t="shared" si="223"/>
        <v>General Ward</v>
      </c>
    </row>
    <row r="971" spans="1:41" x14ac:dyDescent="0.3">
      <c r="A971" s="21" t="str">
        <f t="shared" si="216"/>
        <v>UHID-00970</v>
      </c>
      <c r="B971" s="18">
        <v>42</v>
      </c>
      <c r="C971" s="10" t="s">
        <v>17</v>
      </c>
      <c r="D971" s="13" t="s">
        <v>27</v>
      </c>
      <c r="E971" s="13" t="s">
        <v>9</v>
      </c>
      <c r="F971" s="15">
        <v>46178.753062974502</v>
      </c>
      <c r="G971" s="4">
        <v>46178</v>
      </c>
      <c r="H971" s="1">
        <v>46181.618959907399</v>
      </c>
      <c r="I971" s="22">
        <v>46181</v>
      </c>
      <c r="J971" s="24">
        <f t="shared" si="210"/>
        <v>46181.5402158746</v>
      </c>
      <c r="K971" s="24">
        <f t="shared" si="211"/>
        <v>0.61895990739867557</v>
      </c>
      <c r="L971" s="29">
        <f t="shared" si="217"/>
        <v>46180</v>
      </c>
      <c r="M971" s="27" t="str">
        <f t="shared" si="212"/>
        <v>Normal</v>
      </c>
      <c r="N971" s="31">
        <f t="shared" si="213"/>
        <v>3</v>
      </c>
      <c r="O971" s="27"/>
      <c r="Q971" s="8">
        <v>0.4143599682384036</v>
      </c>
      <c r="R971" s="8" t="str">
        <f t="shared" si="214"/>
        <v>On Time</v>
      </c>
      <c r="S971" s="33">
        <v>1.8898567871312115</v>
      </c>
      <c r="T971" t="s">
        <v>31</v>
      </c>
      <c r="U971" s="3">
        <v>0</v>
      </c>
      <c r="V971" s="3" t="str">
        <f t="shared" si="218"/>
        <v>Normal</v>
      </c>
      <c r="W971" s="3" t="s">
        <v>51</v>
      </c>
      <c r="X971" s="32">
        <f t="shared" si="215"/>
        <v>7.8744032798567787E-2</v>
      </c>
      <c r="Z971" s="38">
        <f t="shared" si="219"/>
        <v>0</v>
      </c>
      <c r="AC971" s="36">
        <v>0.125</v>
      </c>
      <c r="AL971" t="str">
        <f t="shared" si="220"/>
        <v>Normal</v>
      </c>
      <c r="AM971" t="str">
        <f t="shared" si="221"/>
        <v>No</v>
      </c>
      <c r="AN971" t="str">
        <f t="shared" si="222"/>
        <v>Elective</v>
      </c>
      <c r="AO971" t="str">
        <f t="shared" si="223"/>
        <v>General Ward</v>
      </c>
    </row>
    <row r="972" spans="1:41" x14ac:dyDescent="0.3">
      <c r="A972" s="21" t="str">
        <f t="shared" si="216"/>
        <v>UHID-00971</v>
      </c>
      <c r="B972" s="18">
        <v>38</v>
      </c>
      <c r="C972" s="10" t="s">
        <v>17</v>
      </c>
      <c r="D972" s="13" t="s">
        <v>26</v>
      </c>
      <c r="E972" s="13" t="s">
        <v>9</v>
      </c>
      <c r="F972" s="15">
        <v>46178.671991192103</v>
      </c>
      <c r="G972" s="4">
        <v>46178</v>
      </c>
      <c r="H972" s="1">
        <v>46181.633441527803</v>
      </c>
      <c r="I972" s="22">
        <v>46181</v>
      </c>
      <c r="J972" s="24">
        <f t="shared" si="210"/>
        <v>46181.340763962267</v>
      </c>
      <c r="K972" s="24">
        <f t="shared" si="211"/>
        <v>0.63344152780337026</v>
      </c>
      <c r="L972" s="29">
        <f t="shared" si="217"/>
        <v>46180</v>
      </c>
      <c r="M972" s="27" t="str">
        <f t="shared" si="212"/>
        <v>Health Deterioration/TPA Approval Delay</v>
      </c>
      <c r="N972" s="31">
        <f t="shared" si="213"/>
        <v>3</v>
      </c>
      <c r="O972" s="27"/>
      <c r="Q972" s="8">
        <v>0.7104183065752071</v>
      </c>
      <c r="R972" s="8" t="str">
        <f t="shared" si="214"/>
        <v>Critical Delay</v>
      </c>
      <c r="S972" s="33">
        <v>3.0242615728225108</v>
      </c>
      <c r="T972" t="s">
        <v>31</v>
      </c>
      <c r="U972" s="3">
        <v>4</v>
      </c>
      <c r="V972" s="3" t="str">
        <f t="shared" si="218"/>
        <v>Normal</v>
      </c>
      <c r="W972" s="3" t="s">
        <v>50</v>
      </c>
      <c r="X972" s="32">
        <f t="shared" si="215"/>
        <v>0.29267756553599611</v>
      </c>
      <c r="Z972" s="38">
        <f t="shared" si="219"/>
        <v>0.16767756553599611</v>
      </c>
      <c r="AC972" s="36">
        <v>0.125</v>
      </c>
      <c r="AL972" t="str">
        <f t="shared" si="220"/>
        <v>Health Deterioration/TPA Approval Delay</v>
      </c>
      <c r="AM972" t="str">
        <f t="shared" si="221"/>
        <v>No</v>
      </c>
      <c r="AN972" t="str">
        <f t="shared" si="222"/>
        <v>Emergency</v>
      </c>
      <c r="AO972" t="str">
        <f t="shared" si="223"/>
        <v>General Ward</v>
      </c>
    </row>
    <row r="973" spans="1:41" x14ac:dyDescent="0.3">
      <c r="A973" s="21" t="str">
        <f t="shared" si="216"/>
        <v>UHID-00972</v>
      </c>
      <c r="B973" s="18">
        <v>34</v>
      </c>
      <c r="C973" s="10" t="s">
        <v>17</v>
      </c>
      <c r="D973" s="13" t="s">
        <v>26</v>
      </c>
      <c r="E973" s="13" t="s">
        <v>9</v>
      </c>
      <c r="F973" s="15">
        <v>46177.721582129598</v>
      </c>
      <c r="G973" s="4">
        <v>46177</v>
      </c>
      <c r="H973" s="1">
        <v>46182.706780185203</v>
      </c>
      <c r="I973" s="22">
        <v>46182</v>
      </c>
      <c r="J973" s="24">
        <f t="shared" si="210"/>
        <v>46182.577925170037</v>
      </c>
      <c r="K973" s="24">
        <f t="shared" si="211"/>
        <v>0.7067801852026605</v>
      </c>
      <c r="L973" s="29">
        <f t="shared" si="217"/>
        <v>46181</v>
      </c>
      <c r="M973" s="27" t="str">
        <f t="shared" si="212"/>
        <v>TPA Approval Delay</v>
      </c>
      <c r="N973" s="31">
        <f t="shared" si="213"/>
        <v>5</v>
      </c>
      <c r="O973" s="27"/>
      <c r="Q973" s="8">
        <v>0.52495147688777144</v>
      </c>
      <c r="R973" s="8" t="str">
        <f t="shared" si="214"/>
        <v>Major Delay</v>
      </c>
      <c r="S973" s="33">
        <v>3.0925203639182586</v>
      </c>
      <c r="T973" t="s">
        <v>31</v>
      </c>
      <c r="U973" s="3">
        <v>0</v>
      </c>
      <c r="V973" s="3" t="str">
        <f t="shared" si="218"/>
        <v>Normal</v>
      </c>
      <c r="W973" s="3" t="s">
        <v>51</v>
      </c>
      <c r="X973" s="32">
        <f t="shared" si="215"/>
        <v>0.12885501516575459</v>
      </c>
      <c r="Z973" s="38">
        <f t="shared" si="219"/>
        <v>3.8550151657545939E-3</v>
      </c>
      <c r="AC973" s="36">
        <v>0.125</v>
      </c>
      <c r="AL973" t="str">
        <f t="shared" si="220"/>
        <v>TPA Approval Delay</v>
      </c>
      <c r="AM973" t="str">
        <f t="shared" si="221"/>
        <v>No</v>
      </c>
      <c r="AN973" t="str">
        <f t="shared" si="222"/>
        <v>Elective</v>
      </c>
      <c r="AO973" t="str">
        <f t="shared" si="223"/>
        <v>HDU</v>
      </c>
    </row>
    <row r="974" spans="1:41" x14ac:dyDescent="0.3">
      <c r="A974" s="21" t="str">
        <f t="shared" si="216"/>
        <v>UHID-00973</v>
      </c>
      <c r="B974" s="18">
        <v>32</v>
      </c>
      <c r="C974" s="10" t="s">
        <v>17</v>
      </c>
      <c r="D974" s="13" t="s">
        <v>28</v>
      </c>
      <c r="E974" s="13" t="s">
        <v>9</v>
      </c>
      <c r="F974" s="15">
        <v>46179.582033669001</v>
      </c>
      <c r="G974" s="4">
        <v>46179</v>
      </c>
      <c r="H974" s="1">
        <v>46183.550156203702</v>
      </c>
      <c r="I974" s="22">
        <v>46183</v>
      </c>
      <c r="J974" s="24">
        <f t="shared" si="210"/>
        <v>46183.128108090539</v>
      </c>
      <c r="K974" s="24">
        <f t="shared" si="211"/>
        <v>0.55015620370249962</v>
      </c>
      <c r="L974" s="29">
        <f t="shared" si="217"/>
        <v>46182</v>
      </c>
      <c r="M974" s="27" t="str">
        <f t="shared" si="212"/>
        <v>Health Deterioration</v>
      </c>
      <c r="N974" s="31">
        <f t="shared" si="213"/>
        <v>4</v>
      </c>
      <c r="O974" s="27"/>
      <c r="Q974" s="8">
        <v>0.93103650199496679</v>
      </c>
      <c r="R974" s="8" t="str">
        <f t="shared" si="214"/>
        <v>Critical Delay</v>
      </c>
      <c r="S974" s="33">
        <v>2.1291547158710857</v>
      </c>
      <c r="T974" t="s">
        <v>31</v>
      </c>
      <c r="U974" s="3">
        <v>8</v>
      </c>
      <c r="V974" s="3" t="str">
        <f t="shared" si="218"/>
        <v>Normal</v>
      </c>
      <c r="W974" s="3" t="s">
        <v>52</v>
      </c>
      <c r="X974" s="32">
        <f t="shared" si="215"/>
        <v>0.4220481131633278</v>
      </c>
      <c r="Z974" s="38">
        <f t="shared" si="219"/>
        <v>0.2970481131633278</v>
      </c>
      <c r="AC974" s="36">
        <v>0.125</v>
      </c>
      <c r="AL974" t="str">
        <f t="shared" si="220"/>
        <v>Health Deterioration</v>
      </c>
      <c r="AM974" t="str">
        <f t="shared" si="221"/>
        <v>No</v>
      </c>
      <c r="AN974" t="str">
        <f t="shared" si="222"/>
        <v>Elective</v>
      </c>
      <c r="AO974" t="str">
        <f t="shared" si="223"/>
        <v>HDU</v>
      </c>
    </row>
    <row r="975" spans="1:41" x14ac:dyDescent="0.3">
      <c r="A975" s="21" t="str">
        <f t="shared" si="216"/>
        <v>UHID-00974</v>
      </c>
      <c r="B975" s="18">
        <v>29</v>
      </c>
      <c r="C975" s="10" t="s">
        <v>17</v>
      </c>
      <c r="D975" s="13" t="s">
        <v>26</v>
      </c>
      <c r="E975" s="13" t="s">
        <v>9</v>
      </c>
      <c r="F975" s="15">
        <v>46181.799264988404</v>
      </c>
      <c r="G975" s="4">
        <v>46181</v>
      </c>
      <c r="H975" s="1">
        <v>46183.483445682898</v>
      </c>
      <c r="I975" s="22">
        <v>46183</v>
      </c>
      <c r="J975" s="24">
        <f t="shared" si="210"/>
        <v>46183.343862746973</v>
      </c>
      <c r="K975" s="24">
        <f t="shared" si="211"/>
        <v>0.48344568289758172</v>
      </c>
      <c r="L975" s="29">
        <f t="shared" si="217"/>
        <v>46182</v>
      </c>
      <c r="M975" s="27" t="str">
        <f t="shared" si="212"/>
        <v>TPA Approval Delay</v>
      </c>
      <c r="N975" s="31">
        <f t="shared" si="213"/>
        <v>2</v>
      </c>
      <c r="O975" s="27"/>
      <c r="Q975" s="8">
        <v>0.52987515194526902</v>
      </c>
      <c r="R975" s="8" t="str">
        <f t="shared" si="214"/>
        <v>Major Delay</v>
      </c>
      <c r="S975" s="33">
        <v>3.3499904622374221</v>
      </c>
      <c r="T975" t="s">
        <v>31</v>
      </c>
      <c r="U975" s="3">
        <v>0</v>
      </c>
      <c r="V975" s="3" t="str">
        <f t="shared" si="218"/>
        <v>Normal</v>
      </c>
      <c r="W975" s="3" t="s">
        <v>51</v>
      </c>
      <c r="X975" s="32">
        <f t="shared" si="215"/>
        <v>0.13958293592440896</v>
      </c>
      <c r="Z975" s="38">
        <f t="shared" si="219"/>
        <v>1.4582935924408957E-2</v>
      </c>
      <c r="AC975" s="36">
        <v>0.125</v>
      </c>
      <c r="AL975" t="str">
        <f t="shared" si="220"/>
        <v>TPA Approval Delay</v>
      </c>
      <c r="AM975" t="str">
        <f t="shared" si="221"/>
        <v>No</v>
      </c>
      <c r="AN975" t="str">
        <f t="shared" si="222"/>
        <v>Elective</v>
      </c>
      <c r="AO975" t="str">
        <f t="shared" si="223"/>
        <v>General Ward</v>
      </c>
    </row>
    <row r="976" spans="1:41" x14ac:dyDescent="0.3">
      <c r="A976" s="21" t="str">
        <f t="shared" si="216"/>
        <v>UHID-00975</v>
      </c>
      <c r="B976" s="18">
        <v>41</v>
      </c>
      <c r="C976" s="10" t="s">
        <v>17</v>
      </c>
      <c r="D976" s="13" t="s">
        <v>27</v>
      </c>
      <c r="E976" s="13" t="s">
        <v>9</v>
      </c>
      <c r="F976" s="15">
        <v>46182.348362453697</v>
      </c>
      <c r="G976" s="4">
        <v>46182</v>
      </c>
      <c r="H976" s="1">
        <v>46183.343791574101</v>
      </c>
      <c r="I976" s="22">
        <v>46183</v>
      </c>
      <c r="J976" s="24">
        <f t="shared" si="210"/>
        <v>46183.198474714562</v>
      </c>
      <c r="K976" s="24">
        <f t="shared" si="211"/>
        <v>0.34379157410148764</v>
      </c>
      <c r="L976" s="29">
        <f t="shared" si="217"/>
        <v>46182</v>
      </c>
      <c r="M976" s="27" t="str">
        <f t="shared" si="212"/>
        <v>Medication Change</v>
      </c>
      <c r="N976" s="31">
        <f t="shared" si="213"/>
        <v>1</v>
      </c>
      <c r="O976" s="27"/>
      <c r="Q976" s="8">
        <v>0.10052332497715188</v>
      </c>
      <c r="R976" s="8" t="str">
        <f t="shared" si="214"/>
        <v>Major Delay</v>
      </c>
      <c r="S976" s="33">
        <v>1.4876046290312746</v>
      </c>
      <c r="T976" t="s">
        <v>30</v>
      </c>
      <c r="U976" s="3">
        <v>2</v>
      </c>
      <c r="V976" s="3" t="str">
        <f t="shared" si="218"/>
        <v/>
      </c>
      <c r="W976" s="3" t="s">
        <v>50</v>
      </c>
      <c r="X976" s="32">
        <f t="shared" si="215"/>
        <v>0.14531685953988926</v>
      </c>
      <c r="Z976" s="38">
        <f t="shared" si="219"/>
        <v>2.0316859539889265E-2</v>
      </c>
      <c r="AC976" s="36">
        <v>0.125</v>
      </c>
      <c r="AL976" t="str">
        <f t="shared" si="220"/>
        <v>Medication Change</v>
      </c>
      <c r="AM976" t="str">
        <f t="shared" si="221"/>
        <v>No</v>
      </c>
      <c r="AN976" t="str">
        <f t="shared" si="222"/>
        <v>Elective</v>
      </c>
      <c r="AO976" t="str">
        <f t="shared" si="223"/>
        <v>General Ward</v>
      </c>
    </row>
    <row r="977" spans="1:41" x14ac:dyDescent="0.3">
      <c r="A977" s="21" t="str">
        <f t="shared" si="216"/>
        <v>UHID-00976</v>
      </c>
      <c r="B977" s="18">
        <v>37</v>
      </c>
      <c r="C977" s="10" t="s">
        <v>17</v>
      </c>
      <c r="D977" s="13" t="s">
        <v>27</v>
      </c>
      <c r="E977" s="13" t="s">
        <v>9</v>
      </c>
      <c r="F977" s="15">
        <v>46180.715018298601</v>
      </c>
      <c r="G977" s="4">
        <v>46180</v>
      </c>
      <c r="H977" s="1">
        <v>46183.658416851897</v>
      </c>
      <c r="I977" s="22">
        <v>46183</v>
      </c>
      <c r="J977" s="24">
        <f t="shared" si="210"/>
        <v>46183.522926973179</v>
      </c>
      <c r="K977" s="24">
        <f t="shared" si="211"/>
        <v>0.65841685189661803</v>
      </c>
      <c r="L977" s="29">
        <f t="shared" si="217"/>
        <v>46182</v>
      </c>
      <c r="M977" s="27" t="str">
        <f t="shared" si="212"/>
        <v>Medication Change</v>
      </c>
      <c r="N977" s="31">
        <f t="shared" si="213"/>
        <v>3</v>
      </c>
      <c r="O977" s="27"/>
      <c r="Q977" s="8">
        <v>0.37324450186453784</v>
      </c>
      <c r="R977" s="8" t="str">
        <f t="shared" si="214"/>
        <v>Major Delay</v>
      </c>
      <c r="S977" s="33">
        <v>1.2517570892884708</v>
      </c>
      <c r="T977" t="s">
        <v>31</v>
      </c>
      <c r="U977" s="3">
        <v>2</v>
      </c>
      <c r="V977" s="3" t="str">
        <f t="shared" si="218"/>
        <v>Normal</v>
      </c>
      <c r="W977" s="3" t="s">
        <v>50</v>
      </c>
      <c r="X977" s="32">
        <f t="shared" si="215"/>
        <v>0.13548987871763529</v>
      </c>
      <c r="Z977" s="38">
        <f t="shared" si="219"/>
        <v>1.0489878717635293E-2</v>
      </c>
      <c r="AC977" s="36">
        <v>0.125</v>
      </c>
      <c r="AL977" t="str">
        <f t="shared" si="220"/>
        <v>Medication Change</v>
      </c>
      <c r="AM977" t="str">
        <f t="shared" si="221"/>
        <v>No</v>
      </c>
      <c r="AN977" t="str">
        <f t="shared" si="222"/>
        <v>Elective</v>
      </c>
      <c r="AO977" t="str">
        <f t="shared" si="223"/>
        <v>General Ward</v>
      </c>
    </row>
    <row r="978" spans="1:41" x14ac:dyDescent="0.3">
      <c r="A978" s="21" t="str">
        <f t="shared" si="216"/>
        <v>UHID-00977</v>
      </c>
      <c r="B978" s="18">
        <v>39</v>
      </c>
      <c r="C978" s="10" t="s">
        <v>17</v>
      </c>
      <c r="D978" s="13" t="s">
        <v>28</v>
      </c>
      <c r="E978" s="13" t="s">
        <v>9</v>
      </c>
      <c r="F978" s="15">
        <v>46180.729469340302</v>
      </c>
      <c r="G978" s="4">
        <v>46180</v>
      </c>
      <c r="H978" s="1">
        <v>46184.592421875001</v>
      </c>
      <c r="I978" s="22">
        <v>46184</v>
      </c>
      <c r="J978" s="24">
        <f t="shared" si="210"/>
        <v>46184.47699142155</v>
      </c>
      <c r="K978" s="24">
        <f t="shared" si="211"/>
        <v>0.59242187500058208</v>
      </c>
      <c r="L978" s="29">
        <f t="shared" si="217"/>
        <v>46183</v>
      </c>
      <c r="M978" s="27" t="str">
        <f t="shared" si="212"/>
        <v>Doctor Round Delay/Report Delay</v>
      </c>
      <c r="N978" s="31">
        <f t="shared" si="213"/>
        <v>4</v>
      </c>
      <c r="O978" s="27"/>
      <c r="Q978" s="8">
        <v>0.90863784221664345</v>
      </c>
      <c r="R978" s="8" t="str">
        <f t="shared" si="214"/>
        <v>Minor Delay</v>
      </c>
      <c r="S978" s="33">
        <v>2.7703308828600077</v>
      </c>
      <c r="T978" t="s">
        <v>31</v>
      </c>
      <c r="U978" s="3">
        <v>0</v>
      </c>
      <c r="V978" s="3" t="str">
        <f t="shared" si="218"/>
        <v>Normal</v>
      </c>
      <c r="W978" s="3" t="s">
        <v>51</v>
      </c>
      <c r="X978" s="32">
        <f t="shared" si="215"/>
        <v>0.11543045345024439</v>
      </c>
      <c r="Z978" s="38">
        <f t="shared" si="219"/>
        <v>0</v>
      </c>
      <c r="AC978" s="36">
        <v>0.125</v>
      </c>
      <c r="AL978" t="str">
        <f t="shared" si="220"/>
        <v>Doctor Round Delay/Report Delay</v>
      </c>
      <c r="AM978" t="str">
        <f t="shared" si="221"/>
        <v>No</v>
      </c>
      <c r="AN978" t="str">
        <f t="shared" si="222"/>
        <v>Elective</v>
      </c>
      <c r="AO978" t="str">
        <f t="shared" si="223"/>
        <v>HDU</v>
      </c>
    </row>
    <row r="979" spans="1:41" x14ac:dyDescent="0.3">
      <c r="A979" s="21" t="str">
        <f t="shared" si="216"/>
        <v>UHID-00978</v>
      </c>
      <c r="B979" s="18">
        <v>77</v>
      </c>
      <c r="C979" s="10" t="s">
        <v>17</v>
      </c>
      <c r="D979" s="13" t="s">
        <v>27</v>
      </c>
      <c r="E979" s="13" t="s">
        <v>9</v>
      </c>
      <c r="F979" s="15">
        <v>46181.776915960603</v>
      </c>
      <c r="G979" s="4">
        <v>46181</v>
      </c>
      <c r="H979" s="1">
        <v>46184.746574745397</v>
      </c>
      <c r="I979" s="22">
        <v>46184</v>
      </c>
      <c r="J979" s="24">
        <f t="shared" si="210"/>
        <v>46184.677285809172</v>
      </c>
      <c r="K979" s="24">
        <f t="shared" si="211"/>
        <v>0.74657474539708346</v>
      </c>
      <c r="L979" s="29">
        <f t="shared" si="217"/>
        <v>46183</v>
      </c>
      <c r="M979" s="27" t="str">
        <f t="shared" si="212"/>
        <v>Normal</v>
      </c>
      <c r="N979" s="31">
        <f t="shared" si="213"/>
        <v>3</v>
      </c>
      <c r="O979" s="27"/>
      <c r="Q979" s="8">
        <v>0.38602787556609763</v>
      </c>
      <c r="R979" s="8" t="str">
        <f t="shared" si="214"/>
        <v>On Time</v>
      </c>
      <c r="S979" s="33">
        <v>1.6629344694201156</v>
      </c>
      <c r="T979" t="s">
        <v>31</v>
      </c>
      <c r="U979" s="3">
        <v>0</v>
      </c>
      <c r="V979" s="3" t="str">
        <f t="shared" si="218"/>
        <v>Normal</v>
      </c>
      <c r="W979" s="3" t="s">
        <v>51</v>
      </c>
      <c r="X979" s="32">
        <f t="shared" si="215"/>
        <v>6.9288936225348152E-2</v>
      </c>
      <c r="Z979" s="38">
        <f t="shared" si="219"/>
        <v>0</v>
      </c>
      <c r="AC979" s="36">
        <v>0.125</v>
      </c>
      <c r="AL979" t="str">
        <f t="shared" si="220"/>
        <v>Normal</v>
      </c>
      <c r="AM979" t="str">
        <f t="shared" si="221"/>
        <v>No</v>
      </c>
      <c r="AN979" t="str">
        <f t="shared" si="222"/>
        <v>Elective</v>
      </c>
      <c r="AO979" t="str">
        <f t="shared" si="223"/>
        <v>General Ward</v>
      </c>
    </row>
    <row r="980" spans="1:41" x14ac:dyDescent="0.3">
      <c r="A980" s="21" t="str">
        <f t="shared" si="216"/>
        <v>UHID-00979</v>
      </c>
      <c r="B980" s="18">
        <v>51</v>
      </c>
      <c r="C980" s="10" t="s">
        <v>17</v>
      </c>
      <c r="D980" s="13" t="s">
        <v>26</v>
      </c>
      <c r="E980" s="13" t="s">
        <v>9</v>
      </c>
      <c r="F980" s="15">
        <v>46184.348155150503</v>
      </c>
      <c r="G980" s="4">
        <v>46184</v>
      </c>
      <c r="H980" s="1">
        <v>46184.692446539397</v>
      </c>
      <c r="I980" s="22">
        <v>46184</v>
      </c>
      <c r="J980" s="24">
        <f t="shared" si="210"/>
        <v>46184.442374081336</v>
      </c>
      <c r="K980" s="24">
        <f t="shared" si="211"/>
        <v>0.69244653939676937</v>
      </c>
      <c r="L980" s="29">
        <f t="shared" si="217"/>
        <v>46183</v>
      </c>
      <c r="M980" s="27" t="str">
        <f t="shared" si="212"/>
        <v>Health Deterioration/TPA Approval Delay</v>
      </c>
      <c r="N980" s="31">
        <f t="shared" si="213"/>
        <v>0</v>
      </c>
      <c r="O980" s="27"/>
      <c r="Q980" s="8">
        <v>0.80398767158975282</v>
      </c>
      <c r="R980" s="8" t="str">
        <f t="shared" si="214"/>
        <v>Critical Delay</v>
      </c>
      <c r="S980" s="33">
        <v>3.0017389935013057</v>
      </c>
      <c r="T980" t="s">
        <v>31</v>
      </c>
      <c r="U980" s="3">
        <v>3</v>
      </c>
      <c r="V980" s="3" t="str">
        <f t="shared" si="218"/>
        <v>Normal</v>
      </c>
      <c r="W980" s="3" t="s">
        <v>50</v>
      </c>
      <c r="X980" s="32">
        <f t="shared" si="215"/>
        <v>0.2500724580604583</v>
      </c>
      <c r="Z980" s="38">
        <f t="shared" si="219"/>
        <v>0.1250724580604583</v>
      </c>
      <c r="AC980" s="36">
        <v>0.125</v>
      </c>
      <c r="AL980" t="str">
        <f t="shared" si="220"/>
        <v>Health Deterioration/TPA Approval Delay</v>
      </c>
      <c r="AM980" t="str">
        <f t="shared" si="221"/>
        <v>No</v>
      </c>
      <c r="AN980" t="str">
        <f t="shared" si="222"/>
        <v>Emergency</v>
      </c>
      <c r="AO980" t="str">
        <f t="shared" si="223"/>
        <v>General Ward</v>
      </c>
    </row>
    <row r="981" spans="1:41" x14ac:dyDescent="0.3">
      <c r="A981" s="21" t="str">
        <f t="shared" si="216"/>
        <v>UHID-00980</v>
      </c>
      <c r="B981" s="18">
        <v>51</v>
      </c>
      <c r="C981" s="10" t="s">
        <v>17</v>
      </c>
      <c r="D981" s="13" t="s">
        <v>28</v>
      </c>
      <c r="E981" s="13" t="s">
        <v>9</v>
      </c>
      <c r="F981" s="15">
        <v>46182.779874467597</v>
      </c>
      <c r="G981" s="4">
        <v>46182</v>
      </c>
      <c r="H981" s="1">
        <v>46185.529162013903</v>
      </c>
      <c r="I981" s="22">
        <v>46185</v>
      </c>
      <c r="J981" s="24">
        <f t="shared" si="210"/>
        <v>46185.427415939637</v>
      </c>
      <c r="K981" s="24">
        <f t="shared" si="211"/>
        <v>0.52916201390326023</v>
      </c>
      <c r="L981" s="29">
        <f t="shared" si="217"/>
        <v>46184</v>
      </c>
      <c r="M981" s="27" t="str">
        <f t="shared" si="212"/>
        <v>Doctor Round Delay/Report Delay</v>
      </c>
      <c r="N981" s="31">
        <f t="shared" si="213"/>
        <v>3</v>
      </c>
      <c r="O981" s="27"/>
      <c r="Q981" s="8">
        <v>0.87556196747451809</v>
      </c>
      <c r="R981" s="8" t="str">
        <f t="shared" si="214"/>
        <v>Minor Delay</v>
      </c>
      <c r="S981" s="33">
        <v>2.4419057824584347</v>
      </c>
      <c r="T981" t="s">
        <v>31</v>
      </c>
      <c r="U981" s="3">
        <v>0</v>
      </c>
      <c r="V981" s="3" t="str">
        <f t="shared" si="218"/>
        <v>Normal</v>
      </c>
      <c r="W981" s="3" t="s">
        <v>51</v>
      </c>
      <c r="X981" s="32">
        <f t="shared" si="215"/>
        <v>0.10174607426597504</v>
      </c>
      <c r="Z981" s="38">
        <f t="shared" si="219"/>
        <v>0</v>
      </c>
      <c r="AC981" s="36">
        <v>0.125</v>
      </c>
      <c r="AL981" t="str">
        <f t="shared" si="220"/>
        <v>Doctor Round Delay/Report Delay</v>
      </c>
      <c r="AM981" t="str">
        <f t="shared" si="221"/>
        <v>No</v>
      </c>
      <c r="AN981" t="str">
        <f t="shared" si="222"/>
        <v>Emergency</v>
      </c>
      <c r="AO981" t="str">
        <f t="shared" si="223"/>
        <v>General Ward</v>
      </c>
    </row>
    <row r="982" spans="1:41" x14ac:dyDescent="0.3">
      <c r="A982" s="21" t="str">
        <f t="shared" si="216"/>
        <v>UHID-00981</v>
      </c>
      <c r="B982" s="18">
        <v>30</v>
      </c>
      <c r="C982" s="10" t="s">
        <v>17</v>
      </c>
      <c r="D982" s="13" t="s">
        <v>28</v>
      </c>
      <c r="E982" s="13" t="s">
        <v>9</v>
      </c>
      <c r="F982" s="15">
        <v>46183.841082557898</v>
      </c>
      <c r="G982" s="4">
        <v>46183</v>
      </c>
      <c r="H982" s="1">
        <v>46185.540366840301</v>
      </c>
      <c r="I982" s="22">
        <v>46185</v>
      </c>
      <c r="J982" s="24">
        <f t="shared" si="210"/>
        <v>46185.268262881742</v>
      </c>
      <c r="K982" s="24">
        <f t="shared" si="211"/>
        <v>0.54036684030143078</v>
      </c>
      <c r="L982" s="29">
        <f t="shared" si="217"/>
        <v>46184</v>
      </c>
      <c r="M982" s="27" t="str">
        <f t="shared" si="212"/>
        <v>Health Deterioration</v>
      </c>
      <c r="N982" s="31">
        <f t="shared" si="213"/>
        <v>2</v>
      </c>
      <c r="O982" s="27"/>
      <c r="Q982" s="8">
        <v>0.95894226123902959</v>
      </c>
      <c r="R982" s="8" t="str">
        <f t="shared" si="214"/>
        <v>Critical Delay</v>
      </c>
      <c r="S982" s="33">
        <v>2.5304950053463156</v>
      </c>
      <c r="T982" t="s">
        <v>31</v>
      </c>
      <c r="U982" s="3">
        <v>4</v>
      </c>
      <c r="V982" s="3" t="str">
        <f t="shared" si="218"/>
        <v>Normal</v>
      </c>
      <c r="W982" s="3" t="s">
        <v>50</v>
      </c>
      <c r="X982" s="32">
        <f t="shared" si="215"/>
        <v>0.27210395855945535</v>
      </c>
      <c r="Z982" s="38">
        <f t="shared" si="219"/>
        <v>0.14710395855945535</v>
      </c>
      <c r="AC982" s="36">
        <v>0.125</v>
      </c>
      <c r="AL982" t="str">
        <f t="shared" si="220"/>
        <v>Health Deterioration</v>
      </c>
      <c r="AM982" t="str">
        <f t="shared" si="221"/>
        <v>No</v>
      </c>
      <c r="AN982" t="str">
        <f t="shared" si="222"/>
        <v>Emergency</v>
      </c>
      <c r="AO982" t="str">
        <f t="shared" si="223"/>
        <v>General Ward</v>
      </c>
    </row>
    <row r="983" spans="1:41" x14ac:dyDescent="0.3">
      <c r="A983" s="21" t="str">
        <f t="shared" si="216"/>
        <v>UHID-00982</v>
      </c>
      <c r="B983" s="18">
        <v>29</v>
      </c>
      <c r="C983" s="10" t="s">
        <v>17</v>
      </c>
      <c r="D983" s="13" t="s">
        <v>27</v>
      </c>
      <c r="E983" s="13" t="s">
        <v>9</v>
      </c>
      <c r="F983" s="15">
        <v>46181.9861301852</v>
      </c>
      <c r="G983" s="4">
        <v>46181</v>
      </c>
      <c r="H983" s="1">
        <v>46185.748144872698</v>
      </c>
      <c r="I983" s="22">
        <v>46185</v>
      </c>
      <c r="J983" s="24">
        <f t="shared" si="210"/>
        <v>46185.674887649613</v>
      </c>
      <c r="K983" s="24">
        <f t="shared" si="211"/>
        <v>0.74814487269759411</v>
      </c>
      <c r="L983" s="29">
        <f t="shared" si="217"/>
        <v>46184</v>
      </c>
      <c r="M983" s="27" t="str">
        <f t="shared" si="212"/>
        <v>Normal</v>
      </c>
      <c r="N983" s="31">
        <f t="shared" si="213"/>
        <v>4</v>
      </c>
      <c r="O983" s="27"/>
      <c r="Q983" s="8">
        <v>0.18053635424819658</v>
      </c>
      <c r="R983" s="8" t="str">
        <f t="shared" si="214"/>
        <v>On Time</v>
      </c>
      <c r="S983" s="33">
        <v>1.758173354041995</v>
      </c>
      <c r="T983" t="s">
        <v>30</v>
      </c>
      <c r="U983" s="3">
        <v>0</v>
      </c>
      <c r="V983" s="3" t="str">
        <f t="shared" si="218"/>
        <v/>
      </c>
      <c r="W983" s="3" t="s">
        <v>51</v>
      </c>
      <c r="X983" s="32">
        <f t="shared" si="215"/>
        <v>7.325722308451077E-2</v>
      </c>
      <c r="Z983" s="38">
        <f t="shared" si="219"/>
        <v>0</v>
      </c>
      <c r="AC983" s="36">
        <v>0.125</v>
      </c>
      <c r="AL983" t="str">
        <f t="shared" si="220"/>
        <v>Normal</v>
      </c>
      <c r="AM983" t="str">
        <f t="shared" si="221"/>
        <v>No</v>
      </c>
      <c r="AN983" t="str">
        <f t="shared" si="222"/>
        <v>Elective</v>
      </c>
      <c r="AO983" t="str">
        <f t="shared" si="223"/>
        <v>HDU</v>
      </c>
    </row>
    <row r="984" spans="1:41" x14ac:dyDescent="0.3">
      <c r="A984" s="21" t="str">
        <f t="shared" si="216"/>
        <v>UHID-00983</v>
      </c>
      <c r="B984" s="18">
        <v>37</v>
      </c>
      <c r="C984" s="10" t="s">
        <v>17</v>
      </c>
      <c r="D984" s="13" t="s">
        <v>27</v>
      </c>
      <c r="E984" s="13" t="s">
        <v>9</v>
      </c>
      <c r="F984" s="15">
        <v>46183.703607222204</v>
      </c>
      <c r="G984" s="4">
        <v>46183</v>
      </c>
      <c r="H984" s="1">
        <v>46186.489089282397</v>
      </c>
      <c r="I984" s="22">
        <v>46186</v>
      </c>
      <c r="J984" s="24">
        <f t="shared" si="210"/>
        <v>46186.276613916329</v>
      </c>
      <c r="K984" s="24">
        <f t="shared" si="211"/>
        <v>0.48908928239688976</v>
      </c>
      <c r="L984" s="29">
        <f t="shared" si="217"/>
        <v>46185</v>
      </c>
      <c r="M984" s="27" t="str">
        <f t="shared" si="212"/>
        <v>Health Deterioration</v>
      </c>
      <c r="N984" s="31">
        <f t="shared" si="213"/>
        <v>3</v>
      </c>
      <c r="O984" s="27"/>
      <c r="Q984" s="8">
        <v>0.30096941288051093</v>
      </c>
      <c r="R984" s="8" t="str">
        <f t="shared" si="214"/>
        <v>Critical Delay</v>
      </c>
      <c r="S984" s="33">
        <v>1.0994087855941519</v>
      </c>
      <c r="T984" t="s">
        <v>30</v>
      </c>
      <c r="U984" s="3">
        <v>4</v>
      </c>
      <c r="V984" s="3" t="str">
        <f t="shared" si="218"/>
        <v/>
      </c>
      <c r="W984" s="3" t="s">
        <v>50</v>
      </c>
      <c r="X984" s="32">
        <f t="shared" si="215"/>
        <v>0.21247536606824724</v>
      </c>
      <c r="Z984" s="38">
        <f t="shared" si="219"/>
        <v>8.747536606824724E-2</v>
      </c>
      <c r="AC984" s="36">
        <v>0.125</v>
      </c>
      <c r="AL984" t="str">
        <f t="shared" si="220"/>
        <v>Health Deterioration</v>
      </c>
      <c r="AM984" t="str">
        <f t="shared" si="221"/>
        <v>No</v>
      </c>
      <c r="AN984" t="str">
        <f t="shared" si="222"/>
        <v>Emergency</v>
      </c>
      <c r="AO984" t="str">
        <f t="shared" si="223"/>
        <v>General Ward</v>
      </c>
    </row>
    <row r="985" spans="1:41" x14ac:dyDescent="0.3">
      <c r="A985" s="21" t="str">
        <f t="shared" si="216"/>
        <v>UHID-00984</v>
      </c>
      <c r="B985" s="18">
        <v>32</v>
      </c>
      <c r="C985" s="10" t="s">
        <v>17</v>
      </c>
      <c r="D985" s="13" t="s">
        <v>27</v>
      </c>
      <c r="E985" s="13" t="s">
        <v>9</v>
      </c>
      <c r="F985" s="15">
        <v>46183.5897556134</v>
      </c>
      <c r="G985" s="4">
        <v>46183</v>
      </c>
      <c r="H985" s="1">
        <v>46188.5104443866</v>
      </c>
      <c r="I985" s="22">
        <v>46188</v>
      </c>
      <c r="J985" s="24">
        <f t="shared" si="210"/>
        <v>46188.428544532915</v>
      </c>
      <c r="K985" s="24">
        <f t="shared" si="211"/>
        <v>0.51044438660028391</v>
      </c>
      <c r="L985" s="29">
        <f t="shared" si="217"/>
        <v>46187</v>
      </c>
      <c r="M985" s="27" t="str">
        <f t="shared" si="212"/>
        <v>Normal</v>
      </c>
      <c r="N985" s="31">
        <f t="shared" si="213"/>
        <v>5</v>
      </c>
      <c r="O985" s="27"/>
      <c r="Q985" s="8">
        <v>0.20281150218066069</v>
      </c>
      <c r="R985" s="8" t="str">
        <f t="shared" si="214"/>
        <v>On Time</v>
      </c>
      <c r="S985" s="33">
        <v>1.965596488463456</v>
      </c>
      <c r="T985" t="s">
        <v>30</v>
      </c>
      <c r="U985" s="3">
        <v>0</v>
      </c>
      <c r="V985" s="3" t="str">
        <f t="shared" si="218"/>
        <v/>
      </c>
      <c r="W985" s="3" t="s">
        <v>51</v>
      </c>
      <c r="X985" s="32">
        <f t="shared" si="215"/>
        <v>8.1899853685172275E-2</v>
      </c>
      <c r="Z985" s="38">
        <f t="shared" si="219"/>
        <v>0</v>
      </c>
      <c r="AC985" s="36">
        <v>0.125</v>
      </c>
      <c r="AL985" t="str">
        <f t="shared" si="220"/>
        <v>Normal</v>
      </c>
      <c r="AM985" t="str">
        <f t="shared" si="221"/>
        <v>No</v>
      </c>
      <c r="AN985" t="str">
        <f t="shared" si="222"/>
        <v>Elective</v>
      </c>
      <c r="AO985" t="str">
        <f t="shared" si="223"/>
        <v>HDU</v>
      </c>
    </row>
    <row r="986" spans="1:41" x14ac:dyDescent="0.3">
      <c r="A986" s="21" t="str">
        <f t="shared" si="216"/>
        <v>UHID-00985</v>
      </c>
      <c r="B986" s="18">
        <v>33</v>
      </c>
      <c r="C986" s="10" t="s">
        <v>17</v>
      </c>
      <c r="D986" s="13" t="s">
        <v>27</v>
      </c>
      <c r="E986" s="13" t="s">
        <v>9</v>
      </c>
      <c r="F986" s="15">
        <v>46187.994883287</v>
      </c>
      <c r="G986" s="4">
        <v>46187</v>
      </c>
      <c r="H986" s="1">
        <v>46189.463952222199</v>
      </c>
      <c r="I986" s="22">
        <v>46189</v>
      </c>
      <c r="J986" s="24">
        <f t="shared" si="210"/>
        <v>46189.259825902416</v>
      </c>
      <c r="K986" s="24">
        <f t="shared" si="211"/>
        <v>0.46395222219871357</v>
      </c>
      <c r="L986" s="29">
        <f t="shared" si="217"/>
        <v>46188</v>
      </c>
      <c r="M986" s="27" t="str">
        <f t="shared" si="212"/>
        <v>Medication Change</v>
      </c>
      <c r="N986" s="31">
        <f t="shared" si="213"/>
        <v>2</v>
      </c>
      <c r="O986" s="27"/>
      <c r="Q986" s="8">
        <v>0.19604920082994293</v>
      </c>
      <c r="R986" s="8" t="str">
        <f t="shared" si="214"/>
        <v>Major Delay</v>
      </c>
      <c r="S986" s="33">
        <v>1.8990316747050233</v>
      </c>
      <c r="T986" t="s">
        <v>30</v>
      </c>
      <c r="U986" s="3">
        <v>3</v>
      </c>
      <c r="V986" s="3" t="str">
        <f t="shared" si="218"/>
        <v/>
      </c>
      <c r="W986" s="3" t="s">
        <v>50</v>
      </c>
      <c r="X986" s="32">
        <f t="shared" si="215"/>
        <v>0.20412631978251738</v>
      </c>
      <c r="Z986" s="38">
        <f t="shared" si="219"/>
        <v>7.9126319782517385E-2</v>
      </c>
      <c r="AC986" s="36">
        <v>0.125</v>
      </c>
      <c r="AL986" t="str">
        <f t="shared" si="220"/>
        <v>Medication Change</v>
      </c>
      <c r="AM986" t="str">
        <f t="shared" si="221"/>
        <v>No</v>
      </c>
      <c r="AN986" t="str">
        <f t="shared" si="222"/>
        <v>Elective</v>
      </c>
      <c r="AO986" t="str">
        <f t="shared" si="223"/>
        <v>General Ward</v>
      </c>
    </row>
    <row r="987" spans="1:41" x14ac:dyDescent="0.3">
      <c r="A987" s="21" t="str">
        <f t="shared" si="216"/>
        <v>UHID-00986</v>
      </c>
      <c r="B987" s="18">
        <v>30</v>
      </c>
      <c r="C987" s="10" t="s">
        <v>17</v>
      </c>
      <c r="D987" s="13" t="s">
        <v>28</v>
      </c>
      <c r="E987" s="13" t="s">
        <v>9</v>
      </c>
      <c r="F987" s="15">
        <v>46187.622516354197</v>
      </c>
      <c r="G987" s="4">
        <v>46187</v>
      </c>
      <c r="H987" s="1">
        <v>46190.709094687503</v>
      </c>
      <c r="I987" s="22">
        <v>46190</v>
      </c>
      <c r="J987" s="24">
        <f t="shared" si="210"/>
        <v>46190.440200758305</v>
      </c>
      <c r="K987" s="24">
        <f t="shared" si="211"/>
        <v>0.70909468750323867</v>
      </c>
      <c r="L987" s="29">
        <f t="shared" si="217"/>
        <v>46189</v>
      </c>
      <c r="M987" s="27" t="str">
        <f t="shared" si="212"/>
        <v>Health Deterioration</v>
      </c>
      <c r="N987" s="31">
        <f t="shared" si="213"/>
        <v>3</v>
      </c>
      <c r="O987" s="27"/>
      <c r="Q987" s="8">
        <v>0.94112327374080895</v>
      </c>
      <c r="R987" s="8" t="str">
        <f t="shared" si="214"/>
        <v>Critical Delay</v>
      </c>
      <c r="S987" s="33">
        <v>2.4534543007305758</v>
      </c>
      <c r="T987" t="s">
        <v>31</v>
      </c>
      <c r="U987" s="3">
        <v>4</v>
      </c>
      <c r="V987" s="3" t="str">
        <f t="shared" si="218"/>
        <v>Normal</v>
      </c>
      <c r="W987" s="3" t="s">
        <v>50</v>
      </c>
      <c r="X987" s="32">
        <f t="shared" si="215"/>
        <v>0.26889392919838428</v>
      </c>
      <c r="Z987" s="38">
        <f t="shared" si="219"/>
        <v>0.14389392919838428</v>
      </c>
      <c r="AC987" s="36">
        <v>0.125</v>
      </c>
      <c r="AL987" t="str">
        <f t="shared" si="220"/>
        <v>Health Deterioration</v>
      </c>
      <c r="AM987" t="str">
        <f t="shared" si="221"/>
        <v>No</v>
      </c>
      <c r="AN987" t="str">
        <f t="shared" si="222"/>
        <v>Elective</v>
      </c>
      <c r="AO987" t="str">
        <f t="shared" si="223"/>
        <v>General Ward</v>
      </c>
    </row>
    <row r="988" spans="1:41" x14ac:dyDescent="0.3">
      <c r="A988" s="21" t="str">
        <f t="shared" si="216"/>
        <v>UHID-00987</v>
      </c>
      <c r="B988" s="18">
        <v>28</v>
      </c>
      <c r="C988" s="10" t="s">
        <v>17</v>
      </c>
      <c r="D988" s="13" t="s">
        <v>27</v>
      </c>
      <c r="E988" s="13" t="s">
        <v>9</v>
      </c>
      <c r="F988" s="15">
        <v>46190.860098935198</v>
      </c>
      <c r="G988" s="4">
        <v>46190</v>
      </c>
      <c r="H988" s="1">
        <v>46192.453540729199</v>
      </c>
      <c r="I988" s="22">
        <v>46192</v>
      </c>
      <c r="J988" s="24">
        <f t="shared" si="210"/>
        <v>46192.406168447364</v>
      </c>
      <c r="K988" s="24">
        <f t="shared" si="211"/>
        <v>0.45354072919872124</v>
      </c>
      <c r="L988" s="29">
        <f t="shared" si="217"/>
        <v>46191</v>
      </c>
      <c r="M988" s="27" t="str">
        <f t="shared" si="212"/>
        <v>Normal</v>
      </c>
      <c r="N988" s="31">
        <f t="shared" si="213"/>
        <v>2</v>
      </c>
      <c r="O988" s="27"/>
      <c r="Q988" s="8">
        <v>0.10308950025078889</v>
      </c>
      <c r="R988" s="8" t="str">
        <f t="shared" si="214"/>
        <v>On Time</v>
      </c>
      <c r="S988" s="33">
        <v>1.1369347641181475</v>
      </c>
      <c r="T988" t="s">
        <v>30</v>
      </c>
      <c r="U988" s="3">
        <v>0</v>
      </c>
      <c r="V988" s="3" t="str">
        <f t="shared" si="218"/>
        <v/>
      </c>
      <c r="W988" s="3" t="s">
        <v>51</v>
      </c>
      <c r="X988" s="32">
        <f t="shared" si="215"/>
        <v>4.7372281835123431E-2</v>
      </c>
      <c r="Z988" s="38">
        <f t="shared" si="219"/>
        <v>0</v>
      </c>
      <c r="AC988" s="36">
        <v>0.125</v>
      </c>
      <c r="AL988" t="str">
        <f t="shared" si="220"/>
        <v>Normal</v>
      </c>
      <c r="AM988" t="str">
        <f t="shared" si="221"/>
        <v>No</v>
      </c>
      <c r="AN988" t="str">
        <f t="shared" si="222"/>
        <v>Elective</v>
      </c>
      <c r="AO988" t="str">
        <f t="shared" si="223"/>
        <v>General Ward</v>
      </c>
    </row>
    <row r="989" spans="1:41" x14ac:dyDescent="0.3">
      <c r="A989" s="21" t="str">
        <f t="shared" si="216"/>
        <v>UHID-00988</v>
      </c>
      <c r="B989" s="18">
        <v>36</v>
      </c>
      <c r="C989" s="10" t="s">
        <v>17</v>
      </c>
      <c r="D989" s="13" t="s">
        <v>26</v>
      </c>
      <c r="E989" s="13" t="s">
        <v>9</v>
      </c>
      <c r="F989" s="15">
        <v>46192.350097372699</v>
      </c>
      <c r="G989" s="4">
        <v>46192</v>
      </c>
      <c r="H989" s="1">
        <v>46192.6632600347</v>
      </c>
      <c r="I989" s="22">
        <v>46192</v>
      </c>
      <c r="J989" s="24">
        <f t="shared" si="210"/>
        <v>46192.157674503185</v>
      </c>
      <c r="K989" s="24">
        <f t="shared" si="211"/>
        <v>0.66326003470021533</v>
      </c>
      <c r="L989" s="29">
        <f t="shared" si="217"/>
        <v>46191</v>
      </c>
      <c r="M989" s="27" t="str">
        <f t="shared" si="212"/>
        <v>Health Deterioration/TPA Approval Delay</v>
      </c>
      <c r="N989" s="31">
        <f t="shared" si="213"/>
        <v>0</v>
      </c>
      <c r="O989" s="27"/>
      <c r="Q989" s="8">
        <v>0.83549618262382419</v>
      </c>
      <c r="R989" s="8" t="str">
        <f t="shared" si="214"/>
        <v>Critical Delay</v>
      </c>
      <c r="S989" s="33">
        <v>3.1340527563833951</v>
      </c>
      <c r="T989" t="s">
        <v>31</v>
      </c>
      <c r="U989" s="3">
        <v>9</v>
      </c>
      <c r="V989" s="3" t="str">
        <f t="shared" si="218"/>
        <v>Normal</v>
      </c>
      <c r="W989" s="3" t="s">
        <v>52</v>
      </c>
      <c r="X989" s="32">
        <f t="shared" si="215"/>
        <v>0.50558553151495289</v>
      </c>
      <c r="Z989" s="38">
        <f t="shared" si="219"/>
        <v>0.38058553151495289</v>
      </c>
      <c r="AC989" s="36">
        <v>0.125</v>
      </c>
      <c r="AL989" t="str">
        <f t="shared" si="220"/>
        <v>Health Deterioration/TPA Approval Delay</v>
      </c>
      <c r="AM989" t="str">
        <f t="shared" si="221"/>
        <v>No</v>
      </c>
      <c r="AN989" t="str">
        <f t="shared" si="222"/>
        <v>Emergency</v>
      </c>
      <c r="AO989" t="str">
        <f t="shared" si="223"/>
        <v>General Ward</v>
      </c>
    </row>
    <row r="990" spans="1:41" x14ac:dyDescent="0.3">
      <c r="A990" s="21" t="str">
        <f t="shared" si="216"/>
        <v>UHID-00989</v>
      </c>
      <c r="B990" s="18">
        <v>48</v>
      </c>
      <c r="C990" s="10" t="s">
        <v>17</v>
      </c>
      <c r="D990" s="13" t="s">
        <v>28</v>
      </c>
      <c r="E990" s="13" t="s">
        <v>9</v>
      </c>
      <c r="F990" s="15">
        <v>46189.627728344902</v>
      </c>
      <c r="G990" s="4">
        <v>46189</v>
      </c>
      <c r="H990" s="1">
        <v>46193.549163599499</v>
      </c>
      <c r="I990" s="22">
        <v>46193</v>
      </c>
      <c r="J990" s="24">
        <f t="shared" si="210"/>
        <v>46193.459898849331</v>
      </c>
      <c r="K990" s="24">
        <f t="shared" si="211"/>
        <v>0.54916359949856997</v>
      </c>
      <c r="L990" s="29">
        <f t="shared" si="217"/>
        <v>46192</v>
      </c>
      <c r="M990" s="27" t="str">
        <f t="shared" si="212"/>
        <v>Doctor Round Delay/Report Delay</v>
      </c>
      <c r="N990" s="31">
        <f t="shared" si="213"/>
        <v>4</v>
      </c>
      <c r="O990" s="27"/>
      <c r="Q990" s="8">
        <v>0.90633176324385389</v>
      </c>
      <c r="R990" s="8" t="str">
        <f t="shared" si="214"/>
        <v>Minor Delay</v>
      </c>
      <c r="S990" s="33">
        <v>2.1423540040781659</v>
      </c>
      <c r="T990" t="s">
        <v>31</v>
      </c>
      <c r="U990" s="3">
        <v>0</v>
      </c>
      <c r="V990" s="3" t="str">
        <f t="shared" si="218"/>
        <v>Normal</v>
      </c>
      <c r="W990" s="3" t="s">
        <v>51</v>
      </c>
      <c r="X990" s="32">
        <f t="shared" si="215"/>
        <v>8.9264750167785678E-2</v>
      </c>
      <c r="Z990" s="38">
        <f t="shared" si="219"/>
        <v>0</v>
      </c>
      <c r="AC990" s="36">
        <v>0.125</v>
      </c>
      <c r="AL990" t="str">
        <f t="shared" si="220"/>
        <v>Doctor Round Delay/Report Delay</v>
      </c>
      <c r="AM990" t="str">
        <f t="shared" si="221"/>
        <v>No</v>
      </c>
      <c r="AN990" t="str">
        <f t="shared" si="222"/>
        <v>Elective</v>
      </c>
      <c r="AO990" t="str">
        <f t="shared" si="223"/>
        <v>HDU</v>
      </c>
    </row>
    <row r="991" spans="1:41" x14ac:dyDescent="0.3">
      <c r="A991" s="21" t="str">
        <f t="shared" si="216"/>
        <v>UHID-00990</v>
      </c>
      <c r="B991" s="18">
        <v>31</v>
      </c>
      <c r="C991" s="10" t="s">
        <v>17</v>
      </c>
      <c r="D991" s="13" t="s">
        <v>27</v>
      </c>
      <c r="E991" s="13" t="s">
        <v>9</v>
      </c>
      <c r="F991" s="15">
        <v>46193.332759479199</v>
      </c>
      <c r="G991" s="4">
        <v>46193</v>
      </c>
      <c r="H991" s="1">
        <v>46193.700792847201</v>
      </c>
      <c r="I991" s="22">
        <v>46193</v>
      </c>
      <c r="J991" s="24">
        <f t="shared" si="210"/>
        <v>46193.633633809768</v>
      </c>
      <c r="K991" s="24">
        <f t="shared" si="211"/>
        <v>0.70079284720122814</v>
      </c>
      <c r="L991" s="29">
        <f t="shared" si="217"/>
        <v>46192</v>
      </c>
      <c r="M991" s="27" t="str">
        <f t="shared" si="212"/>
        <v>Normal</v>
      </c>
      <c r="N991" s="31">
        <f t="shared" si="213"/>
        <v>0</v>
      </c>
      <c r="O991" s="27"/>
      <c r="Q991" s="8">
        <v>0.48142628054742798</v>
      </c>
      <c r="R991" s="8" t="str">
        <f t="shared" si="214"/>
        <v>On Time</v>
      </c>
      <c r="S991" s="33">
        <v>1.6118168984723649</v>
      </c>
      <c r="T991" t="s">
        <v>31</v>
      </c>
      <c r="U991" s="3">
        <v>0</v>
      </c>
      <c r="V991" s="3" t="str">
        <f t="shared" si="218"/>
        <v>Normal</v>
      </c>
      <c r="W991" s="3" t="s">
        <v>51</v>
      </c>
      <c r="X991" s="32">
        <f t="shared" si="215"/>
        <v>6.7159037433157209E-2</v>
      </c>
      <c r="Z991" s="38">
        <f t="shared" si="219"/>
        <v>0</v>
      </c>
      <c r="AC991" s="36">
        <v>0.125</v>
      </c>
      <c r="AL991" t="str">
        <f t="shared" si="220"/>
        <v>Normal</v>
      </c>
      <c r="AM991" t="str">
        <f t="shared" si="221"/>
        <v>No</v>
      </c>
      <c r="AN991" t="str">
        <f t="shared" si="222"/>
        <v>Elective</v>
      </c>
      <c r="AO991" t="str">
        <f t="shared" si="223"/>
        <v>General Ward</v>
      </c>
    </row>
    <row r="992" spans="1:41" x14ac:dyDescent="0.3">
      <c r="A992" s="21" t="str">
        <f t="shared" si="216"/>
        <v>UHID-00991</v>
      </c>
      <c r="B992" s="18">
        <v>34</v>
      </c>
      <c r="C992" s="10" t="s">
        <v>17</v>
      </c>
      <c r="D992" s="13" t="s">
        <v>27</v>
      </c>
      <c r="E992" s="13" t="s">
        <v>9</v>
      </c>
      <c r="F992" s="15">
        <v>46193.709074213002</v>
      </c>
      <c r="G992" s="4">
        <v>46193</v>
      </c>
      <c r="H992" s="1">
        <v>46193.792312650497</v>
      </c>
      <c r="I992" s="22">
        <v>46193</v>
      </c>
      <c r="J992" s="24">
        <f t="shared" si="210"/>
        <v>46193.714705492595</v>
      </c>
      <c r="K992" s="24">
        <f t="shared" si="211"/>
        <v>0.7923126504974789</v>
      </c>
      <c r="L992" s="29">
        <f t="shared" si="217"/>
        <v>46192</v>
      </c>
      <c r="M992" s="27" t="str">
        <f t="shared" si="212"/>
        <v>Normal</v>
      </c>
      <c r="N992" s="31">
        <f t="shared" si="213"/>
        <v>0</v>
      </c>
      <c r="O992" s="27"/>
      <c r="Q992" s="8">
        <v>0.41015596990736214</v>
      </c>
      <c r="R992" s="8" t="str">
        <f t="shared" si="214"/>
        <v>On Time</v>
      </c>
      <c r="S992" s="33">
        <v>1.8625717896386831</v>
      </c>
      <c r="T992" t="s">
        <v>31</v>
      </c>
      <c r="U992" s="3">
        <v>0</v>
      </c>
      <c r="V992" s="3" t="str">
        <f t="shared" si="218"/>
        <v>Normal</v>
      </c>
      <c r="W992" s="3" t="s">
        <v>51</v>
      </c>
      <c r="X992" s="32">
        <f t="shared" si="215"/>
        <v>7.7607157902093604E-2</v>
      </c>
      <c r="Z992" s="38">
        <f t="shared" si="219"/>
        <v>0</v>
      </c>
      <c r="AC992" s="36">
        <v>0.125</v>
      </c>
      <c r="AL992" t="str">
        <f t="shared" si="220"/>
        <v>Normal</v>
      </c>
      <c r="AM992" t="str">
        <f t="shared" si="221"/>
        <v>No</v>
      </c>
      <c r="AN992" t="str">
        <f t="shared" si="222"/>
        <v>Elective</v>
      </c>
      <c r="AO992" t="str">
        <f t="shared" si="223"/>
        <v>General Ward</v>
      </c>
    </row>
    <row r="993" spans="1:41" x14ac:dyDescent="0.3">
      <c r="A993" s="21" t="str">
        <f t="shared" si="216"/>
        <v>UHID-00992</v>
      </c>
      <c r="B993" s="18">
        <v>32</v>
      </c>
      <c r="C993" s="10" t="s">
        <v>17</v>
      </c>
      <c r="D993" s="13" t="s">
        <v>26</v>
      </c>
      <c r="E993" s="13" t="s">
        <v>9</v>
      </c>
      <c r="F993" s="15">
        <v>46190.780627696797</v>
      </c>
      <c r="G993" s="4">
        <v>46190</v>
      </c>
      <c r="H993" s="1">
        <v>46194.4369665509</v>
      </c>
      <c r="I993" s="22">
        <v>46194</v>
      </c>
      <c r="J993" s="24">
        <f t="shared" si="210"/>
        <v>46194.198846153449</v>
      </c>
      <c r="K993" s="24">
        <f t="shared" si="211"/>
        <v>0.4369665509002516</v>
      </c>
      <c r="L993" s="29">
        <f t="shared" si="217"/>
        <v>46193</v>
      </c>
      <c r="M993" s="27" t="str">
        <f t="shared" si="212"/>
        <v>Health Deterioration/TPA Approval Delay</v>
      </c>
      <c r="N993" s="31">
        <f t="shared" si="213"/>
        <v>4</v>
      </c>
      <c r="O993" s="27"/>
      <c r="Q993" s="8">
        <v>0.68960585289749665</v>
      </c>
      <c r="R993" s="8" t="str">
        <f t="shared" si="214"/>
        <v>Critical Delay</v>
      </c>
      <c r="S993" s="33">
        <v>3.7148895388099379</v>
      </c>
      <c r="T993" t="s">
        <v>31</v>
      </c>
      <c r="U993" s="3">
        <v>2</v>
      </c>
      <c r="V993" s="3" t="str">
        <f t="shared" si="218"/>
        <v>Normal</v>
      </c>
      <c r="W993" s="3" t="s">
        <v>50</v>
      </c>
      <c r="X993" s="32">
        <f t="shared" si="215"/>
        <v>0.23812039745098446</v>
      </c>
      <c r="Z993" s="38">
        <f t="shared" si="219"/>
        <v>0.11312039745098446</v>
      </c>
      <c r="AC993" s="36">
        <v>0.125</v>
      </c>
      <c r="AL993" t="str">
        <f t="shared" si="220"/>
        <v>Health Deterioration/TPA Approval Delay</v>
      </c>
      <c r="AM993" t="str">
        <f t="shared" si="221"/>
        <v>No</v>
      </c>
      <c r="AN993" t="str">
        <f t="shared" si="222"/>
        <v>Emergency</v>
      </c>
      <c r="AO993" t="str">
        <f t="shared" si="223"/>
        <v>HDU</v>
      </c>
    </row>
    <row r="994" spans="1:41" x14ac:dyDescent="0.3">
      <c r="A994" s="21" t="str">
        <f t="shared" si="216"/>
        <v>UHID-00993</v>
      </c>
      <c r="B994" s="18">
        <v>33</v>
      </c>
      <c r="C994" s="10" t="s">
        <v>17</v>
      </c>
      <c r="D994" s="13" t="s">
        <v>27</v>
      </c>
      <c r="E994" s="13" t="s">
        <v>9</v>
      </c>
      <c r="F994" s="15">
        <v>46191.907765057898</v>
      </c>
      <c r="G994" s="4">
        <v>46191</v>
      </c>
      <c r="H994" s="1">
        <v>46195.612629745403</v>
      </c>
      <c r="I994" s="22">
        <v>46195</v>
      </c>
      <c r="J994" s="24">
        <f t="shared" si="210"/>
        <v>46195.556686517884</v>
      </c>
      <c r="K994" s="24">
        <f t="shared" si="211"/>
        <v>0.61262974540295545</v>
      </c>
      <c r="L994" s="29">
        <f t="shared" si="217"/>
        <v>46194</v>
      </c>
      <c r="M994" s="27" t="str">
        <f t="shared" si="212"/>
        <v>Normal</v>
      </c>
      <c r="N994" s="31">
        <f t="shared" si="213"/>
        <v>4</v>
      </c>
      <c r="O994" s="27"/>
      <c r="Q994" s="8">
        <v>0.13192855205211707</v>
      </c>
      <c r="R994" s="8" t="str">
        <f t="shared" si="214"/>
        <v>On Time</v>
      </c>
      <c r="S994" s="33">
        <v>1.3426374604174005</v>
      </c>
      <c r="T994" t="s">
        <v>30</v>
      </c>
      <c r="U994" s="3">
        <v>0</v>
      </c>
      <c r="V994" s="3" t="str">
        <f t="shared" si="218"/>
        <v/>
      </c>
      <c r="W994" s="3" t="s">
        <v>51</v>
      </c>
      <c r="X994" s="32">
        <f t="shared" si="215"/>
        <v>5.5943227518582717E-2</v>
      </c>
      <c r="Z994" s="38">
        <f t="shared" si="219"/>
        <v>0</v>
      </c>
      <c r="AC994" s="36">
        <v>0.125</v>
      </c>
      <c r="AL994" t="str">
        <f t="shared" si="220"/>
        <v>Normal</v>
      </c>
      <c r="AM994" t="str">
        <f t="shared" si="221"/>
        <v>No</v>
      </c>
      <c r="AN994" t="str">
        <f t="shared" si="222"/>
        <v>Elective</v>
      </c>
      <c r="AO994" t="str">
        <f t="shared" si="223"/>
        <v>HDU</v>
      </c>
    </row>
    <row r="995" spans="1:41" x14ac:dyDescent="0.3">
      <c r="A995" s="21" t="str">
        <f t="shared" si="216"/>
        <v>UHID-00994</v>
      </c>
      <c r="B995" s="18">
        <v>33</v>
      </c>
      <c r="C995" s="10" t="s">
        <v>17</v>
      </c>
      <c r="D995" s="13" t="s">
        <v>27</v>
      </c>
      <c r="E995" s="13" t="s">
        <v>9</v>
      </c>
      <c r="F995" s="15">
        <v>46192.8845807986</v>
      </c>
      <c r="G995" s="4">
        <v>46192</v>
      </c>
      <c r="H995" s="1">
        <v>46196.663375092598</v>
      </c>
      <c r="I995" s="22">
        <v>46196</v>
      </c>
      <c r="J995" s="24">
        <f t="shared" si="210"/>
        <v>46196.611452571662</v>
      </c>
      <c r="K995" s="24">
        <f t="shared" si="211"/>
        <v>0.66337509259756189</v>
      </c>
      <c r="L995" s="29">
        <f t="shared" si="217"/>
        <v>46195</v>
      </c>
      <c r="M995" s="27" t="str">
        <f t="shared" si="212"/>
        <v>Normal</v>
      </c>
      <c r="N995" s="31">
        <f t="shared" si="213"/>
        <v>4</v>
      </c>
      <c r="O995" s="27"/>
      <c r="Q995" s="8">
        <v>0.22904868079319574</v>
      </c>
      <c r="R995" s="8" t="str">
        <f t="shared" si="214"/>
        <v>On Time</v>
      </c>
      <c r="S995" s="33">
        <v>1.2461405024634464</v>
      </c>
      <c r="T995" t="s">
        <v>30</v>
      </c>
      <c r="U995" s="3">
        <v>0</v>
      </c>
      <c r="V995" s="3" t="str">
        <f t="shared" si="218"/>
        <v/>
      </c>
      <c r="W995" s="3" t="s">
        <v>51</v>
      </c>
      <c r="X995" s="32">
        <f t="shared" si="215"/>
        <v>5.1922520935477223E-2</v>
      </c>
      <c r="Z995" s="38">
        <f t="shared" si="219"/>
        <v>0</v>
      </c>
      <c r="AC995" s="36">
        <v>0.125</v>
      </c>
      <c r="AL995" t="str">
        <f t="shared" si="220"/>
        <v>Normal</v>
      </c>
      <c r="AM995" t="str">
        <f t="shared" si="221"/>
        <v>No</v>
      </c>
      <c r="AN995" t="str">
        <f t="shared" si="222"/>
        <v>Elective</v>
      </c>
      <c r="AO995" t="str">
        <f t="shared" si="223"/>
        <v>HDU</v>
      </c>
    </row>
    <row r="996" spans="1:41" x14ac:dyDescent="0.3">
      <c r="A996" s="21" t="str">
        <f t="shared" si="216"/>
        <v>UHID-00995</v>
      </c>
      <c r="B996" s="18">
        <v>42</v>
      </c>
      <c r="C996" s="10" t="s">
        <v>17</v>
      </c>
      <c r="D996" s="13" t="s">
        <v>26</v>
      </c>
      <c r="E996" s="13" t="s">
        <v>9</v>
      </c>
      <c r="F996" s="15">
        <v>46197.510335011597</v>
      </c>
      <c r="G996" s="4">
        <v>46197</v>
      </c>
      <c r="H996" s="1">
        <v>46197.7461377199</v>
      </c>
      <c r="I996" s="22">
        <v>46197</v>
      </c>
      <c r="J996" s="24">
        <f t="shared" si="210"/>
        <v>46197.53459829522</v>
      </c>
      <c r="K996" s="24">
        <f t="shared" si="211"/>
        <v>0.74613771989970701</v>
      </c>
      <c r="L996" s="29">
        <f t="shared" si="217"/>
        <v>46196</v>
      </c>
      <c r="M996" s="27" t="str">
        <f t="shared" si="212"/>
        <v>Health Deterioration/TPA Approval Delay</v>
      </c>
      <c r="N996" s="31">
        <f t="shared" si="213"/>
        <v>0</v>
      </c>
      <c r="O996" s="27"/>
      <c r="Q996" s="8">
        <v>0.81362401129355577</v>
      </c>
      <c r="R996" s="8" t="str">
        <f t="shared" si="214"/>
        <v>Critical Delay</v>
      </c>
      <c r="S996" s="33">
        <v>3.0769461923217101</v>
      </c>
      <c r="T996" t="s">
        <v>31</v>
      </c>
      <c r="U996" s="3">
        <v>2</v>
      </c>
      <c r="V996" s="3" t="str">
        <f t="shared" si="218"/>
        <v>Normal</v>
      </c>
      <c r="W996" s="3" t="s">
        <v>50</v>
      </c>
      <c r="X996" s="32">
        <f t="shared" si="215"/>
        <v>0.21153942467935849</v>
      </c>
      <c r="Z996" s="38">
        <f t="shared" si="219"/>
        <v>8.653942467935849E-2</v>
      </c>
      <c r="AC996" s="36">
        <v>0.125</v>
      </c>
      <c r="AL996" t="str">
        <f t="shared" si="220"/>
        <v>Health Deterioration/TPA Approval Delay</v>
      </c>
      <c r="AM996" t="str">
        <f t="shared" si="221"/>
        <v>No</v>
      </c>
      <c r="AN996" t="str">
        <f t="shared" si="222"/>
        <v>Emergency</v>
      </c>
      <c r="AO996" t="str">
        <f t="shared" si="223"/>
        <v>General Ward</v>
      </c>
    </row>
    <row r="997" spans="1:41" x14ac:dyDescent="0.3">
      <c r="A997" s="21" t="str">
        <f t="shared" si="216"/>
        <v>UHID-00996</v>
      </c>
      <c r="B997" s="19">
        <v>37</v>
      </c>
      <c r="C997" s="11" t="s">
        <v>17</v>
      </c>
      <c r="D997" s="13" t="s">
        <v>27</v>
      </c>
      <c r="E997" s="13" t="s">
        <v>9</v>
      </c>
      <c r="F997" s="16">
        <v>46196.7407166782</v>
      </c>
      <c r="G997" s="5">
        <v>46196</v>
      </c>
      <c r="H997" s="2">
        <v>46200.749368449098</v>
      </c>
      <c r="I997" s="23">
        <v>46200</v>
      </c>
      <c r="J997" s="24">
        <f t="shared" si="210"/>
        <v>46200.682328685907</v>
      </c>
      <c r="K997" s="24">
        <f t="shared" si="211"/>
        <v>0.74936844909825595</v>
      </c>
      <c r="L997" s="29">
        <f t="shared" si="217"/>
        <v>46199</v>
      </c>
      <c r="M997" s="27" t="str">
        <f t="shared" si="212"/>
        <v>Normal</v>
      </c>
      <c r="N997" s="31">
        <f t="shared" si="213"/>
        <v>4</v>
      </c>
      <c r="O997" s="27"/>
      <c r="Q997" s="8">
        <v>8.9687789814884789E-2</v>
      </c>
      <c r="R997" s="8" t="str">
        <f t="shared" si="214"/>
        <v>On Time</v>
      </c>
      <c r="S997" s="33">
        <v>1.608954316593741</v>
      </c>
      <c r="T997" t="s">
        <v>30</v>
      </c>
      <c r="U997" s="3">
        <v>0</v>
      </c>
      <c r="V997" s="3" t="str">
        <f t="shared" si="218"/>
        <v/>
      </c>
      <c r="W997" s="3" t="s">
        <v>51</v>
      </c>
      <c r="X997" s="32">
        <f t="shared" si="215"/>
        <v>6.7039763191132806E-2</v>
      </c>
      <c r="Z997" s="38">
        <f t="shared" si="219"/>
        <v>0</v>
      </c>
      <c r="AC997" s="36">
        <v>0.125</v>
      </c>
      <c r="AL997" t="str">
        <f t="shared" si="220"/>
        <v>Normal</v>
      </c>
      <c r="AM997" t="str">
        <f t="shared" si="221"/>
        <v>No</v>
      </c>
      <c r="AN997" t="str">
        <f t="shared" si="222"/>
        <v>Elective</v>
      </c>
      <c r="AO997" t="str">
        <f t="shared" si="223"/>
        <v>HDU</v>
      </c>
    </row>
    <row r="998" spans="1:41" x14ac:dyDescent="0.3">
      <c r="A998" s="21" t="str">
        <f t="shared" si="216"/>
        <v>UHID-00997</v>
      </c>
      <c r="B998" s="19">
        <v>47</v>
      </c>
      <c r="C998" s="11" t="s">
        <v>17</v>
      </c>
      <c r="D998" s="13" t="s">
        <v>27</v>
      </c>
      <c r="E998" s="13" t="s">
        <v>9</v>
      </c>
      <c r="F998" s="16">
        <v>46198.896081527797</v>
      </c>
      <c r="G998" s="5">
        <v>46198</v>
      </c>
      <c r="H998" s="2">
        <v>46202.505316180599</v>
      </c>
      <c r="I998" s="23">
        <v>46202</v>
      </c>
      <c r="J998" s="24">
        <f t="shared" si="210"/>
        <v>46202.451443814774</v>
      </c>
      <c r="K998" s="24">
        <f t="shared" si="211"/>
        <v>0.50531618059903849</v>
      </c>
      <c r="L998" s="29">
        <f t="shared" si="217"/>
        <v>46201</v>
      </c>
      <c r="M998" s="27" t="str">
        <f t="shared" si="212"/>
        <v>Normal</v>
      </c>
      <c r="N998" s="31">
        <f t="shared" si="213"/>
        <v>4</v>
      </c>
      <c r="O998" s="27"/>
      <c r="Q998" s="8">
        <v>0.21117707825165077</v>
      </c>
      <c r="R998" s="8" t="str">
        <f t="shared" si="214"/>
        <v>On Time</v>
      </c>
      <c r="S998" s="33">
        <v>1.2929367797675886</v>
      </c>
      <c r="T998" t="s">
        <v>30</v>
      </c>
      <c r="U998" s="3">
        <v>0</v>
      </c>
      <c r="V998" s="3" t="str">
        <f t="shared" si="218"/>
        <v/>
      </c>
      <c r="W998" s="3" t="s">
        <v>51</v>
      </c>
      <c r="X998" s="32">
        <f t="shared" si="215"/>
        <v>5.3872365824645385E-2</v>
      </c>
      <c r="Z998" s="38">
        <f t="shared" si="219"/>
        <v>0</v>
      </c>
      <c r="AC998" s="36">
        <v>0.125</v>
      </c>
      <c r="AL998" t="str">
        <f t="shared" si="220"/>
        <v>Normal</v>
      </c>
      <c r="AM998" t="str">
        <f t="shared" si="221"/>
        <v>No</v>
      </c>
      <c r="AN998" t="str">
        <f t="shared" si="222"/>
        <v>Elective</v>
      </c>
      <c r="AO998" t="str">
        <f t="shared" si="223"/>
        <v>HDU</v>
      </c>
    </row>
    <row r="999" spans="1:41" x14ac:dyDescent="0.3">
      <c r="A999" s="21" t="str">
        <f t="shared" si="216"/>
        <v>UHID-00998</v>
      </c>
      <c r="B999" s="19">
        <v>40</v>
      </c>
      <c r="C999" s="11" t="s">
        <v>17</v>
      </c>
      <c r="D999" s="13" t="s">
        <v>28</v>
      </c>
      <c r="E999" s="13" t="s">
        <v>9</v>
      </c>
      <c r="F999" s="16">
        <v>46198.763873506898</v>
      </c>
      <c r="G999" s="5">
        <v>46198</v>
      </c>
      <c r="H999" s="2">
        <v>46202.738226006899</v>
      </c>
      <c r="I999" s="23">
        <v>46202</v>
      </c>
      <c r="J999" s="24">
        <f t="shared" si="210"/>
        <v>46202.642200914022</v>
      </c>
      <c r="K999" s="24">
        <f t="shared" si="211"/>
        <v>0.7382260068989126</v>
      </c>
      <c r="L999" s="29">
        <f t="shared" si="217"/>
        <v>46201</v>
      </c>
      <c r="M999" s="27" t="str">
        <f t="shared" si="212"/>
        <v>Doctor Round Delay/Report Delay</v>
      </c>
      <c r="N999" s="31">
        <f t="shared" si="213"/>
        <v>4</v>
      </c>
      <c r="O999" s="27"/>
      <c r="Q999" s="8">
        <v>0.8646387000432727</v>
      </c>
      <c r="R999" s="8" t="str">
        <f t="shared" si="214"/>
        <v>Minor Delay</v>
      </c>
      <c r="S999" s="33">
        <v>2.3046022289973802</v>
      </c>
      <c r="T999" t="s">
        <v>31</v>
      </c>
      <c r="U999" s="3">
        <v>0</v>
      </c>
      <c r="V999" s="3" t="str">
        <f t="shared" si="218"/>
        <v>Normal</v>
      </c>
      <c r="W999" s="3" t="s">
        <v>51</v>
      </c>
      <c r="X999" s="32">
        <f t="shared" si="215"/>
        <v>9.6025092876516283E-2</v>
      </c>
      <c r="Z999" s="38">
        <f t="shared" si="219"/>
        <v>0</v>
      </c>
      <c r="AC999" s="36">
        <v>0.125</v>
      </c>
      <c r="AL999" t="str">
        <f t="shared" si="220"/>
        <v>Doctor Round Delay/Report Delay</v>
      </c>
      <c r="AM999" t="str">
        <f t="shared" si="221"/>
        <v>No</v>
      </c>
      <c r="AN999" t="str">
        <f t="shared" si="222"/>
        <v>Elective</v>
      </c>
      <c r="AO999" t="str">
        <f t="shared" si="223"/>
        <v>HDU</v>
      </c>
    </row>
    <row r="1000" spans="1:41" x14ac:dyDescent="0.3">
      <c r="A1000" s="21" t="str">
        <f t="shared" si="216"/>
        <v>UHID-00999</v>
      </c>
      <c r="B1000" s="19">
        <v>56</v>
      </c>
      <c r="C1000" s="11" t="s">
        <v>17</v>
      </c>
      <c r="D1000" s="13" t="s">
        <v>28</v>
      </c>
      <c r="E1000" s="13" t="s">
        <v>9</v>
      </c>
      <c r="F1000" s="16">
        <v>46199.861467326402</v>
      </c>
      <c r="G1000" s="5">
        <v>46199</v>
      </c>
      <c r="H1000" s="2">
        <v>46202.587293101897</v>
      </c>
      <c r="I1000" s="23">
        <v>46202</v>
      </c>
      <c r="J1000" s="24">
        <f t="shared" si="210"/>
        <v>46202.315484724626</v>
      </c>
      <c r="K1000" s="24">
        <f t="shared" si="211"/>
        <v>0.5872931018966483</v>
      </c>
      <c r="L1000" s="29">
        <f t="shared" si="217"/>
        <v>46201</v>
      </c>
      <c r="M1000" s="27" t="str">
        <f t="shared" si="212"/>
        <v>Health Deterioration</v>
      </c>
      <c r="N1000" s="31">
        <f t="shared" si="213"/>
        <v>3</v>
      </c>
      <c r="O1000" s="27"/>
      <c r="Q1000" s="8">
        <v>0.87483704111876948</v>
      </c>
      <c r="R1000" s="8" t="str">
        <f t="shared" si="214"/>
        <v>Critical Delay</v>
      </c>
      <c r="S1000" s="33">
        <v>2.5234010545237173</v>
      </c>
      <c r="T1000" t="s">
        <v>31</v>
      </c>
      <c r="U1000" s="3">
        <v>4</v>
      </c>
      <c r="V1000" s="3" t="str">
        <f t="shared" si="218"/>
        <v>Normal</v>
      </c>
      <c r="W1000" s="3" t="s">
        <v>50</v>
      </c>
      <c r="X1000" s="32">
        <f t="shared" si="215"/>
        <v>0.271808377270645</v>
      </c>
      <c r="Z1000" s="38">
        <f t="shared" si="219"/>
        <v>0.146808377270645</v>
      </c>
      <c r="AC1000" s="36">
        <v>0.125</v>
      </c>
      <c r="AL1000" t="str">
        <f t="shared" si="220"/>
        <v>Health Deterioration</v>
      </c>
      <c r="AM1000" t="str">
        <f t="shared" si="221"/>
        <v>No</v>
      </c>
      <c r="AN1000" t="str">
        <f t="shared" si="222"/>
        <v>Emergency</v>
      </c>
      <c r="AO1000" t="str">
        <f t="shared" si="223"/>
        <v>General Ward</v>
      </c>
    </row>
    <row r="1001" spans="1:41" x14ac:dyDescent="0.3">
      <c r="A1001" s="21" t="str">
        <f t="shared" si="216"/>
        <v>UHID-01000</v>
      </c>
      <c r="B1001" s="19">
        <v>32</v>
      </c>
      <c r="C1001" s="11" t="s">
        <v>17</v>
      </c>
      <c r="D1001" s="13" t="s">
        <v>26</v>
      </c>
      <c r="E1001" s="13" t="s">
        <v>9</v>
      </c>
      <c r="F1001" s="16">
        <v>46199.782933622701</v>
      </c>
      <c r="G1001" s="5">
        <v>46199</v>
      </c>
      <c r="H1001" s="2">
        <v>46202.588542233803</v>
      </c>
      <c r="I1001" s="23">
        <v>46202</v>
      </c>
      <c r="J1001" s="24">
        <f t="shared" si="210"/>
        <v>46202.433360762727</v>
      </c>
      <c r="K1001" s="24">
        <f t="shared" si="211"/>
        <v>0.5885422338033095</v>
      </c>
      <c r="L1001" s="29">
        <f t="shared" si="217"/>
        <v>46201</v>
      </c>
      <c r="M1001" s="27" t="str">
        <f t="shared" si="212"/>
        <v>TPA Approval Delay</v>
      </c>
      <c r="N1001" s="31">
        <f t="shared" si="213"/>
        <v>3</v>
      </c>
      <c r="O1001" s="27"/>
      <c r="Q1001" s="8">
        <v>0.794229715533327</v>
      </c>
      <c r="R1001" s="8" t="str">
        <f t="shared" si="214"/>
        <v>Major Delay</v>
      </c>
      <c r="S1001" s="33">
        <v>3.7243553058232952</v>
      </c>
      <c r="T1001" t="s">
        <v>31</v>
      </c>
      <c r="U1001" s="3">
        <v>0</v>
      </c>
      <c r="V1001" s="3" t="str">
        <f t="shared" si="218"/>
        <v>Normal</v>
      </c>
      <c r="W1001" s="3" t="s">
        <v>51</v>
      </c>
      <c r="X1001" s="32">
        <f t="shared" si="215"/>
        <v>0.15518147107650293</v>
      </c>
      <c r="Z1001" s="38">
        <f t="shared" si="219"/>
        <v>3.018147107650293E-2</v>
      </c>
      <c r="AC1001" s="36">
        <v>0.125</v>
      </c>
      <c r="AL1001" t="str">
        <f t="shared" si="220"/>
        <v>TPA Approval Delay</v>
      </c>
      <c r="AM1001" t="str">
        <f t="shared" si="221"/>
        <v>No</v>
      </c>
      <c r="AN1001" t="str">
        <f t="shared" si="222"/>
        <v>Elective</v>
      </c>
      <c r="AO1001" t="str">
        <f t="shared" si="223"/>
        <v>General Ward</v>
      </c>
    </row>
    <row r="1002" spans="1:41" x14ac:dyDescent="0.3">
      <c r="A1002" s="21" t="str">
        <f t="shared" si="216"/>
        <v>UHID-01001</v>
      </c>
      <c r="B1002" s="19">
        <v>36</v>
      </c>
      <c r="C1002" s="11" t="s">
        <v>17</v>
      </c>
      <c r="D1002" s="13" t="s">
        <v>27</v>
      </c>
      <c r="E1002" s="13" t="s">
        <v>9</v>
      </c>
      <c r="F1002" s="16">
        <v>46196.588802662001</v>
      </c>
      <c r="G1002" s="5">
        <v>46196</v>
      </c>
      <c r="H1002" s="2">
        <v>46202.693122141201</v>
      </c>
      <c r="I1002" s="23">
        <v>46202</v>
      </c>
      <c r="J1002" s="24">
        <f t="shared" si="210"/>
        <v>46202.518386171505</v>
      </c>
      <c r="K1002" s="24">
        <f t="shared" si="211"/>
        <v>0.69312214120145654</v>
      </c>
      <c r="L1002" s="29">
        <f t="shared" si="217"/>
        <v>46201</v>
      </c>
      <c r="M1002" s="27" t="str">
        <f t="shared" si="212"/>
        <v>Medication Change</v>
      </c>
      <c r="N1002" s="31">
        <f t="shared" si="213"/>
        <v>6</v>
      </c>
      <c r="O1002" s="27"/>
      <c r="Q1002" s="8">
        <v>0.37590200124686068</v>
      </c>
      <c r="R1002" s="8" t="str">
        <f t="shared" si="214"/>
        <v>Major Delay</v>
      </c>
      <c r="S1002" s="33">
        <v>1.1936632727355561</v>
      </c>
      <c r="T1002" t="s">
        <v>31</v>
      </c>
      <c r="U1002" s="3">
        <v>3</v>
      </c>
      <c r="V1002" s="3" t="str">
        <f t="shared" si="218"/>
        <v>Normal</v>
      </c>
      <c r="W1002" s="3" t="s">
        <v>50</v>
      </c>
      <c r="X1002" s="32">
        <f t="shared" si="215"/>
        <v>0.17473596969648497</v>
      </c>
      <c r="Z1002" s="38">
        <f t="shared" si="219"/>
        <v>4.9735969696484972E-2</v>
      </c>
      <c r="AC1002" s="36">
        <v>0.125</v>
      </c>
      <c r="AL1002" t="str">
        <f t="shared" si="220"/>
        <v>Medication Change</v>
      </c>
      <c r="AM1002" t="str">
        <f t="shared" si="221"/>
        <v>No</v>
      </c>
      <c r="AN1002" t="str">
        <f t="shared" si="222"/>
        <v>Elective</v>
      </c>
      <c r="AO1002" t="str">
        <f t="shared" si="223"/>
        <v>HDU</v>
      </c>
    </row>
    <row r="1003" spans="1:41" x14ac:dyDescent="0.3">
      <c r="A1003" s="21" t="str">
        <f t="shared" si="216"/>
        <v>UHID-01002</v>
      </c>
      <c r="B1003" s="19">
        <v>50</v>
      </c>
      <c r="C1003" s="11" t="s">
        <v>17</v>
      </c>
      <c r="D1003" s="13" t="s">
        <v>28</v>
      </c>
      <c r="E1003" s="13" t="s">
        <v>9</v>
      </c>
      <c r="F1003" s="16">
        <v>46198.807717986099</v>
      </c>
      <c r="G1003" s="5">
        <v>46198</v>
      </c>
      <c r="H1003" s="2">
        <v>46203.523702233797</v>
      </c>
      <c r="I1003" s="23">
        <v>46203</v>
      </c>
      <c r="J1003" s="24">
        <f t="shared" si="210"/>
        <v>46203.352884980239</v>
      </c>
      <c r="K1003" s="24">
        <f t="shared" si="211"/>
        <v>0.52370223379693925</v>
      </c>
      <c r="L1003" s="29">
        <f t="shared" si="217"/>
        <v>46202</v>
      </c>
      <c r="M1003" s="27" t="str">
        <f t="shared" si="212"/>
        <v>Medication Change</v>
      </c>
      <c r="N1003" s="31">
        <f t="shared" si="213"/>
        <v>5</v>
      </c>
      <c r="O1003" s="27"/>
      <c r="Q1003" s="8">
        <v>0.99321366893799701</v>
      </c>
      <c r="R1003" s="8" t="str">
        <f t="shared" si="214"/>
        <v>Major Delay</v>
      </c>
      <c r="S1003" s="33">
        <v>2.099614085375241</v>
      </c>
      <c r="T1003" t="s">
        <v>31</v>
      </c>
      <c r="U1003" s="3">
        <v>2</v>
      </c>
      <c r="V1003" s="3" t="str">
        <f t="shared" si="218"/>
        <v>Normal</v>
      </c>
      <c r="W1003" s="3" t="s">
        <v>50</v>
      </c>
      <c r="X1003" s="32">
        <f t="shared" si="215"/>
        <v>0.17081725355819799</v>
      </c>
      <c r="Z1003" s="38">
        <f t="shared" si="219"/>
        <v>4.581725355819799E-2</v>
      </c>
      <c r="AC1003" s="36">
        <v>0.125</v>
      </c>
      <c r="AL1003" t="str">
        <f t="shared" si="220"/>
        <v>Medication Change</v>
      </c>
      <c r="AM1003" t="str">
        <f t="shared" si="221"/>
        <v>No</v>
      </c>
      <c r="AN1003" t="str">
        <f t="shared" si="222"/>
        <v>Emergency</v>
      </c>
      <c r="AO1003" t="str">
        <f t="shared" si="223"/>
        <v>HDU</v>
      </c>
    </row>
    <row r="1004" spans="1:41" x14ac:dyDescent="0.3">
      <c r="A1004" s="21" t="str">
        <f t="shared" si="216"/>
        <v>UHID-01003</v>
      </c>
      <c r="B1004" s="18">
        <v>61</v>
      </c>
      <c r="C1004" s="10" t="s">
        <v>18</v>
      </c>
      <c r="D1004" s="13" t="s">
        <v>26</v>
      </c>
      <c r="E1004" s="13" t="s">
        <v>8</v>
      </c>
      <c r="F1004" s="15">
        <v>46161.471300532401</v>
      </c>
      <c r="G1004" s="4">
        <v>46161</v>
      </c>
      <c r="H1004" s="1">
        <v>46174.125</v>
      </c>
      <c r="I1004" s="22">
        <v>46174</v>
      </c>
      <c r="J1004" s="24">
        <f t="shared" si="210"/>
        <v>46173.974873803556</v>
      </c>
      <c r="K1004" s="24">
        <f t="shared" si="211"/>
        <v>0.125</v>
      </c>
      <c r="L1004" s="29">
        <f t="shared" si="217"/>
        <v>46173</v>
      </c>
      <c r="M1004" s="27" t="str">
        <f t="shared" si="212"/>
        <v>TPA Approval Delay</v>
      </c>
      <c r="N1004" s="31">
        <f t="shared" si="213"/>
        <v>13</v>
      </c>
      <c r="O1004" s="27"/>
      <c r="Q1004" s="8">
        <v>0.61553992400159685</v>
      </c>
      <c r="R1004" s="8" t="str">
        <f t="shared" si="214"/>
        <v>Major Delay</v>
      </c>
      <c r="S1004" s="33">
        <v>3.60302871457748</v>
      </c>
      <c r="T1004" t="s">
        <v>31</v>
      </c>
      <c r="U1004" s="3">
        <v>0</v>
      </c>
      <c r="V1004" s="3" t="str">
        <f t="shared" si="218"/>
        <v>Normal</v>
      </c>
      <c r="W1004" s="3" t="s">
        <v>51</v>
      </c>
      <c r="X1004" s="32">
        <f t="shared" si="215"/>
        <v>0.15012619644403458</v>
      </c>
      <c r="Z1004" s="38">
        <f t="shared" si="219"/>
        <v>2.5126196444034576E-2</v>
      </c>
      <c r="AC1004" s="36">
        <v>0.125</v>
      </c>
      <c r="AL1004" t="str">
        <f t="shared" si="220"/>
        <v>TPA Approval Delay</v>
      </c>
      <c r="AM1004" t="str">
        <f t="shared" si="221"/>
        <v>Yes</v>
      </c>
      <c r="AN1004" t="str">
        <f t="shared" si="222"/>
        <v>Emergency</v>
      </c>
      <c r="AO1004" t="str">
        <f t="shared" si="223"/>
        <v>ICU</v>
      </c>
    </row>
    <row r="1005" spans="1:41" x14ac:dyDescent="0.3">
      <c r="A1005" s="21" t="str">
        <f t="shared" si="216"/>
        <v>UHID-01004</v>
      </c>
      <c r="B1005" s="18">
        <v>62</v>
      </c>
      <c r="C1005" s="10" t="s">
        <v>18</v>
      </c>
      <c r="D1005" s="13" t="s">
        <v>27</v>
      </c>
      <c r="E1005" s="13" t="s">
        <v>8</v>
      </c>
      <c r="F1005" s="15">
        <v>46175.653518194398</v>
      </c>
      <c r="G1005" s="4">
        <v>46175</v>
      </c>
      <c r="H1005" s="1">
        <v>46176.709065381903</v>
      </c>
      <c r="I1005" s="22">
        <v>46176</v>
      </c>
      <c r="J1005" s="24">
        <f t="shared" si="210"/>
        <v>46176.629834940097</v>
      </c>
      <c r="K1005" s="24">
        <f t="shared" si="211"/>
        <v>0.70906538190320134</v>
      </c>
      <c r="L1005" s="29">
        <f t="shared" si="217"/>
        <v>46175</v>
      </c>
      <c r="M1005" s="27" t="str">
        <f t="shared" si="212"/>
        <v>Normal</v>
      </c>
      <c r="N1005" s="31">
        <f t="shared" si="213"/>
        <v>1</v>
      </c>
      <c r="O1005" s="27"/>
      <c r="Q1005" s="8">
        <v>3.472243505284256E-2</v>
      </c>
      <c r="R1005" s="8" t="str">
        <f t="shared" si="214"/>
        <v>On Time</v>
      </c>
      <c r="S1005" s="33">
        <v>1.9015306033899857</v>
      </c>
      <c r="T1005" t="s">
        <v>30</v>
      </c>
      <c r="U1005" s="3">
        <v>0</v>
      </c>
      <c r="V1005" s="3" t="str">
        <f t="shared" si="218"/>
        <v/>
      </c>
      <c r="W1005" s="3" t="s">
        <v>51</v>
      </c>
      <c r="X1005" s="32">
        <f t="shared" si="215"/>
        <v>7.9230441806430463E-2</v>
      </c>
      <c r="Z1005" s="38">
        <f t="shared" si="219"/>
        <v>0</v>
      </c>
      <c r="AC1005" s="36">
        <v>0.125</v>
      </c>
      <c r="AL1005" t="str">
        <f t="shared" si="220"/>
        <v>Normal</v>
      </c>
      <c r="AM1005" t="str">
        <f t="shared" si="221"/>
        <v>No</v>
      </c>
      <c r="AN1005" t="str">
        <f t="shared" si="222"/>
        <v>Elective</v>
      </c>
      <c r="AO1005" t="str">
        <f t="shared" si="223"/>
        <v>General Ward</v>
      </c>
    </row>
    <row r="1006" spans="1:41" x14ac:dyDescent="0.3">
      <c r="A1006" s="21" t="str">
        <f t="shared" si="216"/>
        <v>UHID-01005</v>
      </c>
      <c r="B1006" s="18">
        <v>58</v>
      </c>
      <c r="C1006" s="10" t="s">
        <v>18</v>
      </c>
      <c r="D1006" s="13" t="s">
        <v>26</v>
      </c>
      <c r="E1006" s="13" t="s">
        <v>8</v>
      </c>
      <c r="F1006" s="15">
        <v>46175.677031655097</v>
      </c>
      <c r="G1006" s="4">
        <v>46175</v>
      </c>
      <c r="H1006" s="1">
        <v>46178.688397175902</v>
      </c>
      <c r="I1006" s="22">
        <v>46178</v>
      </c>
      <c r="J1006" s="24">
        <f t="shared" si="210"/>
        <v>46178.543731184931</v>
      </c>
      <c r="K1006" s="24">
        <f t="shared" si="211"/>
        <v>0.68839717590162763</v>
      </c>
      <c r="L1006" s="29">
        <f t="shared" si="217"/>
        <v>46177</v>
      </c>
      <c r="M1006" s="27" t="str">
        <f t="shared" si="212"/>
        <v>TPA Approval Delay</v>
      </c>
      <c r="N1006" s="31">
        <f t="shared" si="213"/>
        <v>3</v>
      </c>
      <c r="O1006" s="27"/>
      <c r="Q1006" s="8">
        <v>0.63938939875330536</v>
      </c>
      <c r="R1006" s="8" t="str">
        <f t="shared" si="214"/>
        <v>Major Delay</v>
      </c>
      <c r="S1006" s="33">
        <v>3.471983783222965</v>
      </c>
      <c r="T1006" t="s">
        <v>31</v>
      </c>
      <c r="U1006" s="3">
        <v>0</v>
      </c>
      <c r="V1006" s="3" t="str">
        <f t="shared" si="218"/>
        <v>Normal</v>
      </c>
      <c r="W1006" s="3" t="s">
        <v>51</v>
      </c>
      <c r="X1006" s="32">
        <f t="shared" si="215"/>
        <v>0.14466599097067956</v>
      </c>
      <c r="Z1006" s="38">
        <f t="shared" si="219"/>
        <v>1.9665990970679559E-2</v>
      </c>
      <c r="AC1006" s="36">
        <v>0.125</v>
      </c>
      <c r="AL1006" t="str">
        <f t="shared" si="220"/>
        <v>TPA Approval Delay</v>
      </c>
      <c r="AM1006" t="str">
        <f t="shared" si="221"/>
        <v>No</v>
      </c>
      <c r="AN1006" t="str">
        <f t="shared" si="222"/>
        <v>Elective</v>
      </c>
      <c r="AO1006" t="str">
        <f t="shared" si="223"/>
        <v>General Ward</v>
      </c>
    </row>
    <row r="1007" spans="1:41" x14ac:dyDescent="0.3">
      <c r="A1007" s="21" t="str">
        <f t="shared" si="216"/>
        <v>UHID-01006</v>
      </c>
      <c r="B1007" s="18">
        <v>71</v>
      </c>
      <c r="C1007" s="10" t="s">
        <v>18</v>
      </c>
      <c r="D1007" s="13" t="s">
        <v>27</v>
      </c>
      <c r="E1007" s="13" t="s">
        <v>8</v>
      </c>
      <c r="F1007" s="15">
        <v>46175.538502534699</v>
      </c>
      <c r="G1007" s="4">
        <v>46175</v>
      </c>
      <c r="H1007" s="1">
        <v>46180.4628031713</v>
      </c>
      <c r="I1007" s="22">
        <v>46180</v>
      </c>
      <c r="J1007" s="24">
        <f t="shared" si="210"/>
        <v>46180.383050959455</v>
      </c>
      <c r="K1007" s="24">
        <f t="shared" si="211"/>
        <v>0.46280317130003823</v>
      </c>
      <c r="L1007" s="29">
        <f t="shared" si="217"/>
        <v>46179</v>
      </c>
      <c r="M1007" s="27" t="str">
        <f t="shared" si="212"/>
        <v>Normal</v>
      </c>
      <c r="N1007" s="31">
        <f t="shared" si="213"/>
        <v>5</v>
      </c>
      <c r="O1007" s="27"/>
      <c r="Q1007" s="8">
        <v>0.4368954559848891</v>
      </c>
      <c r="R1007" s="8" t="str">
        <f t="shared" si="214"/>
        <v>On Time</v>
      </c>
      <c r="S1007" s="33">
        <v>1.9140530843301793</v>
      </c>
      <c r="T1007" t="s">
        <v>31</v>
      </c>
      <c r="U1007" s="3">
        <v>0</v>
      </c>
      <c r="V1007" s="3" t="str">
        <f t="shared" si="218"/>
        <v>Normal</v>
      </c>
      <c r="W1007" s="3" t="s">
        <v>51</v>
      </c>
      <c r="X1007" s="32">
        <f t="shared" si="215"/>
        <v>7.9752211844606791E-2</v>
      </c>
      <c r="Z1007" s="38">
        <f t="shared" si="219"/>
        <v>0</v>
      </c>
      <c r="AC1007" s="36">
        <v>0.125</v>
      </c>
      <c r="AL1007" t="str">
        <f t="shared" si="220"/>
        <v>Normal</v>
      </c>
      <c r="AM1007" t="str">
        <f t="shared" si="221"/>
        <v>No</v>
      </c>
      <c r="AN1007" t="str">
        <f t="shared" si="222"/>
        <v>Elective</v>
      </c>
      <c r="AO1007" t="str">
        <f t="shared" si="223"/>
        <v>HDU</v>
      </c>
    </row>
    <row r="1008" spans="1:41" x14ac:dyDescent="0.3">
      <c r="A1008" s="21" t="str">
        <f t="shared" si="216"/>
        <v>UHID-01007</v>
      </c>
      <c r="B1008" s="18">
        <v>46</v>
      </c>
      <c r="C1008" s="10" t="s">
        <v>17</v>
      </c>
      <c r="D1008" s="13" t="s">
        <v>27</v>
      </c>
      <c r="E1008" s="13" t="s">
        <v>8</v>
      </c>
      <c r="F1008" s="15">
        <v>46179.633953402801</v>
      </c>
      <c r="G1008" s="4">
        <v>46179</v>
      </c>
      <c r="H1008" s="1">
        <v>46183.486225694403</v>
      </c>
      <c r="I1008" s="22">
        <v>46183</v>
      </c>
      <c r="J1008" s="24">
        <f t="shared" si="210"/>
        <v>46183.438590895537</v>
      </c>
      <c r="K1008" s="24">
        <f t="shared" si="211"/>
        <v>0.48622569440340158</v>
      </c>
      <c r="L1008" s="29">
        <f t="shared" si="217"/>
        <v>46182</v>
      </c>
      <c r="M1008" s="27" t="str">
        <f t="shared" si="212"/>
        <v>Normal</v>
      </c>
      <c r="N1008" s="31">
        <f t="shared" si="213"/>
        <v>4</v>
      </c>
      <c r="O1008" s="27"/>
      <c r="Q1008" s="8">
        <v>1.4941844967331863E-2</v>
      </c>
      <c r="R1008" s="8" t="str">
        <f t="shared" si="214"/>
        <v>On Time</v>
      </c>
      <c r="S1008" s="33">
        <v>1.1432351727750316</v>
      </c>
      <c r="T1008" t="s">
        <v>30</v>
      </c>
      <c r="U1008" s="3">
        <v>0</v>
      </c>
      <c r="V1008" s="3" t="str">
        <f t="shared" si="218"/>
        <v/>
      </c>
      <c r="W1008" s="3" t="s">
        <v>51</v>
      </c>
      <c r="X1008" s="32">
        <f t="shared" si="215"/>
        <v>4.7634798866056371E-2</v>
      </c>
      <c r="Z1008" s="38">
        <f t="shared" si="219"/>
        <v>0</v>
      </c>
      <c r="AC1008" s="36">
        <v>0.125</v>
      </c>
      <c r="AL1008" t="str">
        <f t="shared" si="220"/>
        <v>Normal</v>
      </c>
      <c r="AM1008" t="str">
        <f t="shared" si="221"/>
        <v>No</v>
      </c>
      <c r="AN1008" t="str">
        <f t="shared" si="222"/>
        <v>Elective</v>
      </c>
      <c r="AO1008" t="str">
        <f t="shared" si="223"/>
        <v>HDU</v>
      </c>
    </row>
    <row r="1009" spans="1:41" x14ac:dyDescent="0.3">
      <c r="A1009" s="21" t="str">
        <f t="shared" si="216"/>
        <v>UHID-01008</v>
      </c>
      <c r="B1009" s="18">
        <v>47</v>
      </c>
      <c r="C1009" s="10" t="s">
        <v>17</v>
      </c>
      <c r="D1009" s="13" t="s">
        <v>27</v>
      </c>
      <c r="E1009" s="13" t="s">
        <v>8</v>
      </c>
      <c r="F1009" s="15">
        <v>46179.647126759301</v>
      </c>
      <c r="G1009" s="4">
        <v>46179</v>
      </c>
      <c r="H1009" s="1">
        <v>46183.5726168287</v>
      </c>
      <c r="I1009" s="22">
        <v>46183</v>
      </c>
      <c r="J1009" s="24">
        <f t="shared" si="210"/>
        <v>46183.356019442384</v>
      </c>
      <c r="K1009" s="24">
        <f t="shared" si="211"/>
        <v>0.5726168287001201</v>
      </c>
      <c r="L1009" s="29">
        <f t="shared" si="217"/>
        <v>46182</v>
      </c>
      <c r="M1009" s="27" t="str">
        <f t="shared" si="212"/>
        <v>Health Deterioration</v>
      </c>
      <c r="N1009" s="31">
        <f t="shared" si="213"/>
        <v>4</v>
      </c>
      <c r="O1009" s="27"/>
      <c r="Q1009" s="8">
        <v>0.13967107136761459</v>
      </c>
      <c r="R1009" s="8" t="str">
        <f t="shared" si="214"/>
        <v>Critical Delay</v>
      </c>
      <c r="S1009" s="33">
        <v>1.1983372715633687</v>
      </c>
      <c r="T1009" t="s">
        <v>30</v>
      </c>
      <c r="U1009" s="3">
        <v>4</v>
      </c>
      <c r="V1009" s="3" t="str">
        <f t="shared" si="218"/>
        <v/>
      </c>
      <c r="W1009" s="3" t="s">
        <v>50</v>
      </c>
      <c r="X1009" s="32">
        <f t="shared" si="215"/>
        <v>0.2165973863156978</v>
      </c>
      <c r="Z1009" s="38">
        <f t="shared" si="219"/>
        <v>9.1597386315697804E-2</v>
      </c>
      <c r="AC1009" s="36">
        <v>0.125</v>
      </c>
      <c r="AL1009" t="str">
        <f t="shared" si="220"/>
        <v>Health Deterioration</v>
      </c>
      <c r="AM1009" t="str">
        <f t="shared" si="221"/>
        <v>No</v>
      </c>
      <c r="AN1009" t="str">
        <f t="shared" si="222"/>
        <v>Emergency</v>
      </c>
      <c r="AO1009" t="str">
        <f t="shared" si="223"/>
        <v>HDU</v>
      </c>
    </row>
    <row r="1010" spans="1:41" x14ac:dyDescent="0.3">
      <c r="A1010" s="21" t="str">
        <f t="shared" si="216"/>
        <v>UHID-01009</v>
      </c>
      <c r="B1010" s="18">
        <v>59</v>
      </c>
      <c r="C1010" s="10" t="s">
        <v>18</v>
      </c>
      <c r="D1010" s="13" t="s">
        <v>27</v>
      </c>
      <c r="E1010" s="13" t="s">
        <v>8</v>
      </c>
      <c r="F1010" s="15">
        <v>46182.725081122699</v>
      </c>
      <c r="G1010" s="4">
        <v>46182</v>
      </c>
      <c r="H1010" s="1">
        <v>46185.568829849501</v>
      </c>
      <c r="I1010" s="22">
        <v>46185</v>
      </c>
      <c r="J1010" s="24">
        <f t="shared" si="210"/>
        <v>46185.363442640926</v>
      </c>
      <c r="K1010" s="24">
        <f t="shared" si="211"/>
        <v>0.56882984950061655</v>
      </c>
      <c r="L1010" s="29">
        <f t="shared" si="217"/>
        <v>46184</v>
      </c>
      <c r="M1010" s="27" t="str">
        <f t="shared" si="212"/>
        <v>Medication Change</v>
      </c>
      <c r="N1010" s="31">
        <f t="shared" si="213"/>
        <v>3</v>
      </c>
      <c r="O1010" s="27"/>
      <c r="Q1010" s="8">
        <v>0.4015441108925405</v>
      </c>
      <c r="R1010" s="8" t="str">
        <f t="shared" si="214"/>
        <v>Major Delay</v>
      </c>
      <c r="S1010" s="33">
        <v>1.9292930058431197</v>
      </c>
      <c r="T1010" t="s">
        <v>31</v>
      </c>
      <c r="U1010" s="3">
        <v>3</v>
      </c>
      <c r="V1010" s="3" t="str">
        <f t="shared" si="218"/>
        <v>Normal</v>
      </c>
      <c r="W1010" s="3" t="s">
        <v>50</v>
      </c>
      <c r="X1010" s="32">
        <f t="shared" si="215"/>
        <v>0.2053872085743933</v>
      </c>
      <c r="Z1010" s="38">
        <f t="shared" si="219"/>
        <v>8.0387208574393298E-2</v>
      </c>
      <c r="AC1010" s="36">
        <v>0.125</v>
      </c>
      <c r="AL1010" t="str">
        <f t="shared" si="220"/>
        <v>Medication Change</v>
      </c>
      <c r="AM1010" t="str">
        <f t="shared" si="221"/>
        <v>No</v>
      </c>
      <c r="AN1010" t="str">
        <f t="shared" si="222"/>
        <v>Elective</v>
      </c>
      <c r="AO1010" t="str">
        <f t="shared" si="223"/>
        <v>General Ward</v>
      </c>
    </row>
    <row r="1011" spans="1:41" x14ac:dyDescent="0.3">
      <c r="A1011" s="21" t="str">
        <f t="shared" si="216"/>
        <v>UHID-01010</v>
      </c>
      <c r="B1011" s="18">
        <v>52</v>
      </c>
      <c r="C1011" s="10" t="s">
        <v>17</v>
      </c>
      <c r="D1011" s="13" t="s">
        <v>27</v>
      </c>
      <c r="E1011" s="13" t="s">
        <v>8</v>
      </c>
      <c r="F1011" s="15">
        <v>46183.446274282403</v>
      </c>
      <c r="G1011" s="4">
        <v>46183</v>
      </c>
      <c r="H1011" s="1">
        <v>46187.472628518502</v>
      </c>
      <c r="I1011" s="22">
        <v>46187</v>
      </c>
      <c r="J1011" s="24">
        <f t="shared" si="210"/>
        <v>46187.408727446047</v>
      </c>
      <c r="K1011" s="24">
        <f t="shared" si="211"/>
        <v>0.47262851850246079</v>
      </c>
      <c r="L1011" s="29">
        <f t="shared" si="217"/>
        <v>46186</v>
      </c>
      <c r="M1011" s="27" t="str">
        <f t="shared" si="212"/>
        <v>Normal</v>
      </c>
      <c r="N1011" s="31">
        <f t="shared" si="213"/>
        <v>4</v>
      </c>
      <c r="O1011" s="27"/>
      <c r="Q1011" s="8">
        <v>0.4508146586754449</v>
      </c>
      <c r="R1011" s="8" t="str">
        <f t="shared" si="214"/>
        <v>On Time</v>
      </c>
      <c r="S1011" s="33">
        <v>1.5336257389446071</v>
      </c>
      <c r="T1011" t="s">
        <v>31</v>
      </c>
      <c r="U1011" s="3">
        <v>0</v>
      </c>
      <c r="V1011" s="3" t="str">
        <f t="shared" si="218"/>
        <v>Normal</v>
      </c>
      <c r="W1011" s="3" t="s">
        <v>51</v>
      </c>
      <c r="X1011" s="32">
        <f t="shared" si="215"/>
        <v>6.3901072455337271E-2</v>
      </c>
      <c r="Z1011" s="38">
        <f t="shared" si="219"/>
        <v>0</v>
      </c>
      <c r="AC1011" s="36">
        <v>0.125</v>
      </c>
      <c r="AL1011" t="str">
        <f t="shared" si="220"/>
        <v>Normal</v>
      </c>
      <c r="AM1011" t="str">
        <f t="shared" si="221"/>
        <v>No</v>
      </c>
      <c r="AN1011" t="str">
        <f t="shared" si="222"/>
        <v>Elective</v>
      </c>
      <c r="AO1011" t="str">
        <f t="shared" si="223"/>
        <v>HDU</v>
      </c>
    </row>
    <row r="1012" spans="1:41" x14ac:dyDescent="0.3">
      <c r="A1012" s="21" t="str">
        <f t="shared" si="216"/>
        <v>UHID-01011</v>
      </c>
      <c r="B1012" s="18">
        <v>74</v>
      </c>
      <c r="C1012" s="10" t="s">
        <v>18</v>
      </c>
      <c r="D1012" s="13" t="s">
        <v>28</v>
      </c>
      <c r="E1012" s="13" t="s">
        <v>8</v>
      </c>
      <c r="F1012" s="15">
        <v>46183.9074046065</v>
      </c>
      <c r="G1012" s="4">
        <v>46183</v>
      </c>
      <c r="H1012" s="1">
        <v>46189.512601724498</v>
      </c>
      <c r="I1012" s="22">
        <v>46189</v>
      </c>
      <c r="J1012" s="24">
        <f t="shared" si="210"/>
        <v>46189.401328662738</v>
      </c>
      <c r="K1012" s="24">
        <f t="shared" si="211"/>
        <v>0.51260172449838137</v>
      </c>
      <c r="L1012" s="29">
        <f t="shared" si="217"/>
        <v>46188</v>
      </c>
      <c r="M1012" s="27" t="str">
        <f t="shared" si="212"/>
        <v>Doctor Round Delay/Report Delay</v>
      </c>
      <c r="N1012" s="31">
        <f t="shared" si="213"/>
        <v>6</v>
      </c>
      <c r="O1012" s="27"/>
      <c r="Q1012" s="8">
        <v>0.93024708666877065</v>
      </c>
      <c r="R1012" s="8" t="str">
        <f t="shared" si="214"/>
        <v>Minor Delay</v>
      </c>
      <c r="S1012" s="33">
        <v>2.6705534823325578</v>
      </c>
      <c r="T1012" t="s">
        <v>31</v>
      </c>
      <c r="U1012" s="3">
        <v>0</v>
      </c>
      <c r="V1012" s="3" t="str">
        <f t="shared" si="218"/>
        <v>Normal</v>
      </c>
      <c r="W1012" s="3" t="s">
        <v>51</v>
      </c>
      <c r="X1012" s="32">
        <f t="shared" si="215"/>
        <v>0.11127306176058482</v>
      </c>
      <c r="Z1012" s="38">
        <f t="shared" si="219"/>
        <v>0</v>
      </c>
      <c r="AC1012" s="36">
        <v>0.125</v>
      </c>
      <c r="AL1012" t="str">
        <f t="shared" si="220"/>
        <v>Doctor Round Delay/Report Delay</v>
      </c>
      <c r="AM1012" t="str">
        <f t="shared" si="221"/>
        <v>No</v>
      </c>
      <c r="AN1012" t="str">
        <f t="shared" si="222"/>
        <v>Elective</v>
      </c>
      <c r="AO1012" t="str">
        <f t="shared" si="223"/>
        <v>HDU</v>
      </c>
    </row>
    <row r="1013" spans="1:41" x14ac:dyDescent="0.3">
      <c r="A1013" s="21" t="str">
        <f t="shared" si="216"/>
        <v>UHID-01012</v>
      </c>
      <c r="B1013" s="18">
        <v>69</v>
      </c>
      <c r="C1013" s="10" t="s">
        <v>18</v>
      </c>
      <c r="D1013" s="13" t="s">
        <v>27</v>
      </c>
      <c r="E1013" s="13" t="s">
        <v>8</v>
      </c>
      <c r="F1013" s="15">
        <v>46192.849939930602</v>
      </c>
      <c r="G1013" s="4">
        <v>46192</v>
      </c>
      <c r="H1013" s="1">
        <v>46194.670934479203</v>
      </c>
      <c r="I1013" s="22">
        <v>46194</v>
      </c>
      <c r="J1013" s="24">
        <f t="shared" si="210"/>
        <v>46194.472775262315</v>
      </c>
      <c r="K1013" s="24">
        <f t="shared" si="211"/>
        <v>0.67093447920342442</v>
      </c>
      <c r="L1013" s="29">
        <f t="shared" si="217"/>
        <v>46193</v>
      </c>
      <c r="M1013" s="27" t="str">
        <f t="shared" si="212"/>
        <v>Medication Change</v>
      </c>
      <c r="N1013" s="31">
        <f t="shared" si="213"/>
        <v>2</v>
      </c>
      <c r="O1013" s="27"/>
      <c r="Q1013" s="8">
        <v>9.7495378958527001E-2</v>
      </c>
      <c r="R1013" s="8" t="str">
        <f t="shared" si="214"/>
        <v>Major Delay</v>
      </c>
      <c r="S1013" s="33">
        <v>1.755821205360157</v>
      </c>
      <c r="T1013" t="s">
        <v>30</v>
      </c>
      <c r="U1013" s="3">
        <v>3</v>
      </c>
      <c r="V1013" s="3" t="str">
        <f t="shared" si="218"/>
        <v/>
      </c>
      <c r="W1013" s="3" t="s">
        <v>50</v>
      </c>
      <c r="X1013" s="32">
        <f t="shared" si="215"/>
        <v>0.19815921688859817</v>
      </c>
      <c r="Z1013" s="38">
        <f t="shared" si="219"/>
        <v>7.3159216888598166E-2</v>
      </c>
      <c r="AC1013" s="36">
        <v>0.125</v>
      </c>
      <c r="AL1013" t="str">
        <f t="shared" si="220"/>
        <v>Medication Change</v>
      </c>
      <c r="AM1013" t="str">
        <f t="shared" si="221"/>
        <v>No</v>
      </c>
      <c r="AN1013" t="str">
        <f t="shared" si="222"/>
        <v>Elective</v>
      </c>
      <c r="AO1013" t="str">
        <f t="shared" si="223"/>
        <v>General Ward</v>
      </c>
    </row>
    <row r="1014" spans="1:41" x14ac:dyDescent="0.3">
      <c r="A1014" s="21" t="str">
        <f t="shared" si="216"/>
        <v>UHID-01013</v>
      </c>
      <c r="B1014" s="18">
        <v>62</v>
      </c>
      <c r="C1014" s="10" t="s">
        <v>18</v>
      </c>
      <c r="D1014" s="13" t="s">
        <v>28</v>
      </c>
      <c r="E1014" s="13" t="s">
        <v>8</v>
      </c>
      <c r="F1014" s="15">
        <v>46196.520567847198</v>
      </c>
      <c r="G1014" s="4">
        <v>46196</v>
      </c>
      <c r="H1014" s="1">
        <v>46197.725024687497</v>
      </c>
      <c r="I1014" s="22">
        <v>46197</v>
      </c>
      <c r="J1014" s="24">
        <f t="shared" si="210"/>
        <v>46197.542863230221</v>
      </c>
      <c r="K1014" s="24">
        <f t="shared" si="211"/>
        <v>0.72502468749735272</v>
      </c>
      <c r="L1014" s="29">
        <f t="shared" si="217"/>
        <v>46196</v>
      </c>
      <c r="M1014" s="27" t="str">
        <f t="shared" si="212"/>
        <v>Medication Change</v>
      </c>
      <c r="N1014" s="31">
        <f t="shared" si="213"/>
        <v>1</v>
      </c>
      <c r="O1014" s="27"/>
      <c r="Q1014" s="8">
        <v>0.85517915394434874</v>
      </c>
      <c r="R1014" s="8" t="str">
        <f t="shared" si="214"/>
        <v>Major Delay</v>
      </c>
      <c r="S1014" s="33">
        <v>2.3718749746892072</v>
      </c>
      <c r="T1014" t="s">
        <v>31</v>
      </c>
      <c r="U1014" s="3">
        <v>2</v>
      </c>
      <c r="V1014" s="3" t="str">
        <f t="shared" si="218"/>
        <v>Normal</v>
      </c>
      <c r="W1014" s="3" t="s">
        <v>50</v>
      </c>
      <c r="X1014" s="32">
        <f t="shared" si="215"/>
        <v>0.18216145727637922</v>
      </c>
      <c r="Z1014" s="38">
        <f t="shared" si="219"/>
        <v>5.7161457276379224E-2</v>
      </c>
      <c r="AC1014" s="36">
        <v>0.125</v>
      </c>
      <c r="AL1014" t="str">
        <f t="shared" si="220"/>
        <v>Medication Change</v>
      </c>
      <c r="AM1014" t="str">
        <f t="shared" si="221"/>
        <v>No</v>
      </c>
      <c r="AN1014" t="str">
        <f t="shared" si="222"/>
        <v>Elective</v>
      </c>
      <c r="AO1014" t="str">
        <f t="shared" si="223"/>
        <v>General Ward</v>
      </c>
    </row>
    <row r="1015" spans="1:41" x14ac:dyDescent="0.3">
      <c r="A1015" s="21" t="str">
        <f t="shared" si="216"/>
        <v>UHID-01014</v>
      </c>
      <c r="B1015" s="18">
        <v>44</v>
      </c>
      <c r="C1015" s="10" t="s">
        <v>17</v>
      </c>
      <c r="D1015" s="13" t="s">
        <v>26</v>
      </c>
      <c r="E1015" s="13" t="s">
        <v>8</v>
      </c>
      <c r="F1015" s="15">
        <v>46195.487003125003</v>
      </c>
      <c r="G1015" s="4">
        <v>46195</v>
      </c>
      <c r="H1015" s="1">
        <v>46198.550751354203</v>
      </c>
      <c r="I1015" s="22">
        <v>46198</v>
      </c>
      <c r="J1015" s="24">
        <f t="shared" si="210"/>
        <v>46198.254488975261</v>
      </c>
      <c r="K1015" s="24">
        <f t="shared" si="211"/>
        <v>0.55075135420338484</v>
      </c>
      <c r="L1015" s="29">
        <f t="shared" si="217"/>
        <v>46197</v>
      </c>
      <c r="M1015" s="27" t="str">
        <f t="shared" si="212"/>
        <v>Health Deterioration/TPA Approval Delay</v>
      </c>
      <c r="N1015" s="31">
        <f t="shared" si="213"/>
        <v>3</v>
      </c>
      <c r="O1015" s="27"/>
      <c r="Q1015" s="8">
        <v>0.63031221724569542</v>
      </c>
      <c r="R1015" s="8" t="str">
        <f t="shared" si="214"/>
        <v>Critical Delay</v>
      </c>
      <c r="S1015" s="33">
        <v>3.1102970946600075</v>
      </c>
      <c r="T1015" t="s">
        <v>31</v>
      </c>
      <c r="U1015" s="3">
        <v>4</v>
      </c>
      <c r="V1015" s="3" t="str">
        <f t="shared" si="218"/>
        <v>Normal</v>
      </c>
      <c r="W1015" s="3" t="s">
        <v>50</v>
      </c>
      <c r="X1015" s="32">
        <f t="shared" si="215"/>
        <v>0.29626237894262886</v>
      </c>
      <c r="Z1015" s="38">
        <f t="shared" si="219"/>
        <v>0.17126237894262886</v>
      </c>
      <c r="AC1015" s="36">
        <v>0.125</v>
      </c>
      <c r="AL1015" t="str">
        <f t="shared" si="220"/>
        <v>Health Deterioration/TPA Approval Delay</v>
      </c>
      <c r="AM1015" t="str">
        <f t="shared" si="221"/>
        <v>No</v>
      </c>
      <c r="AN1015" t="str">
        <f t="shared" si="222"/>
        <v>Emergency</v>
      </c>
      <c r="AO1015" t="str">
        <f t="shared" si="223"/>
        <v>General Ward</v>
      </c>
    </row>
    <row r="1016" spans="1:41" x14ac:dyDescent="0.3">
      <c r="A1016" s="21" t="str">
        <f t="shared" si="216"/>
        <v>UHID-01015</v>
      </c>
      <c r="B1016" s="19">
        <v>69</v>
      </c>
      <c r="C1016" s="11" t="s">
        <v>18</v>
      </c>
      <c r="D1016" s="13" t="s">
        <v>27</v>
      </c>
      <c r="E1016" s="13" t="s">
        <v>8</v>
      </c>
      <c r="F1016" s="16">
        <v>46200.557235752298</v>
      </c>
      <c r="G1016" s="5">
        <v>46200</v>
      </c>
      <c r="H1016" s="2">
        <v>46201.6319811227</v>
      </c>
      <c r="I1016" s="23">
        <v>46201</v>
      </c>
      <c r="J1016" s="24">
        <f t="shared" si="210"/>
        <v>46201.555800652641</v>
      </c>
      <c r="K1016" s="24">
        <f t="shared" si="211"/>
        <v>0.63198112270038109</v>
      </c>
      <c r="L1016" s="29">
        <f t="shared" si="217"/>
        <v>46200</v>
      </c>
      <c r="M1016" s="27" t="str">
        <f t="shared" si="212"/>
        <v>Normal</v>
      </c>
      <c r="N1016" s="31">
        <f t="shared" si="213"/>
        <v>1</v>
      </c>
      <c r="O1016" s="27"/>
      <c r="Q1016" s="8">
        <v>0.30640665718148308</v>
      </c>
      <c r="R1016" s="8" t="str">
        <f t="shared" si="214"/>
        <v>On Time</v>
      </c>
      <c r="S1016" s="33">
        <v>1.8283312814654011</v>
      </c>
      <c r="T1016" t="s">
        <v>30</v>
      </c>
      <c r="U1016" s="3">
        <v>0</v>
      </c>
      <c r="V1016" s="3" t="str">
        <f t="shared" si="218"/>
        <v/>
      </c>
      <c r="W1016" s="3" t="s">
        <v>51</v>
      </c>
      <c r="X1016" s="32">
        <f t="shared" si="215"/>
        <v>7.6180470059625804E-2</v>
      </c>
      <c r="Z1016" s="38">
        <f t="shared" si="219"/>
        <v>0</v>
      </c>
      <c r="AC1016" s="36">
        <v>0.125</v>
      </c>
      <c r="AL1016" t="str">
        <f t="shared" si="220"/>
        <v>Normal</v>
      </c>
      <c r="AM1016" t="str">
        <f t="shared" si="221"/>
        <v>No</v>
      </c>
      <c r="AN1016" t="str">
        <f t="shared" si="222"/>
        <v>Elective</v>
      </c>
      <c r="AO1016" t="str">
        <f t="shared" si="223"/>
        <v>General Ward</v>
      </c>
    </row>
    <row r="1017" spans="1:41" x14ac:dyDescent="0.3">
      <c r="A1017" s="21" t="str">
        <f t="shared" si="216"/>
        <v>UHID-01016</v>
      </c>
      <c r="B1017" s="19">
        <v>58</v>
      </c>
      <c r="C1017" s="11" t="s">
        <v>18</v>
      </c>
      <c r="D1017" s="13" t="s">
        <v>26</v>
      </c>
      <c r="E1017" s="13" t="s">
        <v>8</v>
      </c>
      <c r="F1017" s="16">
        <v>46198.573304444399</v>
      </c>
      <c r="G1017" s="5">
        <v>46198</v>
      </c>
      <c r="H1017" s="2">
        <v>46201.521561875001</v>
      </c>
      <c r="I1017" s="23">
        <v>46201</v>
      </c>
      <c r="J1017" s="24">
        <f t="shared" si="210"/>
        <v>46201.37625317942</v>
      </c>
      <c r="K1017" s="24">
        <f t="shared" si="211"/>
        <v>0.52156187500077067</v>
      </c>
      <c r="L1017" s="29">
        <f t="shared" si="217"/>
        <v>46200</v>
      </c>
      <c r="M1017" s="27" t="str">
        <f t="shared" si="212"/>
        <v>TPA Approval Delay</v>
      </c>
      <c r="N1017" s="31">
        <f t="shared" si="213"/>
        <v>3</v>
      </c>
      <c r="O1017" s="27"/>
      <c r="Q1017" s="8">
        <v>0.5373889323991482</v>
      </c>
      <c r="R1017" s="8" t="str">
        <f t="shared" si="214"/>
        <v>Major Delay</v>
      </c>
      <c r="S1017" s="33">
        <v>3.4874086938778555</v>
      </c>
      <c r="T1017" t="s">
        <v>31</v>
      </c>
      <c r="U1017" s="3">
        <v>0</v>
      </c>
      <c r="V1017" s="3" t="str">
        <f t="shared" si="218"/>
        <v>Normal</v>
      </c>
      <c r="W1017" s="3" t="s">
        <v>51</v>
      </c>
      <c r="X1017" s="32">
        <f t="shared" si="215"/>
        <v>0.1453086955807521</v>
      </c>
      <c r="Z1017" s="38">
        <f t="shared" si="219"/>
        <v>2.0308695580752101E-2</v>
      </c>
      <c r="AC1017" s="36">
        <v>0.125</v>
      </c>
      <c r="AL1017" t="str">
        <f t="shared" si="220"/>
        <v>TPA Approval Delay</v>
      </c>
      <c r="AM1017" t="str">
        <f t="shared" si="221"/>
        <v>No</v>
      </c>
      <c r="AN1017" t="str">
        <f t="shared" si="222"/>
        <v>Elective</v>
      </c>
      <c r="AO1017" t="str">
        <f t="shared" si="223"/>
        <v>General Ward</v>
      </c>
    </row>
    <row r="1018" spans="1:41" x14ac:dyDescent="0.3">
      <c r="A1018" s="21" t="str">
        <f t="shared" si="216"/>
        <v>UHID-01017</v>
      </c>
      <c r="B1018" s="19">
        <v>47</v>
      </c>
      <c r="C1018" s="11" t="s">
        <v>17</v>
      </c>
      <c r="D1018" s="13" t="s">
        <v>28</v>
      </c>
      <c r="E1018" s="13" t="s">
        <v>8</v>
      </c>
      <c r="F1018" s="16">
        <v>46200.514555277798</v>
      </c>
      <c r="G1018" s="5">
        <v>46200</v>
      </c>
      <c r="H1018" s="2">
        <v>46203.655903911997</v>
      </c>
      <c r="I1018" s="23">
        <v>46203</v>
      </c>
      <c r="J1018" s="24">
        <f t="shared" si="210"/>
        <v>46203.570847457013</v>
      </c>
      <c r="K1018" s="24">
        <f t="shared" si="211"/>
        <v>0.65590391199657461</v>
      </c>
      <c r="L1018" s="29">
        <f t="shared" si="217"/>
        <v>46202</v>
      </c>
      <c r="M1018" s="27" t="str">
        <f t="shared" si="212"/>
        <v>Doctor Round Delay/Report Delay</v>
      </c>
      <c r="N1018" s="31">
        <f t="shared" si="213"/>
        <v>3</v>
      </c>
      <c r="O1018" s="27"/>
      <c r="Q1018" s="8">
        <v>0.9767825157966189</v>
      </c>
      <c r="R1018" s="8" t="str">
        <f t="shared" si="214"/>
        <v>Minor Delay</v>
      </c>
      <c r="S1018" s="33">
        <v>2.0413549196549443</v>
      </c>
      <c r="T1018" t="s">
        <v>31</v>
      </c>
      <c r="U1018" s="3">
        <v>0</v>
      </c>
      <c r="V1018" s="3" t="str">
        <f t="shared" si="218"/>
        <v>Normal</v>
      </c>
      <c r="W1018" s="3" t="s">
        <v>51</v>
      </c>
      <c r="X1018" s="32">
        <f t="shared" si="215"/>
        <v>8.5056454983714502E-2</v>
      </c>
      <c r="Z1018" s="38">
        <f t="shared" si="219"/>
        <v>0</v>
      </c>
      <c r="AC1018" s="36">
        <v>0.125</v>
      </c>
      <c r="AL1018" t="str">
        <f t="shared" si="220"/>
        <v>Doctor Round Delay/Report Delay</v>
      </c>
      <c r="AM1018" t="str">
        <f t="shared" si="221"/>
        <v>No</v>
      </c>
      <c r="AN1018" t="str">
        <f t="shared" si="222"/>
        <v>Elective</v>
      </c>
      <c r="AO1018" t="str">
        <f t="shared" si="223"/>
        <v>General Ward</v>
      </c>
    </row>
    <row r="1019" spans="1:41" x14ac:dyDescent="0.3">
      <c r="A1019" s="21" t="str">
        <f t="shared" si="216"/>
        <v>UHID-01018</v>
      </c>
      <c r="B1019" s="18">
        <v>45</v>
      </c>
      <c r="C1019" s="10" t="s">
        <v>18</v>
      </c>
      <c r="D1019" s="13" t="s">
        <v>28</v>
      </c>
      <c r="E1019" s="13" t="s">
        <v>10</v>
      </c>
      <c r="F1019" s="15">
        <v>46171.706546643501</v>
      </c>
      <c r="G1019" s="4">
        <v>46171</v>
      </c>
      <c r="H1019" s="1">
        <v>46174.659856423597</v>
      </c>
      <c r="I1019" s="22">
        <v>46174</v>
      </c>
      <c r="J1019" s="24">
        <f t="shared" si="210"/>
        <v>46174.373225304211</v>
      </c>
      <c r="K1019" s="24">
        <f t="shared" si="211"/>
        <v>0.6598564235973754</v>
      </c>
      <c r="L1019" s="29">
        <f t="shared" si="217"/>
        <v>46173</v>
      </c>
      <c r="M1019" s="27" t="str">
        <f t="shared" si="212"/>
        <v>Health Deterioration</v>
      </c>
      <c r="N1019" s="31">
        <f t="shared" si="213"/>
        <v>3</v>
      </c>
      <c r="O1019" s="27"/>
      <c r="Q1019" s="8">
        <v>0.86515244790390944</v>
      </c>
      <c r="R1019" s="8" t="str">
        <f t="shared" si="214"/>
        <v>Critical Delay</v>
      </c>
      <c r="S1019" s="33">
        <v>2.8791468653561556</v>
      </c>
      <c r="T1019" t="s">
        <v>31</v>
      </c>
      <c r="U1019" s="3">
        <v>4</v>
      </c>
      <c r="V1019" s="3" t="str">
        <f t="shared" si="218"/>
        <v>Normal</v>
      </c>
      <c r="W1019" s="3" t="s">
        <v>50</v>
      </c>
      <c r="X1019" s="32">
        <f t="shared" si="215"/>
        <v>0.28663111938658403</v>
      </c>
      <c r="Z1019" s="38">
        <f t="shared" si="219"/>
        <v>0.16163111938658403</v>
      </c>
      <c r="AC1019" s="36">
        <v>0.125</v>
      </c>
      <c r="AL1019" t="str">
        <f t="shared" si="220"/>
        <v>Health Deterioration</v>
      </c>
      <c r="AM1019" t="str">
        <f t="shared" si="221"/>
        <v>No</v>
      </c>
      <c r="AN1019" t="str">
        <f t="shared" si="222"/>
        <v>Elective</v>
      </c>
      <c r="AO1019" t="str">
        <f t="shared" si="223"/>
        <v>General Ward</v>
      </c>
    </row>
    <row r="1020" spans="1:41" x14ac:dyDescent="0.3">
      <c r="A1020" s="21" t="str">
        <f t="shared" si="216"/>
        <v>UHID-01019</v>
      </c>
      <c r="B1020" s="18">
        <v>67</v>
      </c>
      <c r="C1020" s="10" t="s">
        <v>17</v>
      </c>
      <c r="D1020" s="13" t="s">
        <v>27</v>
      </c>
      <c r="E1020" s="13" t="s">
        <v>10</v>
      </c>
      <c r="F1020" s="15">
        <v>46157.706798773099</v>
      </c>
      <c r="G1020" s="4">
        <v>46157</v>
      </c>
      <c r="H1020" s="1">
        <v>46175.584780300902</v>
      </c>
      <c r="I1020" s="22">
        <v>46175</v>
      </c>
      <c r="J1020" s="24">
        <f t="shared" si="210"/>
        <v>46175.365733735249</v>
      </c>
      <c r="K1020" s="24">
        <f t="shared" si="211"/>
        <v>0.58478030090191169</v>
      </c>
      <c r="L1020" s="29">
        <f t="shared" si="217"/>
        <v>46174</v>
      </c>
      <c r="M1020" s="27" t="str">
        <f t="shared" si="212"/>
        <v>Health Deterioration</v>
      </c>
      <c r="N1020" s="31">
        <f t="shared" si="213"/>
        <v>18</v>
      </c>
      <c r="O1020" s="27"/>
      <c r="Q1020" s="8">
        <v>0.1086546414907309</v>
      </c>
      <c r="R1020" s="8" t="str">
        <f t="shared" si="214"/>
        <v>Critical Delay</v>
      </c>
      <c r="S1020" s="33">
        <v>1.2571175757040753</v>
      </c>
      <c r="T1020" t="s">
        <v>30</v>
      </c>
      <c r="U1020" s="3">
        <v>4</v>
      </c>
      <c r="V1020" s="3" t="str">
        <f t="shared" si="218"/>
        <v/>
      </c>
      <c r="W1020" s="3" t="s">
        <v>50</v>
      </c>
      <c r="X1020" s="32">
        <f t="shared" si="215"/>
        <v>0.21904656565311598</v>
      </c>
      <c r="Z1020" s="38">
        <f t="shared" si="219"/>
        <v>9.4046565653115977E-2</v>
      </c>
      <c r="AC1020" s="36">
        <v>0.125</v>
      </c>
      <c r="AL1020" t="str">
        <f t="shared" si="220"/>
        <v>Health Deterioration</v>
      </c>
      <c r="AM1020" t="str">
        <f t="shared" si="221"/>
        <v>Yes</v>
      </c>
      <c r="AN1020" t="str">
        <f t="shared" si="222"/>
        <v>Emergency</v>
      </c>
      <c r="AO1020" t="str">
        <f t="shared" si="223"/>
        <v>ICU</v>
      </c>
    </row>
    <row r="1021" spans="1:41" x14ac:dyDescent="0.3">
      <c r="A1021" s="21" t="str">
        <f t="shared" si="216"/>
        <v>UHID-01020</v>
      </c>
      <c r="B1021" s="18">
        <v>29</v>
      </c>
      <c r="C1021" s="10" t="s">
        <v>18</v>
      </c>
      <c r="D1021" s="13" t="s">
        <v>26</v>
      </c>
      <c r="E1021" s="13" t="s">
        <v>10</v>
      </c>
      <c r="F1021" s="15">
        <v>46173.646467523096</v>
      </c>
      <c r="G1021" s="4">
        <v>46173</v>
      </c>
      <c r="H1021" s="1">
        <v>46175.607738888903</v>
      </c>
      <c r="I1021" s="22">
        <v>46175</v>
      </c>
      <c r="J1021" s="24">
        <f t="shared" si="210"/>
        <v>46175.312774571757</v>
      </c>
      <c r="K1021" s="24">
        <f t="shared" si="211"/>
        <v>0.60773888890253147</v>
      </c>
      <c r="L1021" s="29">
        <f t="shared" si="217"/>
        <v>46174</v>
      </c>
      <c r="M1021" s="27" t="str">
        <f t="shared" si="212"/>
        <v>Health Deterioration/TPA Approval Delay</v>
      </c>
      <c r="N1021" s="31">
        <f t="shared" si="213"/>
        <v>2</v>
      </c>
      <c r="O1021" s="27"/>
      <c r="Q1021" s="8">
        <v>0.68191487629330294</v>
      </c>
      <c r="R1021" s="8" t="str">
        <f t="shared" si="214"/>
        <v>Critical Delay</v>
      </c>
      <c r="S1021" s="33">
        <v>3.0791436114119559</v>
      </c>
      <c r="T1021" t="s">
        <v>31</v>
      </c>
      <c r="U1021" s="3">
        <v>4</v>
      </c>
      <c r="V1021" s="3" t="str">
        <f t="shared" si="218"/>
        <v>Normal</v>
      </c>
      <c r="W1021" s="3" t="s">
        <v>50</v>
      </c>
      <c r="X1021" s="32">
        <f t="shared" si="215"/>
        <v>0.29496431714505889</v>
      </c>
      <c r="Z1021" s="38">
        <f t="shared" si="219"/>
        <v>0.16996431714505889</v>
      </c>
      <c r="AC1021" s="36">
        <v>0.125</v>
      </c>
      <c r="AL1021" t="str">
        <f t="shared" si="220"/>
        <v>Health Deterioration/TPA Approval Delay</v>
      </c>
      <c r="AM1021" t="str">
        <f t="shared" si="221"/>
        <v>No</v>
      </c>
      <c r="AN1021" t="str">
        <f t="shared" si="222"/>
        <v>Emergency</v>
      </c>
      <c r="AO1021" t="str">
        <f t="shared" si="223"/>
        <v>General Ward</v>
      </c>
    </row>
    <row r="1022" spans="1:41" x14ac:dyDescent="0.3">
      <c r="A1022" s="21" t="str">
        <f t="shared" si="216"/>
        <v>UHID-01021</v>
      </c>
      <c r="B1022" s="18">
        <v>28</v>
      </c>
      <c r="C1022" s="10" t="s">
        <v>18</v>
      </c>
      <c r="D1022" s="13" t="s">
        <v>28</v>
      </c>
      <c r="E1022" s="13" t="s">
        <v>10</v>
      </c>
      <c r="F1022" s="15">
        <v>46173.662567187501</v>
      </c>
      <c r="G1022" s="4">
        <v>46173</v>
      </c>
      <c r="H1022" s="1">
        <v>46176.5963235995</v>
      </c>
      <c r="I1022" s="22">
        <v>46176</v>
      </c>
      <c r="J1022" s="24">
        <f t="shared" si="210"/>
        <v>46176.478077641019</v>
      </c>
      <c r="K1022" s="24">
        <f t="shared" si="211"/>
        <v>0.59632359950046521</v>
      </c>
      <c r="L1022" s="29">
        <f t="shared" si="217"/>
        <v>46175</v>
      </c>
      <c r="M1022" s="27" t="str">
        <f t="shared" si="212"/>
        <v>Doctor Round Delay/Report Delay</v>
      </c>
      <c r="N1022" s="31">
        <f t="shared" si="213"/>
        <v>3</v>
      </c>
      <c r="O1022" s="27"/>
      <c r="Q1022" s="8">
        <v>0.97133893813712335</v>
      </c>
      <c r="R1022" s="8" t="str">
        <f t="shared" si="214"/>
        <v>Minor Delay</v>
      </c>
      <c r="S1022" s="33">
        <v>2.8379030035024293</v>
      </c>
      <c r="T1022" t="s">
        <v>31</v>
      </c>
      <c r="U1022" s="3">
        <v>0</v>
      </c>
      <c r="V1022" s="3" t="str">
        <f t="shared" si="218"/>
        <v>Normal</v>
      </c>
      <c r="W1022" s="3" t="s">
        <v>51</v>
      </c>
      <c r="X1022" s="32">
        <f t="shared" si="215"/>
        <v>0.11824595848156605</v>
      </c>
      <c r="Z1022" s="38">
        <f t="shared" si="219"/>
        <v>0</v>
      </c>
      <c r="AC1022" s="36">
        <v>0.125</v>
      </c>
      <c r="AL1022" t="str">
        <f t="shared" si="220"/>
        <v>Doctor Round Delay/Report Delay</v>
      </c>
      <c r="AM1022" t="str">
        <f t="shared" si="221"/>
        <v>No</v>
      </c>
      <c r="AN1022" t="str">
        <f t="shared" si="222"/>
        <v>Emergency</v>
      </c>
      <c r="AO1022" t="str">
        <f t="shared" si="223"/>
        <v>General Ward</v>
      </c>
    </row>
    <row r="1023" spans="1:41" x14ac:dyDescent="0.3">
      <c r="A1023" s="21" t="str">
        <f t="shared" si="216"/>
        <v>UHID-01022</v>
      </c>
      <c r="B1023" s="18">
        <v>73</v>
      </c>
      <c r="C1023" s="10" t="s">
        <v>17</v>
      </c>
      <c r="D1023" s="13" t="s">
        <v>27</v>
      </c>
      <c r="E1023" s="13" t="s">
        <v>10</v>
      </c>
      <c r="F1023" s="15">
        <v>46163.329507766197</v>
      </c>
      <c r="G1023" s="4">
        <v>46163</v>
      </c>
      <c r="H1023" s="1">
        <v>46176.6060813773</v>
      </c>
      <c r="I1023" s="22">
        <v>46176</v>
      </c>
      <c r="J1023" s="24">
        <f t="shared" si="210"/>
        <v>46176.164811748793</v>
      </c>
      <c r="K1023" s="24">
        <f t="shared" si="211"/>
        <v>0.60608137730014278</v>
      </c>
      <c r="L1023" s="29">
        <f t="shared" si="217"/>
        <v>46175</v>
      </c>
      <c r="M1023" s="27" t="str">
        <f t="shared" si="212"/>
        <v>Health Deterioration</v>
      </c>
      <c r="N1023" s="31">
        <f t="shared" si="213"/>
        <v>13</v>
      </c>
      <c r="O1023" s="27"/>
      <c r="Q1023" s="8">
        <v>0.43370254502409866</v>
      </c>
      <c r="R1023" s="8" t="str">
        <f t="shared" si="214"/>
        <v>Critical Delay</v>
      </c>
      <c r="S1023" s="33">
        <v>1.590471084254526</v>
      </c>
      <c r="T1023" t="s">
        <v>31</v>
      </c>
      <c r="U1023" s="3">
        <v>9</v>
      </c>
      <c r="V1023" s="3" t="str">
        <f t="shared" si="218"/>
        <v>Normal</v>
      </c>
      <c r="W1023" s="3" t="s">
        <v>52</v>
      </c>
      <c r="X1023" s="32">
        <f t="shared" si="215"/>
        <v>0.44126962850714335</v>
      </c>
      <c r="Z1023" s="38">
        <f t="shared" si="219"/>
        <v>0.31626962850714335</v>
      </c>
      <c r="AC1023" s="36">
        <v>0.125</v>
      </c>
      <c r="AL1023" t="str">
        <f t="shared" si="220"/>
        <v>Health Deterioration</v>
      </c>
      <c r="AM1023" t="str">
        <f t="shared" si="221"/>
        <v>Yes</v>
      </c>
      <c r="AN1023" t="str">
        <f t="shared" si="222"/>
        <v>Emergency</v>
      </c>
      <c r="AO1023" t="str">
        <f t="shared" si="223"/>
        <v>ICU</v>
      </c>
    </row>
    <row r="1024" spans="1:41" x14ac:dyDescent="0.3">
      <c r="A1024" s="21" t="str">
        <f t="shared" si="216"/>
        <v>UHID-01023</v>
      </c>
      <c r="B1024" s="18">
        <v>65</v>
      </c>
      <c r="C1024" s="10" t="s">
        <v>17</v>
      </c>
      <c r="D1024" s="13" t="s">
        <v>27</v>
      </c>
      <c r="E1024" s="13" t="s">
        <v>10</v>
      </c>
      <c r="F1024" s="15">
        <v>46173.866627152798</v>
      </c>
      <c r="G1024" s="4">
        <v>46173</v>
      </c>
      <c r="H1024" s="1">
        <v>46176.590519641199</v>
      </c>
      <c r="I1024" s="22">
        <v>46176</v>
      </c>
      <c r="J1024" s="24">
        <f t="shared" si="210"/>
        <v>46176.418174728475</v>
      </c>
      <c r="K1024" s="24">
        <f t="shared" si="211"/>
        <v>0.59051964119862532</v>
      </c>
      <c r="L1024" s="29">
        <f t="shared" si="217"/>
        <v>46175</v>
      </c>
      <c r="M1024" s="27" t="str">
        <f t="shared" si="212"/>
        <v>Medication Change</v>
      </c>
      <c r="N1024" s="31">
        <f t="shared" si="213"/>
        <v>3</v>
      </c>
      <c r="O1024" s="27"/>
      <c r="Q1024" s="8">
        <v>9.9600446993879266E-2</v>
      </c>
      <c r="R1024" s="8" t="str">
        <f t="shared" si="214"/>
        <v>Major Delay</v>
      </c>
      <c r="S1024" s="33">
        <v>1.1362779053147316</v>
      </c>
      <c r="T1024" t="s">
        <v>30</v>
      </c>
      <c r="U1024" s="3">
        <v>3</v>
      </c>
      <c r="V1024" s="3" t="str">
        <f t="shared" si="218"/>
        <v/>
      </c>
      <c r="W1024" s="3" t="s">
        <v>50</v>
      </c>
      <c r="X1024" s="32">
        <f t="shared" si="215"/>
        <v>0.17234491272392916</v>
      </c>
      <c r="Z1024" s="38">
        <f t="shared" si="219"/>
        <v>4.7344912723929156E-2</v>
      </c>
      <c r="AC1024" s="36">
        <v>0.125</v>
      </c>
      <c r="AL1024" t="str">
        <f t="shared" si="220"/>
        <v>Medication Change</v>
      </c>
      <c r="AM1024" t="str">
        <f t="shared" si="221"/>
        <v>No</v>
      </c>
      <c r="AN1024" t="str">
        <f t="shared" si="222"/>
        <v>Elective</v>
      </c>
      <c r="AO1024" t="str">
        <f t="shared" si="223"/>
        <v>General Ward</v>
      </c>
    </row>
    <row r="1025" spans="1:41" x14ac:dyDescent="0.3">
      <c r="A1025" s="21" t="str">
        <f t="shared" si="216"/>
        <v>UHID-01024</v>
      </c>
      <c r="B1025" s="18">
        <v>47</v>
      </c>
      <c r="C1025" s="10" t="s">
        <v>18</v>
      </c>
      <c r="D1025" s="13" t="s">
        <v>27</v>
      </c>
      <c r="E1025" s="13" t="s">
        <v>10</v>
      </c>
      <c r="F1025" s="15">
        <v>46172.560455196799</v>
      </c>
      <c r="G1025" s="4">
        <v>46172</v>
      </c>
      <c r="H1025" s="1">
        <v>46176.589874305602</v>
      </c>
      <c r="I1025" s="22">
        <v>46176</v>
      </c>
      <c r="J1025" s="24">
        <f t="shared" si="210"/>
        <v>46176.543985642194</v>
      </c>
      <c r="K1025" s="24">
        <f t="shared" si="211"/>
        <v>0.58987430560227949</v>
      </c>
      <c r="L1025" s="29">
        <f t="shared" si="217"/>
        <v>46175</v>
      </c>
      <c r="M1025" s="27" t="str">
        <f t="shared" si="212"/>
        <v>Normal</v>
      </c>
      <c r="N1025" s="31">
        <f t="shared" si="213"/>
        <v>4</v>
      </c>
      <c r="O1025" s="27"/>
      <c r="Q1025" s="8">
        <v>0.41613926613172791</v>
      </c>
      <c r="R1025" s="8" t="str">
        <f t="shared" si="214"/>
        <v>On Time</v>
      </c>
      <c r="S1025" s="33">
        <v>1.1013279217760117</v>
      </c>
      <c r="T1025" t="s">
        <v>31</v>
      </c>
      <c r="U1025" s="3">
        <v>0</v>
      </c>
      <c r="V1025" s="3" t="str">
        <f t="shared" si="218"/>
        <v>Normal</v>
      </c>
      <c r="W1025" s="3" t="s">
        <v>51</v>
      </c>
      <c r="X1025" s="32">
        <f t="shared" si="215"/>
        <v>4.5888663407822605E-2</v>
      </c>
      <c r="Z1025" s="38">
        <f t="shared" si="219"/>
        <v>0</v>
      </c>
      <c r="AC1025" s="36">
        <v>0.125</v>
      </c>
      <c r="AL1025" t="str">
        <f t="shared" si="220"/>
        <v>Normal</v>
      </c>
      <c r="AM1025" t="str">
        <f t="shared" si="221"/>
        <v>No</v>
      </c>
      <c r="AN1025" t="str">
        <f t="shared" si="222"/>
        <v>Elective</v>
      </c>
      <c r="AO1025" t="str">
        <f t="shared" si="223"/>
        <v>HDU</v>
      </c>
    </row>
    <row r="1026" spans="1:41" x14ac:dyDescent="0.3">
      <c r="A1026" s="21" t="str">
        <f t="shared" si="216"/>
        <v>UHID-01025</v>
      </c>
      <c r="B1026" s="18">
        <v>63</v>
      </c>
      <c r="C1026" s="10" t="s">
        <v>18</v>
      </c>
      <c r="D1026" s="13" t="s">
        <v>27</v>
      </c>
      <c r="E1026" s="13" t="s">
        <v>10</v>
      </c>
      <c r="F1026" s="15">
        <v>46174.603178240701</v>
      </c>
      <c r="G1026" s="4">
        <v>46174</v>
      </c>
      <c r="H1026" s="1">
        <v>46177.480650705998</v>
      </c>
      <c r="I1026" s="22">
        <v>46177</v>
      </c>
      <c r="J1026" s="24">
        <f t="shared" ref="J1026:J1089" si="224">I1026+K1026-((S1026+U1026)/24)</f>
        <v>46177.436545888944</v>
      </c>
      <c r="K1026" s="24">
        <f t="shared" ref="K1026:K1089" si="225">MOD(H1026,1)</f>
        <v>0.4806507059984142</v>
      </c>
      <c r="L1026" s="29">
        <f t="shared" si="217"/>
        <v>46176</v>
      </c>
      <c r="M1026" s="27" t="str">
        <f t="shared" ref="M1026:M1089" si="226">IF(X1026="","",IF(X1026&lt;=TIME(2,0,0),"Normal",IF(X1026&lt;=TIME(3,0,0),IF(D1026="CASH","Bill Settlement Delay","Doctor Round Delay/Report Delay"),IF(X1026&lt;=TIME(5,0,0),IF(D1026="TPA","TPA Approval Delay","Medication Change"),IF(D1026="TPA","Health Deterioration/TPA Approval Delay","Health Deterioration")))))</f>
        <v>Normal</v>
      </c>
      <c r="N1026" s="31">
        <f t="shared" ref="N1026:N1089" si="227">I1026-G1026</f>
        <v>3</v>
      </c>
      <c r="O1026" s="27"/>
      <c r="Q1026" s="8">
        <v>0.12040809105682282</v>
      </c>
      <c r="R1026" s="8" t="str">
        <f t="shared" ref="R1026:R1089" si="228">IF(X1026="","",IF(X1026&lt;=TIME(2,0,0),"On Time",IF(X1026&lt;=TIME(3,0,0),"Minor Delay",IF(X1026&lt;=TIME(5,0,0),"Major Delay","Critical Delay"))))</f>
        <v>On Time</v>
      </c>
      <c r="S1026" s="33">
        <v>1.0585156093832073</v>
      </c>
      <c r="T1026" t="s">
        <v>30</v>
      </c>
      <c r="U1026" s="3">
        <v>0</v>
      </c>
      <c r="V1026" s="3" t="str">
        <f t="shared" si="218"/>
        <v/>
      </c>
      <c r="W1026" s="3" t="s">
        <v>51</v>
      </c>
      <c r="X1026" s="32">
        <f t="shared" ref="X1026:X1089" si="229">MOD(K1026-J1026,1)</f>
        <v>4.4104817054176237E-2</v>
      </c>
      <c r="Z1026" s="38">
        <f t="shared" si="219"/>
        <v>0</v>
      </c>
      <c r="AC1026" s="36">
        <v>0.125</v>
      </c>
      <c r="AL1026" t="str">
        <f t="shared" si="220"/>
        <v>Normal</v>
      </c>
      <c r="AM1026" t="str">
        <f t="shared" si="221"/>
        <v>No</v>
      </c>
      <c r="AN1026" t="str">
        <f t="shared" si="222"/>
        <v>Elective</v>
      </c>
      <c r="AO1026" t="str">
        <f t="shared" si="223"/>
        <v>General Ward</v>
      </c>
    </row>
    <row r="1027" spans="1:41" x14ac:dyDescent="0.3">
      <c r="A1027" s="21" t="str">
        <f t="shared" ref="A1027:A1090" si="230">"UHID-"&amp;TEXT(ROW(A1027)-1,"00000")</f>
        <v>UHID-01026</v>
      </c>
      <c r="B1027" s="18">
        <v>31</v>
      </c>
      <c r="C1027" s="10" t="s">
        <v>18</v>
      </c>
      <c r="D1027" s="13" t="s">
        <v>27</v>
      </c>
      <c r="E1027" s="13" t="s">
        <v>10</v>
      </c>
      <c r="F1027" s="15">
        <v>46174.827437060201</v>
      </c>
      <c r="G1027" s="4">
        <v>46174</v>
      </c>
      <c r="H1027" s="1">
        <v>46177.640461990697</v>
      </c>
      <c r="I1027" s="22">
        <v>46177</v>
      </c>
      <c r="J1027" s="24">
        <f t="shared" si="224"/>
        <v>46177.593536643333</v>
      </c>
      <c r="K1027" s="24">
        <f t="shared" si="225"/>
        <v>0.64046199069707654</v>
      </c>
      <c r="L1027" s="29">
        <f t="shared" ref="L1027:L1090" si="231">IF(J1027&gt;MOD(H1027,1),INT(H1027)-1,INT(H1027))</f>
        <v>46176</v>
      </c>
      <c r="M1027" s="27" t="str">
        <f t="shared" si="226"/>
        <v>Normal</v>
      </c>
      <c r="N1027" s="31">
        <f t="shared" si="227"/>
        <v>3</v>
      </c>
      <c r="O1027" s="27"/>
      <c r="Q1027" s="8">
        <v>0.32148902276197033</v>
      </c>
      <c r="R1027" s="8" t="str">
        <f t="shared" si="228"/>
        <v>On Time</v>
      </c>
      <c r="S1027" s="33">
        <v>1.1262083367675566</v>
      </c>
      <c r="T1027" t="s">
        <v>30</v>
      </c>
      <c r="U1027" s="3">
        <v>0</v>
      </c>
      <c r="V1027" s="3" t="str">
        <f t="shared" ref="V1027:V1090" si="232">IF(T1027="NO","Normal","")</f>
        <v/>
      </c>
      <c r="W1027" s="3" t="s">
        <v>51</v>
      </c>
      <c r="X1027" s="32">
        <f t="shared" si="229"/>
        <v>4.6925347363867331E-2</v>
      </c>
      <c r="Z1027" s="38">
        <f t="shared" ref="Z1027:Z1090" si="233">IF(X1027 &gt; TIME(3,0,0), X1027 - TIME(3,0,0), 0)</f>
        <v>0</v>
      </c>
      <c r="AC1027" s="36">
        <v>0.125</v>
      </c>
      <c r="AL1027" t="str">
        <f t="shared" ref="AL1027:AL1090" si="234">IF(X1027="","",IF(X1027&lt;=TIME(2,0,0),"Normal",IF(X1027&lt;=TIME(3,0,0),IF(D1027="CASH","Bill Settlement Delay","Doctor Round Delay/Report Delay"),IF(Z1027&lt;=TIME(2,0,0),IF(D1027="TPA","TPA Approval Delay","Medication Change"),IF(D1027="TPA","Health Deterioration/TPA Approval Delay","Health Deterioration")))))</f>
        <v>Normal</v>
      </c>
      <c r="AM1027" t="str">
        <f t="shared" ref="AM1027:AM1090" si="235">IF(OR(AND(B1027&gt;65, R1027="Critical Delay"), N1027&gt;10), "Yes", "No")</f>
        <v>No</v>
      </c>
      <c r="AN1027" t="str">
        <f t="shared" ref="AN1027:AN1090" si="236">IF(E1027="Cardiology &amp; Cardiothoracic", IF(MOD(ROW(),10)&lt;3, "Emergency", "Elective"), IF(E1027="Neurology &amp; Neurosurgery", IF(MOD(ROW(),10)&lt;4, "Emergency", "Elective"), IF(D1027="COR", IF(MOD(ROW(),20)&lt;7, "Emergency", "Elective"), IF(OR(R1027="Critical Delay", N1027&gt;=7), "Emergency", "Elective"))))</f>
        <v>Elective</v>
      </c>
      <c r="AO1027" t="str">
        <f t="shared" ref="AO1027:AO1090" si="237">IF(OR(N1027&gt;6, AND(E1027="Cardiology &amp; Cardiothoracic", MOD(ROW(),10)&lt;4), AND(E1027="Neurology &amp; Neurosurgery", MOD(ROW(),10)&lt;6)), "ICU", IF(OR(N1027&gt;3, AND(E1027="Cardiology &amp; Cardiothoracic", MOD(ROW(),10)&lt;6), E1027="Neurology &amp; Neurosurgery"), "HDU", "General Ward"))</f>
        <v>General Ward</v>
      </c>
    </row>
    <row r="1028" spans="1:41" x14ac:dyDescent="0.3">
      <c r="A1028" s="21" t="str">
        <f t="shared" si="230"/>
        <v>UHID-01027</v>
      </c>
      <c r="B1028" s="18">
        <v>65</v>
      </c>
      <c r="C1028" s="10" t="s">
        <v>18</v>
      </c>
      <c r="D1028" s="13" t="s">
        <v>28</v>
      </c>
      <c r="E1028" s="13" t="s">
        <v>10</v>
      </c>
      <c r="F1028" s="15">
        <v>46174.918643888901</v>
      </c>
      <c r="G1028" s="4">
        <v>46174</v>
      </c>
      <c r="H1028" s="1">
        <v>46177.636158148103</v>
      </c>
      <c r="I1028" s="22">
        <v>46177</v>
      </c>
      <c r="J1028" s="24">
        <f t="shared" si="224"/>
        <v>46177.544531441876</v>
      </c>
      <c r="K1028" s="24">
        <f t="shared" si="225"/>
        <v>0.6361581481032772</v>
      </c>
      <c r="L1028" s="29">
        <f t="shared" si="231"/>
        <v>46176</v>
      </c>
      <c r="M1028" s="27" t="str">
        <f t="shared" si="226"/>
        <v>Doctor Round Delay/Report Delay</v>
      </c>
      <c r="N1028" s="31">
        <f t="shared" si="227"/>
        <v>3</v>
      </c>
      <c r="O1028" s="27"/>
      <c r="Q1028" s="8">
        <v>0.87038038040631494</v>
      </c>
      <c r="R1028" s="8" t="str">
        <f t="shared" si="228"/>
        <v>Minor Delay</v>
      </c>
      <c r="S1028" s="33">
        <v>2.1990409495161307</v>
      </c>
      <c r="T1028" t="s">
        <v>31</v>
      </c>
      <c r="U1028" s="3">
        <v>0</v>
      </c>
      <c r="V1028" s="3" t="str">
        <f t="shared" si="232"/>
        <v>Normal</v>
      </c>
      <c r="W1028" s="3" t="s">
        <v>51</v>
      </c>
      <c r="X1028" s="32">
        <f t="shared" si="229"/>
        <v>9.1626706227543764E-2</v>
      </c>
      <c r="Z1028" s="38">
        <f t="shared" si="233"/>
        <v>0</v>
      </c>
      <c r="AC1028" s="36">
        <v>0.125</v>
      </c>
      <c r="AL1028" t="str">
        <f t="shared" si="234"/>
        <v>Doctor Round Delay/Report Delay</v>
      </c>
      <c r="AM1028" t="str">
        <f t="shared" si="235"/>
        <v>No</v>
      </c>
      <c r="AN1028" t="str">
        <f t="shared" si="236"/>
        <v>Elective</v>
      </c>
      <c r="AO1028" t="str">
        <f t="shared" si="237"/>
        <v>General Ward</v>
      </c>
    </row>
    <row r="1029" spans="1:41" x14ac:dyDescent="0.3">
      <c r="A1029" s="21" t="str">
        <f t="shared" si="230"/>
        <v>UHID-01028</v>
      </c>
      <c r="B1029" s="18">
        <v>69</v>
      </c>
      <c r="C1029" s="10" t="s">
        <v>18</v>
      </c>
      <c r="D1029" s="13" t="s">
        <v>27</v>
      </c>
      <c r="E1029" s="13" t="s">
        <v>10</v>
      </c>
      <c r="F1029" s="15">
        <v>46175.825821770799</v>
      </c>
      <c r="G1029" s="4">
        <v>46175</v>
      </c>
      <c r="H1029" s="1">
        <v>46180.320959351899</v>
      </c>
      <c r="I1029" s="22">
        <v>46180</v>
      </c>
      <c r="J1029" s="24">
        <f t="shared" si="224"/>
        <v>46180.119192957951</v>
      </c>
      <c r="K1029" s="24">
        <f t="shared" si="225"/>
        <v>0.32095935189863667</v>
      </c>
      <c r="L1029" s="29">
        <f t="shared" si="231"/>
        <v>46179</v>
      </c>
      <c r="M1029" s="27" t="str">
        <f t="shared" si="226"/>
        <v>Medication Change</v>
      </c>
      <c r="N1029" s="31">
        <f t="shared" si="227"/>
        <v>5</v>
      </c>
      <c r="O1029" s="27"/>
      <c r="Q1029" s="8">
        <v>0.41401920184614438</v>
      </c>
      <c r="R1029" s="8" t="str">
        <f t="shared" si="228"/>
        <v>Major Delay</v>
      </c>
      <c r="S1029" s="33">
        <v>1.8423934546791232</v>
      </c>
      <c r="T1029" t="s">
        <v>31</v>
      </c>
      <c r="U1029" s="3">
        <v>3</v>
      </c>
      <c r="V1029" s="3" t="str">
        <f t="shared" si="232"/>
        <v>Normal</v>
      </c>
      <c r="W1029" s="3" t="s">
        <v>50</v>
      </c>
      <c r="X1029" s="32">
        <f t="shared" si="229"/>
        <v>0.2017663939477643</v>
      </c>
      <c r="Z1029" s="38">
        <f t="shared" si="233"/>
        <v>7.67663939477643E-2</v>
      </c>
      <c r="AC1029" s="36">
        <v>0.125</v>
      </c>
      <c r="AL1029" t="str">
        <f t="shared" si="234"/>
        <v>Medication Change</v>
      </c>
      <c r="AM1029" t="str">
        <f t="shared" si="235"/>
        <v>No</v>
      </c>
      <c r="AN1029" t="str">
        <f t="shared" si="236"/>
        <v>Elective</v>
      </c>
      <c r="AO1029" t="str">
        <f t="shared" si="237"/>
        <v>HDU</v>
      </c>
    </row>
    <row r="1030" spans="1:41" x14ac:dyDescent="0.3">
      <c r="A1030" s="21" t="str">
        <f t="shared" si="230"/>
        <v>UHID-01029</v>
      </c>
      <c r="B1030" s="18">
        <v>29</v>
      </c>
      <c r="C1030" s="10" t="s">
        <v>18</v>
      </c>
      <c r="D1030" s="13" t="s">
        <v>27</v>
      </c>
      <c r="E1030" s="13" t="s">
        <v>10</v>
      </c>
      <c r="F1030" s="15">
        <v>46181.307946666697</v>
      </c>
      <c r="G1030" s="4">
        <v>46181</v>
      </c>
      <c r="H1030" s="1">
        <v>46182.698650057901</v>
      </c>
      <c r="I1030" s="22">
        <v>46182</v>
      </c>
      <c r="J1030" s="24">
        <f t="shared" si="224"/>
        <v>46182.642467867758</v>
      </c>
      <c r="K1030" s="24">
        <f t="shared" si="225"/>
        <v>0.69865005790052237</v>
      </c>
      <c r="L1030" s="29">
        <f t="shared" si="231"/>
        <v>46181</v>
      </c>
      <c r="M1030" s="27" t="str">
        <f t="shared" si="226"/>
        <v>Normal</v>
      </c>
      <c r="N1030" s="31">
        <f t="shared" si="227"/>
        <v>1</v>
      </c>
      <c r="O1030" s="27"/>
      <c r="Q1030" s="8">
        <v>0.11040988955395803</v>
      </c>
      <c r="R1030" s="8" t="str">
        <f t="shared" si="228"/>
        <v>On Time</v>
      </c>
      <c r="S1030" s="33">
        <v>1.3483725634022714</v>
      </c>
      <c r="T1030" t="s">
        <v>30</v>
      </c>
      <c r="U1030" s="3">
        <v>0</v>
      </c>
      <c r="V1030" s="3" t="str">
        <f t="shared" si="232"/>
        <v/>
      </c>
      <c r="W1030" s="3" t="s">
        <v>51</v>
      </c>
      <c r="X1030" s="32">
        <f t="shared" si="229"/>
        <v>5.6182190142862964E-2</v>
      </c>
      <c r="Z1030" s="38">
        <f t="shared" si="233"/>
        <v>0</v>
      </c>
      <c r="AC1030" s="36">
        <v>0.125</v>
      </c>
      <c r="AL1030" t="str">
        <f t="shared" si="234"/>
        <v>Normal</v>
      </c>
      <c r="AM1030" t="str">
        <f t="shared" si="235"/>
        <v>No</v>
      </c>
      <c r="AN1030" t="str">
        <f t="shared" si="236"/>
        <v>Elective</v>
      </c>
      <c r="AO1030" t="str">
        <f t="shared" si="237"/>
        <v>General Ward</v>
      </c>
    </row>
    <row r="1031" spans="1:41" x14ac:dyDescent="0.3">
      <c r="A1031" s="21" t="str">
        <f t="shared" si="230"/>
        <v>UHID-01030</v>
      </c>
      <c r="B1031" s="18">
        <v>43</v>
      </c>
      <c r="C1031" s="10" t="s">
        <v>18</v>
      </c>
      <c r="D1031" s="13" t="s">
        <v>26</v>
      </c>
      <c r="E1031" s="13" t="s">
        <v>10</v>
      </c>
      <c r="F1031" s="15">
        <v>46181.803888159702</v>
      </c>
      <c r="G1031" s="4">
        <v>46181</v>
      </c>
      <c r="H1031" s="1">
        <v>46183.542530509301</v>
      </c>
      <c r="I1031" s="22">
        <v>46183</v>
      </c>
      <c r="J1031" s="24">
        <f t="shared" si="224"/>
        <v>46183.323811625538</v>
      </c>
      <c r="K1031" s="24">
        <f t="shared" si="225"/>
        <v>0.54253050930128666</v>
      </c>
      <c r="L1031" s="29">
        <f t="shared" si="231"/>
        <v>46182</v>
      </c>
      <c r="M1031" s="27" t="str">
        <f t="shared" si="226"/>
        <v>Health Deterioration/TPA Approval Delay</v>
      </c>
      <c r="N1031" s="31">
        <f t="shared" si="227"/>
        <v>2</v>
      </c>
      <c r="O1031" s="27"/>
      <c r="Q1031" s="8">
        <v>0.62286773150724406</v>
      </c>
      <c r="R1031" s="8" t="str">
        <f t="shared" si="228"/>
        <v>Critical Delay</v>
      </c>
      <c r="S1031" s="33">
        <v>3.249253210394734</v>
      </c>
      <c r="T1031" t="s">
        <v>31</v>
      </c>
      <c r="U1031" s="3">
        <v>2</v>
      </c>
      <c r="V1031" s="3" t="str">
        <f t="shared" si="232"/>
        <v>Normal</v>
      </c>
      <c r="W1031" s="3" t="s">
        <v>50</v>
      </c>
      <c r="X1031" s="32">
        <f t="shared" si="229"/>
        <v>0.21871888376335846</v>
      </c>
      <c r="Z1031" s="38">
        <f t="shared" si="233"/>
        <v>9.3718883763358463E-2</v>
      </c>
      <c r="AC1031" s="36">
        <v>0.125</v>
      </c>
      <c r="AL1031" t="str">
        <f t="shared" si="234"/>
        <v>Health Deterioration/TPA Approval Delay</v>
      </c>
      <c r="AM1031" t="str">
        <f t="shared" si="235"/>
        <v>No</v>
      </c>
      <c r="AN1031" t="str">
        <f t="shared" si="236"/>
        <v>Emergency</v>
      </c>
      <c r="AO1031" t="str">
        <f t="shared" si="237"/>
        <v>General Ward</v>
      </c>
    </row>
    <row r="1032" spans="1:41" x14ac:dyDescent="0.3">
      <c r="A1032" s="21" t="str">
        <f t="shared" si="230"/>
        <v>UHID-01031</v>
      </c>
      <c r="B1032" s="18">
        <v>65</v>
      </c>
      <c r="C1032" s="10" t="s">
        <v>17</v>
      </c>
      <c r="D1032" s="13" t="s">
        <v>27</v>
      </c>
      <c r="E1032" s="13" t="s">
        <v>10</v>
      </c>
      <c r="F1032" s="15">
        <v>46183.641013669003</v>
      </c>
      <c r="G1032" s="4">
        <v>46183</v>
      </c>
      <c r="H1032" s="1">
        <v>46183.908062453702</v>
      </c>
      <c r="I1032" s="22">
        <v>46183</v>
      </c>
      <c r="J1032" s="24">
        <f t="shared" si="224"/>
        <v>46183.865910077337</v>
      </c>
      <c r="K1032" s="24">
        <f t="shared" si="225"/>
        <v>0.90806245370185934</v>
      </c>
      <c r="L1032" s="29">
        <f t="shared" si="231"/>
        <v>46182</v>
      </c>
      <c r="M1032" s="27" t="str">
        <f t="shared" si="226"/>
        <v>Normal</v>
      </c>
      <c r="N1032" s="31">
        <f t="shared" si="227"/>
        <v>0</v>
      </c>
      <c r="O1032" s="27"/>
      <c r="Q1032" s="8">
        <v>0.21493085340977902</v>
      </c>
      <c r="R1032" s="8" t="str">
        <f t="shared" si="228"/>
        <v>On Time</v>
      </c>
      <c r="S1032" s="33">
        <v>1.0116570328471701</v>
      </c>
      <c r="T1032" t="s">
        <v>30</v>
      </c>
      <c r="U1032" s="3">
        <v>0</v>
      </c>
      <c r="V1032" s="3" t="str">
        <f t="shared" si="232"/>
        <v/>
      </c>
      <c r="W1032" s="3" t="s">
        <v>51</v>
      </c>
      <c r="X1032" s="32">
        <f t="shared" si="229"/>
        <v>4.2152376365265809E-2</v>
      </c>
      <c r="Z1032" s="38">
        <f t="shared" si="233"/>
        <v>0</v>
      </c>
      <c r="AC1032" s="36">
        <v>0.125</v>
      </c>
      <c r="AL1032" t="str">
        <f t="shared" si="234"/>
        <v>Normal</v>
      </c>
      <c r="AM1032" t="str">
        <f t="shared" si="235"/>
        <v>No</v>
      </c>
      <c r="AN1032" t="str">
        <f t="shared" si="236"/>
        <v>Elective</v>
      </c>
      <c r="AO1032" t="str">
        <f t="shared" si="237"/>
        <v>General Ward</v>
      </c>
    </row>
    <row r="1033" spans="1:41" x14ac:dyDescent="0.3">
      <c r="A1033" s="21" t="str">
        <f t="shared" si="230"/>
        <v>UHID-01032</v>
      </c>
      <c r="B1033" s="18">
        <v>29</v>
      </c>
      <c r="C1033" s="10" t="s">
        <v>18</v>
      </c>
      <c r="D1033" s="13" t="s">
        <v>26</v>
      </c>
      <c r="E1033" s="13" t="s">
        <v>10</v>
      </c>
      <c r="F1033" s="15">
        <v>46181.820455219902</v>
      </c>
      <c r="G1033" s="4">
        <v>46181</v>
      </c>
      <c r="H1033" s="1">
        <v>46184.660513298601</v>
      </c>
      <c r="I1033" s="22">
        <v>46184</v>
      </c>
      <c r="J1033" s="24">
        <f t="shared" si="224"/>
        <v>46184.432734157206</v>
      </c>
      <c r="K1033" s="24">
        <f t="shared" si="225"/>
        <v>0.66051329860056285</v>
      </c>
      <c r="L1033" s="29">
        <f t="shared" si="231"/>
        <v>46183</v>
      </c>
      <c r="M1033" s="27" t="str">
        <f t="shared" si="226"/>
        <v>Health Deterioration/TPA Approval Delay</v>
      </c>
      <c r="N1033" s="31">
        <f t="shared" si="227"/>
        <v>3</v>
      </c>
      <c r="O1033" s="27"/>
      <c r="Q1033" s="8">
        <v>0.53151737482678474</v>
      </c>
      <c r="R1033" s="8" t="str">
        <f t="shared" si="228"/>
        <v>Critical Delay</v>
      </c>
      <c r="S1033" s="33">
        <v>3.4666993934517172</v>
      </c>
      <c r="T1033" t="s">
        <v>31</v>
      </c>
      <c r="U1033" s="3">
        <v>2</v>
      </c>
      <c r="V1033" s="3" t="str">
        <f t="shared" si="232"/>
        <v>Normal</v>
      </c>
      <c r="W1033" s="3" t="s">
        <v>50</v>
      </c>
      <c r="X1033" s="32">
        <f t="shared" si="229"/>
        <v>0.22777914139442146</v>
      </c>
      <c r="Z1033" s="38">
        <f t="shared" si="233"/>
        <v>0.10277914139442146</v>
      </c>
      <c r="AC1033" s="36">
        <v>0.125</v>
      </c>
      <c r="AL1033" t="str">
        <f t="shared" si="234"/>
        <v>Health Deterioration/TPA Approval Delay</v>
      </c>
      <c r="AM1033" t="str">
        <f t="shared" si="235"/>
        <v>No</v>
      </c>
      <c r="AN1033" t="str">
        <f t="shared" si="236"/>
        <v>Emergency</v>
      </c>
      <c r="AO1033" t="str">
        <f t="shared" si="237"/>
        <v>General Ward</v>
      </c>
    </row>
    <row r="1034" spans="1:41" x14ac:dyDescent="0.3">
      <c r="A1034" s="21" t="str">
        <f t="shared" si="230"/>
        <v>UHID-01033</v>
      </c>
      <c r="B1034" s="18">
        <v>37</v>
      </c>
      <c r="C1034" s="10" t="s">
        <v>17</v>
      </c>
      <c r="D1034" s="13" t="s">
        <v>27</v>
      </c>
      <c r="E1034" s="13" t="s">
        <v>10</v>
      </c>
      <c r="F1034" s="15">
        <v>46181.961092013902</v>
      </c>
      <c r="G1034" s="4">
        <v>46181</v>
      </c>
      <c r="H1034" s="1">
        <v>46184.586991203701</v>
      </c>
      <c r="I1034" s="22">
        <v>46184</v>
      </c>
      <c r="J1034" s="24">
        <f t="shared" si="224"/>
        <v>46184.543522775639</v>
      </c>
      <c r="K1034" s="24">
        <f t="shared" si="225"/>
        <v>0.58699120370147284</v>
      </c>
      <c r="L1034" s="29">
        <f t="shared" si="231"/>
        <v>46183</v>
      </c>
      <c r="M1034" s="27" t="str">
        <f t="shared" si="226"/>
        <v>Normal</v>
      </c>
      <c r="N1034" s="31">
        <f t="shared" si="227"/>
        <v>3</v>
      </c>
      <c r="O1034" s="27"/>
      <c r="Q1034" s="8">
        <v>4.841680840163054E-2</v>
      </c>
      <c r="R1034" s="8" t="str">
        <f t="shared" si="228"/>
        <v>On Time</v>
      </c>
      <c r="S1034" s="33">
        <v>1.0432422735107285</v>
      </c>
      <c r="T1034" t="s">
        <v>30</v>
      </c>
      <c r="U1034" s="3">
        <v>0</v>
      </c>
      <c r="V1034" s="3" t="str">
        <f t="shared" si="232"/>
        <v/>
      </c>
      <c r="W1034" s="3" t="s">
        <v>51</v>
      </c>
      <c r="X1034" s="32">
        <f t="shared" si="229"/>
        <v>4.3468428062624298E-2</v>
      </c>
      <c r="Z1034" s="38">
        <f t="shared" si="233"/>
        <v>0</v>
      </c>
      <c r="AC1034" s="36">
        <v>0.125</v>
      </c>
      <c r="AL1034" t="str">
        <f t="shared" si="234"/>
        <v>Normal</v>
      </c>
      <c r="AM1034" t="str">
        <f t="shared" si="235"/>
        <v>No</v>
      </c>
      <c r="AN1034" t="str">
        <f t="shared" si="236"/>
        <v>Elective</v>
      </c>
      <c r="AO1034" t="str">
        <f t="shared" si="237"/>
        <v>General Ward</v>
      </c>
    </row>
    <row r="1035" spans="1:41" x14ac:dyDescent="0.3">
      <c r="A1035" s="21" t="str">
        <f t="shared" si="230"/>
        <v>UHID-01034</v>
      </c>
      <c r="B1035" s="18">
        <v>69</v>
      </c>
      <c r="C1035" s="10" t="s">
        <v>17</v>
      </c>
      <c r="D1035" s="13" t="s">
        <v>26</v>
      </c>
      <c r="E1035" s="13" t="s">
        <v>10</v>
      </c>
      <c r="F1035" s="15">
        <v>46177.738087974503</v>
      </c>
      <c r="G1035" s="4">
        <v>46177</v>
      </c>
      <c r="H1035" s="1">
        <v>46184.61935375</v>
      </c>
      <c r="I1035" s="22">
        <v>46184</v>
      </c>
      <c r="J1035" s="24">
        <f t="shared" si="224"/>
        <v>46184.404358127031</v>
      </c>
      <c r="K1035" s="24">
        <f t="shared" si="225"/>
        <v>0.61935375000030035</v>
      </c>
      <c r="L1035" s="29">
        <f t="shared" si="231"/>
        <v>46183</v>
      </c>
      <c r="M1035" s="27" t="str">
        <f t="shared" si="226"/>
        <v>Health Deterioration/TPA Approval Delay</v>
      </c>
      <c r="N1035" s="31">
        <f t="shared" si="227"/>
        <v>7</v>
      </c>
      <c r="O1035" s="27"/>
      <c r="Q1035" s="8">
        <v>0.6777917580267564</v>
      </c>
      <c r="R1035" s="8" t="str">
        <f t="shared" si="228"/>
        <v>Critical Delay</v>
      </c>
      <c r="S1035" s="33">
        <v>3.1598949513467889</v>
      </c>
      <c r="T1035" t="s">
        <v>31</v>
      </c>
      <c r="U1035" s="3">
        <v>2</v>
      </c>
      <c r="V1035" s="3" t="str">
        <f t="shared" si="232"/>
        <v>Normal</v>
      </c>
      <c r="W1035" s="3" t="s">
        <v>50</v>
      </c>
      <c r="X1035" s="32">
        <f t="shared" si="229"/>
        <v>0.21499562296958175</v>
      </c>
      <c r="Z1035" s="38">
        <f t="shared" si="233"/>
        <v>8.9995622969581746E-2</v>
      </c>
      <c r="AC1035" s="36">
        <v>0.125</v>
      </c>
      <c r="AL1035" t="str">
        <f t="shared" si="234"/>
        <v>Health Deterioration/TPA Approval Delay</v>
      </c>
      <c r="AM1035" t="str">
        <f t="shared" si="235"/>
        <v>Yes</v>
      </c>
      <c r="AN1035" t="str">
        <f t="shared" si="236"/>
        <v>Emergency</v>
      </c>
      <c r="AO1035" t="str">
        <f t="shared" si="237"/>
        <v>ICU</v>
      </c>
    </row>
    <row r="1036" spans="1:41" x14ac:dyDescent="0.3">
      <c r="A1036" s="21" t="str">
        <f t="shared" si="230"/>
        <v>UHID-01035</v>
      </c>
      <c r="B1036" s="18">
        <v>70</v>
      </c>
      <c r="C1036" s="10" t="s">
        <v>17</v>
      </c>
      <c r="D1036" s="13" t="s">
        <v>27</v>
      </c>
      <c r="E1036" s="13" t="s">
        <v>10</v>
      </c>
      <c r="F1036" s="15">
        <v>46170.9825930324</v>
      </c>
      <c r="G1036" s="4">
        <v>46170</v>
      </c>
      <c r="H1036" s="1">
        <v>46176.569674004597</v>
      </c>
      <c r="I1036" s="22">
        <v>46176</v>
      </c>
      <c r="J1036" s="24">
        <f t="shared" si="224"/>
        <v>46176.524705537144</v>
      </c>
      <c r="K1036" s="24">
        <f t="shared" si="225"/>
        <v>0.56967400459689088</v>
      </c>
      <c r="L1036" s="29">
        <f t="shared" si="231"/>
        <v>46175</v>
      </c>
      <c r="M1036" s="27" t="str">
        <f t="shared" si="226"/>
        <v>Normal</v>
      </c>
      <c r="N1036" s="31">
        <f t="shared" si="227"/>
        <v>6</v>
      </c>
      <c r="O1036" s="27"/>
      <c r="Q1036" s="8">
        <v>0.4801731951077296</v>
      </c>
      <c r="R1036" s="8" t="str">
        <f t="shared" si="228"/>
        <v>On Time</v>
      </c>
      <c r="S1036" s="33">
        <v>1.0792432188942769</v>
      </c>
      <c r="T1036" t="s">
        <v>31</v>
      </c>
      <c r="U1036" s="3">
        <v>0</v>
      </c>
      <c r="V1036" s="3" t="str">
        <f t="shared" si="232"/>
        <v>Normal</v>
      </c>
      <c r="W1036" s="3" t="s">
        <v>51</v>
      </c>
      <c r="X1036" s="32">
        <f t="shared" si="229"/>
        <v>4.4968467453145422E-2</v>
      </c>
      <c r="Z1036" s="38">
        <f t="shared" si="233"/>
        <v>0</v>
      </c>
      <c r="AC1036" s="36">
        <v>0.125</v>
      </c>
      <c r="AL1036" t="str">
        <f t="shared" si="234"/>
        <v>Normal</v>
      </c>
      <c r="AM1036" t="str">
        <f t="shared" si="235"/>
        <v>No</v>
      </c>
      <c r="AN1036" t="str">
        <f t="shared" si="236"/>
        <v>Elective</v>
      </c>
      <c r="AO1036" t="str">
        <f t="shared" si="237"/>
        <v>HDU</v>
      </c>
    </row>
    <row r="1037" spans="1:41" x14ac:dyDescent="0.3">
      <c r="A1037" s="21" t="str">
        <f t="shared" si="230"/>
        <v>UHID-01036</v>
      </c>
      <c r="B1037" s="18">
        <v>63</v>
      </c>
      <c r="C1037" s="10" t="s">
        <v>17</v>
      </c>
      <c r="D1037" s="13" t="s">
        <v>27</v>
      </c>
      <c r="E1037" s="13" t="s">
        <v>10</v>
      </c>
      <c r="F1037" s="15">
        <v>46178.464908414397</v>
      </c>
      <c r="G1037" s="4">
        <v>46178</v>
      </c>
      <c r="H1037" s="1">
        <v>46184.5681050926</v>
      </c>
      <c r="I1037" s="22">
        <v>46184</v>
      </c>
      <c r="J1037" s="24">
        <f t="shared" si="224"/>
        <v>46184.366309282676</v>
      </c>
      <c r="K1037" s="24">
        <f t="shared" si="225"/>
        <v>0.56810509259958053</v>
      </c>
      <c r="L1037" s="29">
        <f t="shared" si="231"/>
        <v>46183</v>
      </c>
      <c r="M1037" s="27" t="str">
        <f t="shared" si="226"/>
        <v>Medication Change</v>
      </c>
      <c r="N1037" s="31">
        <f t="shared" si="227"/>
        <v>6</v>
      </c>
      <c r="O1037" s="27"/>
      <c r="Q1037" s="8">
        <v>0.34478187716178255</v>
      </c>
      <c r="R1037" s="8" t="str">
        <f t="shared" si="228"/>
        <v>Major Delay</v>
      </c>
      <c r="S1037" s="33">
        <v>1.8430994380958006</v>
      </c>
      <c r="T1037" t="s">
        <v>30</v>
      </c>
      <c r="U1037" s="3">
        <v>3</v>
      </c>
      <c r="V1037" s="3" t="str">
        <f t="shared" si="232"/>
        <v/>
      </c>
      <c r="W1037" s="3" t="s">
        <v>50</v>
      </c>
      <c r="X1037" s="32">
        <f t="shared" si="229"/>
        <v>0.20179580992407864</v>
      </c>
      <c r="Z1037" s="38">
        <f t="shared" si="233"/>
        <v>7.679580992407864E-2</v>
      </c>
      <c r="AC1037" s="36">
        <v>0.125</v>
      </c>
      <c r="AL1037" t="str">
        <f t="shared" si="234"/>
        <v>Medication Change</v>
      </c>
      <c r="AM1037" t="str">
        <f t="shared" si="235"/>
        <v>No</v>
      </c>
      <c r="AN1037" t="str">
        <f t="shared" si="236"/>
        <v>Elective</v>
      </c>
      <c r="AO1037" t="str">
        <f t="shared" si="237"/>
        <v>HDU</v>
      </c>
    </row>
    <row r="1038" spans="1:41" x14ac:dyDescent="0.3">
      <c r="A1038" s="21" t="str">
        <f t="shared" si="230"/>
        <v>UHID-01037</v>
      </c>
      <c r="B1038" s="18">
        <v>48</v>
      </c>
      <c r="C1038" s="10" t="s">
        <v>18</v>
      </c>
      <c r="D1038" s="13" t="s">
        <v>26</v>
      </c>
      <c r="E1038" s="13" t="s">
        <v>10</v>
      </c>
      <c r="F1038" s="15">
        <v>46185.341975995398</v>
      </c>
      <c r="G1038" s="4">
        <v>46185</v>
      </c>
      <c r="H1038" s="1">
        <v>46185.656986238399</v>
      </c>
      <c r="I1038" s="22">
        <v>46185</v>
      </c>
      <c r="J1038" s="24">
        <f t="shared" si="224"/>
        <v>46185.522263250066</v>
      </c>
      <c r="K1038" s="24">
        <f t="shared" si="225"/>
        <v>0.65698623839853099</v>
      </c>
      <c r="L1038" s="29">
        <f t="shared" si="231"/>
        <v>46184</v>
      </c>
      <c r="M1038" s="27" t="str">
        <f t="shared" si="226"/>
        <v>TPA Approval Delay</v>
      </c>
      <c r="N1038" s="31">
        <f t="shared" si="227"/>
        <v>0</v>
      </c>
      <c r="O1038" s="27"/>
      <c r="Q1038" s="8">
        <v>0.71054044717845688</v>
      </c>
      <c r="R1038" s="8" t="str">
        <f t="shared" si="228"/>
        <v>Major Delay</v>
      </c>
      <c r="S1038" s="33">
        <v>3.2333517200099577</v>
      </c>
      <c r="T1038" t="s">
        <v>31</v>
      </c>
      <c r="U1038" s="3">
        <v>0</v>
      </c>
      <c r="V1038" s="3" t="str">
        <f t="shared" si="232"/>
        <v>Normal</v>
      </c>
      <c r="W1038" s="3" t="s">
        <v>51</v>
      </c>
      <c r="X1038" s="32">
        <f t="shared" si="229"/>
        <v>0.1347229883322143</v>
      </c>
      <c r="Z1038" s="38">
        <f t="shared" si="233"/>
        <v>9.7229883322142996E-3</v>
      </c>
      <c r="AC1038" s="36">
        <v>0.125</v>
      </c>
      <c r="AL1038" t="str">
        <f t="shared" si="234"/>
        <v>TPA Approval Delay</v>
      </c>
      <c r="AM1038" t="str">
        <f t="shared" si="235"/>
        <v>No</v>
      </c>
      <c r="AN1038" t="str">
        <f t="shared" si="236"/>
        <v>Elective</v>
      </c>
      <c r="AO1038" t="str">
        <f t="shared" si="237"/>
        <v>General Ward</v>
      </c>
    </row>
    <row r="1039" spans="1:41" x14ac:dyDescent="0.3">
      <c r="A1039" s="21" t="str">
        <f t="shared" si="230"/>
        <v>UHID-01038</v>
      </c>
      <c r="B1039" s="18">
        <v>64</v>
      </c>
      <c r="C1039" s="10" t="s">
        <v>18</v>
      </c>
      <c r="D1039" s="13" t="s">
        <v>26</v>
      </c>
      <c r="E1039" s="13" t="s">
        <v>10</v>
      </c>
      <c r="F1039" s="15">
        <v>46182.741938969899</v>
      </c>
      <c r="G1039" s="4">
        <v>46182</v>
      </c>
      <c r="H1039" s="1">
        <v>46186.712612893498</v>
      </c>
      <c r="I1039" s="22">
        <v>46186</v>
      </c>
      <c r="J1039" s="24">
        <f t="shared" si="224"/>
        <v>46186.55366459542</v>
      </c>
      <c r="K1039" s="24">
        <f t="shared" si="225"/>
        <v>0.71261289349786239</v>
      </c>
      <c r="L1039" s="29">
        <f t="shared" si="231"/>
        <v>46185</v>
      </c>
      <c r="M1039" s="27" t="str">
        <f t="shared" si="226"/>
        <v>TPA Approval Delay</v>
      </c>
      <c r="N1039" s="31">
        <f t="shared" si="227"/>
        <v>4</v>
      </c>
      <c r="O1039" s="27"/>
      <c r="Q1039" s="8">
        <v>0.82344323714794598</v>
      </c>
      <c r="R1039" s="8" t="str">
        <f t="shared" si="228"/>
        <v>Major Delay</v>
      </c>
      <c r="S1039" s="33">
        <v>3.814759153856099</v>
      </c>
      <c r="T1039" t="s">
        <v>31</v>
      </c>
      <c r="U1039" s="3">
        <v>0</v>
      </c>
      <c r="V1039" s="3" t="str">
        <f t="shared" si="232"/>
        <v>Normal</v>
      </c>
      <c r="W1039" s="3" t="s">
        <v>51</v>
      </c>
      <c r="X1039" s="32">
        <f t="shared" si="229"/>
        <v>0.15894829807803035</v>
      </c>
      <c r="Z1039" s="38">
        <f t="shared" si="233"/>
        <v>3.3948298078030348E-2</v>
      </c>
      <c r="AC1039" s="36">
        <v>0.125</v>
      </c>
      <c r="AL1039" t="str">
        <f t="shared" si="234"/>
        <v>TPA Approval Delay</v>
      </c>
      <c r="AM1039" t="str">
        <f t="shared" si="235"/>
        <v>No</v>
      </c>
      <c r="AN1039" t="str">
        <f t="shared" si="236"/>
        <v>Elective</v>
      </c>
      <c r="AO1039" t="str">
        <f t="shared" si="237"/>
        <v>HDU</v>
      </c>
    </row>
    <row r="1040" spans="1:41" x14ac:dyDescent="0.3">
      <c r="A1040" s="21" t="str">
        <f t="shared" si="230"/>
        <v>UHID-01039</v>
      </c>
      <c r="B1040" s="18">
        <v>55</v>
      </c>
      <c r="C1040" s="10" t="s">
        <v>18</v>
      </c>
      <c r="D1040" s="13" t="s">
        <v>28</v>
      </c>
      <c r="E1040" s="13" t="s">
        <v>10</v>
      </c>
      <c r="F1040" s="15">
        <v>46181.043551979201</v>
      </c>
      <c r="G1040" s="4">
        <v>46181</v>
      </c>
      <c r="H1040" s="1">
        <v>46187.516211145798</v>
      </c>
      <c r="I1040" s="22">
        <v>46187</v>
      </c>
      <c r="J1040" s="24">
        <f t="shared" si="224"/>
        <v>46187.322875826016</v>
      </c>
      <c r="K1040" s="24">
        <f t="shared" si="225"/>
        <v>0.51621114579756977</v>
      </c>
      <c r="L1040" s="29">
        <f t="shared" si="231"/>
        <v>46186</v>
      </c>
      <c r="M1040" s="27" t="str">
        <f t="shared" si="226"/>
        <v>Medication Change</v>
      </c>
      <c r="N1040" s="31">
        <f t="shared" si="227"/>
        <v>6</v>
      </c>
      <c r="O1040" s="27"/>
      <c r="Q1040" s="8">
        <v>0.92866741829366495</v>
      </c>
      <c r="R1040" s="8" t="str">
        <f t="shared" si="228"/>
        <v>Major Delay</v>
      </c>
      <c r="S1040" s="33">
        <v>2.6400476748502411</v>
      </c>
      <c r="T1040" t="s">
        <v>31</v>
      </c>
      <c r="U1040" s="3">
        <v>2</v>
      </c>
      <c r="V1040" s="3" t="str">
        <f t="shared" si="232"/>
        <v>Normal</v>
      </c>
      <c r="W1040" s="3" t="s">
        <v>50</v>
      </c>
      <c r="X1040" s="32">
        <f t="shared" si="229"/>
        <v>0.19333531978190877</v>
      </c>
      <c r="Z1040" s="38">
        <f t="shared" si="233"/>
        <v>6.8335319781908765E-2</v>
      </c>
      <c r="AC1040" s="36">
        <v>0.125</v>
      </c>
      <c r="AL1040" t="str">
        <f t="shared" si="234"/>
        <v>Medication Change</v>
      </c>
      <c r="AM1040" t="str">
        <f t="shared" si="235"/>
        <v>No</v>
      </c>
      <c r="AN1040" t="str">
        <f t="shared" si="236"/>
        <v>Emergency</v>
      </c>
      <c r="AO1040" t="str">
        <f t="shared" si="237"/>
        <v>HDU</v>
      </c>
    </row>
    <row r="1041" spans="1:41" x14ac:dyDescent="0.3">
      <c r="A1041" s="21" t="str">
        <f t="shared" si="230"/>
        <v>UHID-01040</v>
      </c>
      <c r="B1041" s="18">
        <v>79</v>
      </c>
      <c r="C1041" s="10" t="s">
        <v>17</v>
      </c>
      <c r="D1041" s="13" t="s">
        <v>26</v>
      </c>
      <c r="E1041" s="13" t="s">
        <v>10</v>
      </c>
      <c r="F1041" s="15">
        <v>46185.743864189797</v>
      </c>
      <c r="G1041" s="4">
        <v>46185</v>
      </c>
      <c r="H1041" s="1">
        <v>46187.516783483799</v>
      </c>
      <c r="I1041" s="22">
        <v>46187</v>
      </c>
      <c r="J1041" s="24">
        <f t="shared" si="224"/>
        <v>46187.238874669769</v>
      </c>
      <c r="K1041" s="24">
        <f t="shared" si="225"/>
        <v>0.51678348379937233</v>
      </c>
      <c r="L1041" s="29">
        <f t="shared" si="231"/>
        <v>46186</v>
      </c>
      <c r="M1041" s="27" t="str">
        <f t="shared" si="226"/>
        <v>Health Deterioration/TPA Approval Delay</v>
      </c>
      <c r="N1041" s="31">
        <f t="shared" si="227"/>
        <v>2</v>
      </c>
      <c r="O1041" s="27"/>
      <c r="Q1041" s="8">
        <v>0.67842233194197588</v>
      </c>
      <c r="R1041" s="8" t="str">
        <f t="shared" si="228"/>
        <v>Critical Delay</v>
      </c>
      <c r="S1041" s="33">
        <v>3.6698115367108723</v>
      </c>
      <c r="T1041" t="s">
        <v>31</v>
      </c>
      <c r="U1041" s="3">
        <v>3</v>
      </c>
      <c r="V1041" s="3" t="str">
        <f t="shared" si="232"/>
        <v>Normal</v>
      </c>
      <c r="W1041" s="3" t="s">
        <v>50</v>
      </c>
      <c r="X1041" s="32">
        <f t="shared" si="229"/>
        <v>0.27790881403052481</v>
      </c>
      <c r="Z1041" s="38">
        <f t="shared" si="233"/>
        <v>0.15290881403052481</v>
      </c>
      <c r="AC1041" s="36">
        <v>0.125</v>
      </c>
      <c r="AL1041" t="str">
        <f t="shared" si="234"/>
        <v>Health Deterioration/TPA Approval Delay</v>
      </c>
      <c r="AM1041" t="str">
        <f t="shared" si="235"/>
        <v>Yes</v>
      </c>
      <c r="AN1041" t="str">
        <f t="shared" si="236"/>
        <v>Emergency</v>
      </c>
      <c r="AO1041" t="str">
        <f t="shared" si="237"/>
        <v>General Ward</v>
      </c>
    </row>
    <row r="1042" spans="1:41" x14ac:dyDescent="0.3">
      <c r="A1042" s="21" t="str">
        <f t="shared" si="230"/>
        <v>UHID-01041</v>
      </c>
      <c r="B1042" s="18">
        <v>42</v>
      </c>
      <c r="C1042" s="10" t="s">
        <v>18</v>
      </c>
      <c r="D1042" s="13" t="s">
        <v>26</v>
      </c>
      <c r="E1042" s="13" t="s">
        <v>10</v>
      </c>
      <c r="F1042" s="15">
        <v>46186.825345011603</v>
      </c>
      <c r="G1042" s="4">
        <v>46186</v>
      </c>
      <c r="H1042" s="1">
        <v>46188.527062233799</v>
      </c>
      <c r="I1042" s="22">
        <v>46188</v>
      </c>
      <c r="J1042" s="24">
        <f t="shared" si="224"/>
        <v>46188.394539137138</v>
      </c>
      <c r="K1042" s="24">
        <f t="shared" si="225"/>
        <v>0.52706223379937001</v>
      </c>
      <c r="L1042" s="29">
        <f t="shared" si="231"/>
        <v>46187</v>
      </c>
      <c r="M1042" s="27" t="str">
        <f t="shared" si="226"/>
        <v>TPA Approval Delay</v>
      </c>
      <c r="N1042" s="31">
        <f t="shared" si="227"/>
        <v>2</v>
      </c>
      <c r="O1042" s="27"/>
      <c r="Q1042" s="8">
        <v>0.64050328301485293</v>
      </c>
      <c r="R1042" s="8" t="str">
        <f t="shared" si="228"/>
        <v>Major Delay</v>
      </c>
      <c r="S1042" s="33">
        <v>3.1805543199137301</v>
      </c>
      <c r="T1042" t="s">
        <v>31</v>
      </c>
      <c r="U1042" s="3">
        <v>0</v>
      </c>
      <c r="V1042" s="3" t="str">
        <f t="shared" si="232"/>
        <v>Normal</v>
      </c>
      <c r="W1042" s="3" t="s">
        <v>51</v>
      </c>
      <c r="X1042" s="32">
        <f t="shared" si="229"/>
        <v>0.13252309666131623</v>
      </c>
      <c r="Z1042" s="38">
        <f t="shared" si="233"/>
        <v>7.5230966613162309E-3</v>
      </c>
      <c r="AC1042" s="36">
        <v>0.125</v>
      </c>
      <c r="AL1042" t="str">
        <f t="shared" si="234"/>
        <v>TPA Approval Delay</v>
      </c>
      <c r="AM1042" t="str">
        <f t="shared" si="235"/>
        <v>No</v>
      </c>
      <c r="AN1042" t="str">
        <f t="shared" si="236"/>
        <v>Elective</v>
      </c>
      <c r="AO1042" t="str">
        <f t="shared" si="237"/>
        <v>General Ward</v>
      </c>
    </row>
    <row r="1043" spans="1:41" x14ac:dyDescent="0.3">
      <c r="A1043" s="21" t="str">
        <f t="shared" si="230"/>
        <v>UHID-01042</v>
      </c>
      <c r="B1043" s="18">
        <v>59</v>
      </c>
      <c r="C1043" s="10" t="s">
        <v>18</v>
      </c>
      <c r="D1043" s="13" t="s">
        <v>26</v>
      </c>
      <c r="E1043" s="13" t="s">
        <v>10</v>
      </c>
      <c r="F1043" s="15">
        <v>46177.751335902802</v>
      </c>
      <c r="G1043" s="4">
        <v>46177</v>
      </c>
      <c r="H1043" s="1">
        <v>46189.454270231501</v>
      </c>
      <c r="I1043" s="22">
        <v>46189</v>
      </c>
      <c r="J1043" s="24">
        <f t="shared" si="224"/>
        <v>46189.298135963967</v>
      </c>
      <c r="K1043" s="24">
        <f t="shared" si="225"/>
        <v>0.4542702315011411</v>
      </c>
      <c r="L1043" s="29">
        <f t="shared" si="231"/>
        <v>46188</v>
      </c>
      <c r="M1043" s="27" t="str">
        <f t="shared" si="226"/>
        <v>TPA Approval Delay</v>
      </c>
      <c r="N1043" s="31">
        <f t="shared" si="227"/>
        <v>12</v>
      </c>
      <c r="O1043" s="27"/>
      <c r="Q1043" s="8">
        <v>0.6741627022201675</v>
      </c>
      <c r="R1043" s="8" t="str">
        <f t="shared" si="228"/>
        <v>Major Delay</v>
      </c>
      <c r="S1043" s="33">
        <v>3.7472224208911613</v>
      </c>
      <c r="T1043" t="s">
        <v>31</v>
      </c>
      <c r="U1043" s="3">
        <v>0</v>
      </c>
      <c r="V1043" s="3" t="str">
        <f t="shared" si="232"/>
        <v>Normal</v>
      </c>
      <c r="W1043" s="3" t="s">
        <v>51</v>
      </c>
      <c r="X1043" s="32">
        <f t="shared" si="229"/>
        <v>0.15613426753407111</v>
      </c>
      <c r="Z1043" s="38">
        <f t="shared" si="233"/>
        <v>3.1134267534071114E-2</v>
      </c>
      <c r="AC1043" s="36">
        <v>0.125</v>
      </c>
      <c r="AL1043" t="str">
        <f t="shared" si="234"/>
        <v>TPA Approval Delay</v>
      </c>
      <c r="AM1043" t="str">
        <f t="shared" si="235"/>
        <v>Yes</v>
      </c>
      <c r="AN1043" t="str">
        <f t="shared" si="236"/>
        <v>Emergency</v>
      </c>
      <c r="AO1043" t="str">
        <f t="shared" si="237"/>
        <v>ICU</v>
      </c>
    </row>
    <row r="1044" spans="1:41" x14ac:dyDescent="0.3">
      <c r="A1044" s="21" t="str">
        <f t="shared" si="230"/>
        <v>UHID-01043</v>
      </c>
      <c r="B1044" s="18">
        <v>74</v>
      </c>
      <c r="C1044" s="10" t="s">
        <v>17</v>
      </c>
      <c r="D1044" s="13" t="s">
        <v>27</v>
      </c>
      <c r="E1044" s="13" t="s">
        <v>10</v>
      </c>
      <c r="F1044" s="15">
        <v>46174.515665161998</v>
      </c>
      <c r="G1044" s="4">
        <v>46174</v>
      </c>
      <c r="H1044" s="1">
        <v>46189.532759097201</v>
      </c>
      <c r="I1044" s="22">
        <v>46189</v>
      </c>
      <c r="J1044" s="24">
        <f t="shared" si="224"/>
        <v>46189.469084380748</v>
      </c>
      <c r="K1044" s="24">
        <f t="shared" si="225"/>
        <v>0.53275909720105119</v>
      </c>
      <c r="L1044" s="29">
        <f t="shared" si="231"/>
        <v>46188</v>
      </c>
      <c r="M1044" s="27" t="str">
        <f t="shared" si="226"/>
        <v>Normal</v>
      </c>
      <c r="N1044" s="31">
        <f t="shared" si="227"/>
        <v>15</v>
      </c>
      <c r="O1044" s="27"/>
      <c r="Q1044" s="8">
        <v>0.20750736126221225</v>
      </c>
      <c r="R1044" s="8" t="str">
        <f t="shared" si="228"/>
        <v>On Time</v>
      </c>
      <c r="S1044" s="33">
        <v>1.5281931948239822</v>
      </c>
      <c r="T1044" t="s">
        <v>30</v>
      </c>
      <c r="U1044" s="3">
        <v>0</v>
      </c>
      <c r="V1044" s="3" t="str">
        <f t="shared" si="232"/>
        <v/>
      </c>
      <c r="W1044" s="3" t="s">
        <v>51</v>
      </c>
      <c r="X1044" s="32">
        <f t="shared" si="229"/>
        <v>6.367471645353362E-2</v>
      </c>
      <c r="Z1044" s="38">
        <f t="shared" si="233"/>
        <v>0</v>
      </c>
      <c r="AC1044" s="36">
        <v>0.125</v>
      </c>
      <c r="AL1044" t="str">
        <f t="shared" si="234"/>
        <v>Normal</v>
      </c>
      <c r="AM1044" t="str">
        <f t="shared" si="235"/>
        <v>Yes</v>
      </c>
      <c r="AN1044" t="str">
        <f t="shared" si="236"/>
        <v>Emergency</v>
      </c>
      <c r="AO1044" t="str">
        <f t="shared" si="237"/>
        <v>ICU</v>
      </c>
    </row>
    <row r="1045" spans="1:41" x14ac:dyDescent="0.3">
      <c r="A1045" s="21" t="str">
        <f t="shared" si="230"/>
        <v>UHID-01044</v>
      </c>
      <c r="B1045" s="18">
        <v>23</v>
      </c>
      <c r="C1045" s="10" t="s">
        <v>18</v>
      </c>
      <c r="D1045" s="13" t="s">
        <v>27</v>
      </c>
      <c r="E1045" s="13" t="s">
        <v>10</v>
      </c>
      <c r="F1045" s="15">
        <v>46188.686590821802</v>
      </c>
      <c r="G1045" s="4">
        <v>46188</v>
      </c>
      <c r="H1045" s="1">
        <v>46190.670861574101</v>
      </c>
      <c r="I1045" s="22">
        <v>46190</v>
      </c>
      <c r="J1045" s="24">
        <f t="shared" si="224"/>
        <v>46190.531604742428</v>
      </c>
      <c r="K1045" s="24">
        <f t="shared" si="225"/>
        <v>0.67086157410085434</v>
      </c>
      <c r="L1045" s="29">
        <f t="shared" si="231"/>
        <v>46189</v>
      </c>
      <c r="M1045" s="27" t="str">
        <f t="shared" si="226"/>
        <v>Medication Change</v>
      </c>
      <c r="N1045" s="31">
        <f t="shared" si="227"/>
        <v>2</v>
      </c>
      <c r="O1045" s="27"/>
      <c r="Q1045" s="8">
        <v>0.33486134345465113</v>
      </c>
      <c r="R1045" s="8" t="str">
        <f t="shared" si="228"/>
        <v>Major Delay</v>
      </c>
      <c r="S1045" s="33">
        <v>1.3421639602439428</v>
      </c>
      <c r="T1045" t="s">
        <v>30</v>
      </c>
      <c r="U1045" s="3">
        <v>2</v>
      </c>
      <c r="V1045" s="3" t="str">
        <f t="shared" si="232"/>
        <v/>
      </c>
      <c r="W1045" s="3" t="s">
        <v>50</v>
      </c>
      <c r="X1045" s="32">
        <f t="shared" si="229"/>
        <v>0.13925683167326497</v>
      </c>
      <c r="Z1045" s="38">
        <f t="shared" si="233"/>
        <v>1.4256831673264969E-2</v>
      </c>
      <c r="AC1045" s="36">
        <v>0.125</v>
      </c>
      <c r="AL1045" t="str">
        <f t="shared" si="234"/>
        <v>Medication Change</v>
      </c>
      <c r="AM1045" t="str">
        <f t="shared" si="235"/>
        <v>No</v>
      </c>
      <c r="AN1045" t="str">
        <f t="shared" si="236"/>
        <v>Elective</v>
      </c>
      <c r="AO1045" t="str">
        <f t="shared" si="237"/>
        <v>General Ward</v>
      </c>
    </row>
    <row r="1046" spans="1:41" x14ac:dyDescent="0.3">
      <c r="A1046" s="21" t="str">
        <f t="shared" si="230"/>
        <v>UHID-01045</v>
      </c>
      <c r="B1046" s="18">
        <v>70</v>
      </c>
      <c r="C1046" s="10" t="s">
        <v>18</v>
      </c>
      <c r="D1046" s="13" t="s">
        <v>27</v>
      </c>
      <c r="E1046" s="13" t="s">
        <v>10</v>
      </c>
      <c r="F1046" s="15">
        <v>46184.827161192101</v>
      </c>
      <c r="G1046" s="4">
        <v>46184</v>
      </c>
      <c r="H1046" s="1">
        <v>46190.563225590296</v>
      </c>
      <c r="I1046" s="22">
        <v>46190</v>
      </c>
      <c r="J1046" s="24">
        <f t="shared" si="224"/>
        <v>46190.389896874112</v>
      </c>
      <c r="K1046" s="24">
        <f t="shared" si="225"/>
        <v>0.5632255902964971</v>
      </c>
      <c r="L1046" s="29">
        <f t="shared" si="231"/>
        <v>46189</v>
      </c>
      <c r="M1046" s="27" t="str">
        <f t="shared" si="226"/>
        <v>Medication Change</v>
      </c>
      <c r="N1046" s="31">
        <f t="shared" si="227"/>
        <v>6</v>
      </c>
      <c r="O1046" s="27"/>
      <c r="Q1046" s="8">
        <v>0.35029160344685217</v>
      </c>
      <c r="R1046" s="8" t="str">
        <f t="shared" si="228"/>
        <v>Major Delay</v>
      </c>
      <c r="S1046" s="33">
        <v>1.159889188488497</v>
      </c>
      <c r="T1046" t="s">
        <v>31</v>
      </c>
      <c r="U1046" s="3">
        <v>3</v>
      </c>
      <c r="V1046" s="3" t="str">
        <f t="shared" si="232"/>
        <v>Normal</v>
      </c>
      <c r="W1046" s="3" t="s">
        <v>50</v>
      </c>
      <c r="X1046" s="32">
        <f t="shared" si="229"/>
        <v>0.17332871618418721</v>
      </c>
      <c r="Z1046" s="38">
        <f t="shared" si="233"/>
        <v>4.8328716184187215E-2</v>
      </c>
      <c r="AC1046" s="36">
        <v>0.125</v>
      </c>
      <c r="AL1046" t="str">
        <f t="shared" si="234"/>
        <v>Medication Change</v>
      </c>
      <c r="AM1046" t="str">
        <f t="shared" si="235"/>
        <v>No</v>
      </c>
      <c r="AN1046" t="str">
        <f t="shared" si="236"/>
        <v>Elective</v>
      </c>
      <c r="AO1046" t="str">
        <f t="shared" si="237"/>
        <v>HDU</v>
      </c>
    </row>
    <row r="1047" spans="1:41" x14ac:dyDescent="0.3">
      <c r="A1047" s="21" t="str">
        <f t="shared" si="230"/>
        <v>UHID-01046</v>
      </c>
      <c r="B1047" s="18">
        <v>72</v>
      </c>
      <c r="C1047" s="10" t="s">
        <v>17</v>
      </c>
      <c r="D1047" s="13" t="s">
        <v>26</v>
      </c>
      <c r="E1047" s="13" t="s">
        <v>10</v>
      </c>
      <c r="F1047" s="15">
        <v>46190.100809108801</v>
      </c>
      <c r="G1047" s="4">
        <v>46190</v>
      </c>
      <c r="H1047" s="1">
        <v>46191.647278784701</v>
      </c>
      <c r="I1047" s="22">
        <v>46191</v>
      </c>
      <c r="J1047" s="24">
        <f t="shared" si="224"/>
        <v>46191.494980010386</v>
      </c>
      <c r="K1047" s="24">
        <f t="shared" si="225"/>
        <v>0.64727878470148426</v>
      </c>
      <c r="L1047" s="29">
        <f t="shared" si="231"/>
        <v>46190</v>
      </c>
      <c r="M1047" s="27" t="str">
        <f t="shared" si="226"/>
        <v>TPA Approval Delay</v>
      </c>
      <c r="N1047" s="31">
        <f t="shared" si="227"/>
        <v>1</v>
      </c>
      <c r="O1047" s="27"/>
      <c r="Q1047" s="8">
        <v>0.71533316202630293</v>
      </c>
      <c r="R1047" s="8" t="str">
        <f t="shared" si="228"/>
        <v>Major Delay</v>
      </c>
      <c r="S1047" s="33">
        <v>3.655170583508542</v>
      </c>
      <c r="T1047" t="s">
        <v>31</v>
      </c>
      <c r="U1047" s="3">
        <v>0</v>
      </c>
      <c r="V1047" s="3" t="str">
        <f t="shared" si="232"/>
        <v>Normal</v>
      </c>
      <c r="W1047" s="3" t="s">
        <v>51</v>
      </c>
      <c r="X1047" s="32">
        <f t="shared" si="229"/>
        <v>0.15229877431556815</v>
      </c>
      <c r="Z1047" s="38">
        <f t="shared" si="233"/>
        <v>2.7298774315568153E-2</v>
      </c>
      <c r="AC1047" s="36">
        <v>0.125</v>
      </c>
      <c r="AL1047" t="str">
        <f t="shared" si="234"/>
        <v>TPA Approval Delay</v>
      </c>
      <c r="AM1047" t="str">
        <f t="shared" si="235"/>
        <v>No</v>
      </c>
      <c r="AN1047" t="str">
        <f t="shared" si="236"/>
        <v>Elective</v>
      </c>
      <c r="AO1047" t="str">
        <f t="shared" si="237"/>
        <v>General Ward</v>
      </c>
    </row>
    <row r="1048" spans="1:41" x14ac:dyDescent="0.3">
      <c r="A1048" s="21" t="str">
        <f t="shared" si="230"/>
        <v>UHID-01047</v>
      </c>
      <c r="B1048" s="18">
        <v>71</v>
      </c>
      <c r="C1048" s="10" t="s">
        <v>17</v>
      </c>
      <c r="D1048" s="13" t="s">
        <v>27</v>
      </c>
      <c r="E1048" s="13" t="s">
        <v>10</v>
      </c>
      <c r="F1048" s="15">
        <v>46184.729475428197</v>
      </c>
      <c r="G1048" s="4">
        <v>46184</v>
      </c>
      <c r="H1048" s="1">
        <v>46191.5781088773</v>
      </c>
      <c r="I1048" s="22">
        <v>46191</v>
      </c>
      <c r="J1048" s="24">
        <f t="shared" si="224"/>
        <v>46191.532189752419</v>
      </c>
      <c r="K1048" s="24">
        <f t="shared" si="225"/>
        <v>0.57810887730011018</v>
      </c>
      <c r="L1048" s="29">
        <f t="shared" si="231"/>
        <v>46190</v>
      </c>
      <c r="M1048" s="27" t="str">
        <f t="shared" si="226"/>
        <v>Normal</v>
      </c>
      <c r="N1048" s="31">
        <f t="shared" si="227"/>
        <v>7</v>
      </c>
      <c r="O1048" s="27"/>
      <c r="Q1048" s="8">
        <v>0.13745252968362653</v>
      </c>
      <c r="R1048" s="8" t="str">
        <f t="shared" si="228"/>
        <v>On Time</v>
      </c>
      <c r="S1048" s="33">
        <v>1.1020589971537684</v>
      </c>
      <c r="T1048" t="s">
        <v>30</v>
      </c>
      <c r="U1048" s="3">
        <v>0</v>
      </c>
      <c r="V1048" s="3" t="str">
        <f t="shared" si="232"/>
        <v/>
      </c>
      <c r="W1048" s="3" t="s">
        <v>51</v>
      </c>
      <c r="X1048" s="32">
        <f t="shared" si="229"/>
        <v>4.5919124881038442E-2</v>
      </c>
      <c r="Z1048" s="38">
        <f t="shared" si="233"/>
        <v>0</v>
      </c>
      <c r="AC1048" s="36">
        <v>0.125</v>
      </c>
      <c r="AL1048" t="str">
        <f t="shared" si="234"/>
        <v>Normal</v>
      </c>
      <c r="AM1048" t="str">
        <f t="shared" si="235"/>
        <v>No</v>
      </c>
      <c r="AN1048" t="str">
        <f t="shared" si="236"/>
        <v>Emergency</v>
      </c>
      <c r="AO1048" t="str">
        <f t="shared" si="237"/>
        <v>ICU</v>
      </c>
    </row>
    <row r="1049" spans="1:41" x14ac:dyDescent="0.3">
      <c r="A1049" s="21" t="str">
        <f t="shared" si="230"/>
        <v>UHID-01048</v>
      </c>
      <c r="B1049" s="18">
        <v>50</v>
      </c>
      <c r="C1049" s="10" t="s">
        <v>17</v>
      </c>
      <c r="D1049" s="13" t="s">
        <v>28</v>
      </c>
      <c r="E1049" s="13" t="s">
        <v>10</v>
      </c>
      <c r="F1049" s="15">
        <v>46190.090379039299</v>
      </c>
      <c r="G1049" s="4">
        <v>46190</v>
      </c>
      <c r="H1049" s="1">
        <v>46191.6506619676</v>
      </c>
      <c r="I1049" s="22">
        <v>46191</v>
      </c>
      <c r="J1049" s="24">
        <f t="shared" si="224"/>
        <v>46191.431048955281</v>
      </c>
      <c r="K1049" s="24">
        <f t="shared" si="225"/>
        <v>0.65066196760017192</v>
      </c>
      <c r="L1049" s="29">
        <f t="shared" si="231"/>
        <v>46190</v>
      </c>
      <c r="M1049" s="27" t="str">
        <f t="shared" si="226"/>
        <v>Health Deterioration</v>
      </c>
      <c r="N1049" s="31">
        <f t="shared" si="227"/>
        <v>1</v>
      </c>
      <c r="O1049" s="27"/>
      <c r="Q1049" s="8">
        <v>0.87586439930062909</v>
      </c>
      <c r="R1049" s="8" t="str">
        <f t="shared" si="228"/>
        <v>Critical Delay</v>
      </c>
      <c r="S1049" s="33">
        <v>2.2707122957381061</v>
      </c>
      <c r="T1049" t="s">
        <v>31</v>
      </c>
      <c r="U1049" s="3">
        <v>3</v>
      </c>
      <c r="V1049" s="3" t="str">
        <f t="shared" si="232"/>
        <v>Normal</v>
      </c>
      <c r="W1049" s="3" t="s">
        <v>50</v>
      </c>
      <c r="X1049" s="32">
        <f t="shared" si="229"/>
        <v>0.21961301231931429</v>
      </c>
      <c r="Z1049" s="38">
        <f t="shared" si="233"/>
        <v>9.4613012319314294E-2</v>
      </c>
      <c r="AC1049" s="36">
        <v>0.125</v>
      </c>
      <c r="AL1049" t="str">
        <f t="shared" si="234"/>
        <v>Health Deterioration</v>
      </c>
      <c r="AM1049" t="str">
        <f t="shared" si="235"/>
        <v>No</v>
      </c>
      <c r="AN1049" t="str">
        <f t="shared" si="236"/>
        <v>Elective</v>
      </c>
      <c r="AO1049" t="str">
        <f t="shared" si="237"/>
        <v>General Ward</v>
      </c>
    </row>
    <row r="1050" spans="1:41" x14ac:dyDescent="0.3">
      <c r="A1050" s="21" t="str">
        <f t="shared" si="230"/>
        <v>UHID-01049</v>
      </c>
      <c r="B1050" s="18">
        <v>50</v>
      </c>
      <c r="C1050" s="10" t="s">
        <v>17</v>
      </c>
      <c r="D1050" s="13" t="s">
        <v>27</v>
      </c>
      <c r="E1050" s="13" t="s">
        <v>10</v>
      </c>
      <c r="F1050" s="15">
        <v>46184.630662858799</v>
      </c>
      <c r="G1050" s="4">
        <v>46184</v>
      </c>
      <c r="H1050" s="1">
        <v>46191.614643831002</v>
      </c>
      <c r="I1050" s="22">
        <v>46191</v>
      </c>
      <c r="J1050" s="24">
        <f t="shared" si="224"/>
        <v>46191.555021084132</v>
      </c>
      <c r="K1050" s="24">
        <f t="shared" si="225"/>
        <v>0.61464383100246778</v>
      </c>
      <c r="L1050" s="29">
        <f t="shared" si="231"/>
        <v>46190</v>
      </c>
      <c r="M1050" s="27" t="str">
        <f t="shared" si="226"/>
        <v>Normal</v>
      </c>
      <c r="N1050" s="31">
        <f t="shared" si="227"/>
        <v>7</v>
      </c>
      <c r="O1050" s="27"/>
      <c r="Q1050" s="8">
        <v>0.19330661008724837</v>
      </c>
      <c r="R1050" s="8" t="str">
        <f t="shared" si="228"/>
        <v>On Time</v>
      </c>
      <c r="S1050" s="33">
        <v>1.4309459249339174</v>
      </c>
      <c r="T1050" t="s">
        <v>30</v>
      </c>
      <c r="U1050" s="3">
        <v>0</v>
      </c>
      <c r="V1050" s="3" t="str">
        <f t="shared" si="232"/>
        <v/>
      </c>
      <c r="W1050" s="3" t="s">
        <v>51</v>
      </c>
      <c r="X1050" s="32">
        <f t="shared" si="229"/>
        <v>5.9622746870445553E-2</v>
      </c>
      <c r="Z1050" s="38">
        <f t="shared" si="233"/>
        <v>0</v>
      </c>
      <c r="AC1050" s="36">
        <v>0.125</v>
      </c>
      <c r="AL1050" t="str">
        <f t="shared" si="234"/>
        <v>Normal</v>
      </c>
      <c r="AM1050" t="str">
        <f t="shared" si="235"/>
        <v>No</v>
      </c>
      <c r="AN1050" t="str">
        <f t="shared" si="236"/>
        <v>Emergency</v>
      </c>
      <c r="AO1050" t="str">
        <f t="shared" si="237"/>
        <v>ICU</v>
      </c>
    </row>
    <row r="1051" spans="1:41" x14ac:dyDescent="0.3">
      <c r="A1051" s="21" t="str">
        <f t="shared" si="230"/>
        <v>UHID-01050</v>
      </c>
      <c r="B1051" s="18">
        <v>59</v>
      </c>
      <c r="C1051" s="10" t="s">
        <v>18</v>
      </c>
      <c r="D1051" s="13" t="s">
        <v>26</v>
      </c>
      <c r="E1051" s="13" t="s">
        <v>10</v>
      </c>
      <c r="F1051" s="15">
        <v>46186.813389189803</v>
      </c>
      <c r="G1051" s="4">
        <v>46186</v>
      </c>
      <c r="H1051" s="1">
        <v>46193.435020358796</v>
      </c>
      <c r="I1051" s="22">
        <v>46193</v>
      </c>
      <c r="J1051" s="24">
        <f t="shared" si="224"/>
        <v>46193.300260139033</v>
      </c>
      <c r="K1051" s="24">
        <f t="shared" si="225"/>
        <v>0.43502035879646428</v>
      </c>
      <c r="L1051" s="29">
        <f t="shared" si="231"/>
        <v>46192</v>
      </c>
      <c r="M1051" s="27" t="str">
        <f t="shared" si="226"/>
        <v>TPA Approval Delay</v>
      </c>
      <c r="N1051" s="31">
        <f t="shared" si="227"/>
        <v>7</v>
      </c>
      <c r="O1051" s="27"/>
      <c r="Q1051" s="8">
        <v>0.75016610519807647</v>
      </c>
      <c r="R1051" s="8" t="str">
        <f t="shared" si="228"/>
        <v>Major Delay</v>
      </c>
      <c r="S1051" s="33">
        <v>3.2342452743169341</v>
      </c>
      <c r="T1051" t="s">
        <v>31</v>
      </c>
      <c r="U1051" s="3">
        <v>0</v>
      </c>
      <c r="V1051" s="3" t="str">
        <f t="shared" si="232"/>
        <v>Normal</v>
      </c>
      <c r="W1051" s="3" t="s">
        <v>51</v>
      </c>
      <c r="X1051" s="32">
        <f t="shared" si="229"/>
        <v>0.134760219763848</v>
      </c>
      <c r="Z1051" s="38">
        <f t="shared" si="233"/>
        <v>9.7602197638479993E-3</v>
      </c>
      <c r="AC1051" s="36">
        <v>0.125</v>
      </c>
      <c r="AL1051" t="str">
        <f t="shared" si="234"/>
        <v>TPA Approval Delay</v>
      </c>
      <c r="AM1051" t="str">
        <f t="shared" si="235"/>
        <v>No</v>
      </c>
      <c r="AN1051" t="str">
        <f t="shared" si="236"/>
        <v>Emergency</v>
      </c>
      <c r="AO1051" t="str">
        <f t="shared" si="237"/>
        <v>ICU</v>
      </c>
    </row>
    <row r="1052" spans="1:41" x14ac:dyDescent="0.3">
      <c r="A1052" s="21" t="str">
        <f t="shared" si="230"/>
        <v>UHID-01051</v>
      </c>
      <c r="B1052" s="18">
        <v>48</v>
      </c>
      <c r="C1052" s="10" t="s">
        <v>18</v>
      </c>
      <c r="D1052" s="13" t="s">
        <v>26</v>
      </c>
      <c r="E1052" s="13" t="s">
        <v>10</v>
      </c>
      <c r="F1052" s="15">
        <v>46190.991452199101</v>
      </c>
      <c r="G1052" s="4">
        <v>46190</v>
      </c>
      <c r="H1052" s="1">
        <v>46194.5183552546</v>
      </c>
      <c r="I1052" s="22">
        <v>46194</v>
      </c>
      <c r="J1052" s="24">
        <f t="shared" si="224"/>
        <v>46194.358498860267</v>
      </c>
      <c r="K1052" s="24">
        <f t="shared" si="225"/>
        <v>0.51835525460046483</v>
      </c>
      <c r="L1052" s="29">
        <f t="shared" si="231"/>
        <v>46193</v>
      </c>
      <c r="M1052" s="27" t="str">
        <f t="shared" si="226"/>
        <v>TPA Approval Delay</v>
      </c>
      <c r="N1052" s="31">
        <f t="shared" si="227"/>
        <v>4</v>
      </c>
      <c r="O1052" s="27"/>
      <c r="Q1052" s="8">
        <v>0.76930363569327931</v>
      </c>
      <c r="R1052" s="8" t="str">
        <f t="shared" si="228"/>
        <v>Major Delay</v>
      </c>
      <c r="S1052" s="33">
        <v>3.836553464056244</v>
      </c>
      <c r="T1052" t="s">
        <v>31</v>
      </c>
      <c r="U1052" s="3">
        <v>0</v>
      </c>
      <c r="V1052" s="3" t="str">
        <f t="shared" si="232"/>
        <v>Normal</v>
      </c>
      <c r="W1052" s="3" t="s">
        <v>51</v>
      </c>
      <c r="X1052" s="32">
        <f t="shared" si="229"/>
        <v>0.15985639433347387</v>
      </c>
      <c r="Z1052" s="38">
        <f t="shared" si="233"/>
        <v>3.4856394333473872E-2</v>
      </c>
      <c r="AC1052" s="36">
        <v>0.125</v>
      </c>
      <c r="AL1052" t="str">
        <f t="shared" si="234"/>
        <v>TPA Approval Delay</v>
      </c>
      <c r="AM1052" t="str">
        <f t="shared" si="235"/>
        <v>No</v>
      </c>
      <c r="AN1052" t="str">
        <f t="shared" si="236"/>
        <v>Elective</v>
      </c>
      <c r="AO1052" t="str">
        <f t="shared" si="237"/>
        <v>HDU</v>
      </c>
    </row>
    <row r="1053" spans="1:41" x14ac:dyDescent="0.3">
      <c r="A1053" s="21" t="str">
        <f t="shared" si="230"/>
        <v>UHID-01052</v>
      </c>
      <c r="B1053" s="18">
        <v>67</v>
      </c>
      <c r="C1053" s="10" t="s">
        <v>17</v>
      </c>
      <c r="D1053" s="13" t="s">
        <v>27</v>
      </c>
      <c r="E1053" s="13" t="s">
        <v>10</v>
      </c>
      <c r="F1053" s="15">
        <v>46189.419860659698</v>
      </c>
      <c r="G1053" s="4">
        <v>46189</v>
      </c>
      <c r="H1053" s="1">
        <v>46196.550051562503</v>
      </c>
      <c r="I1053" s="22">
        <v>46196</v>
      </c>
      <c r="J1053" s="24">
        <f t="shared" si="224"/>
        <v>46196.336785278552</v>
      </c>
      <c r="K1053" s="24">
        <f t="shared" si="225"/>
        <v>0.55005156250263099</v>
      </c>
      <c r="L1053" s="29">
        <f t="shared" si="231"/>
        <v>46195</v>
      </c>
      <c r="M1053" s="27" t="str">
        <f t="shared" si="226"/>
        <v>Health Deterioration</v>
      </c>
      <c r="N1053" s="31">
        <f t="shared" si="227"/>
        <v>7</v>
      </c>
      <c r="O1053" s="27"/>
      <c r="Q1053" s="8">
        <v>0.38704917049767673</v>
      </c>
      <c r="R1053" s="8" t="str">
        <f t="shared" si="228"/>
        <v>Critical Delay</v>
      </c>
      <c r="S1053" s="33">
        <v>1.1183908148371333</v>
      </c>
      <c r="T1053" t="s">
        <v>31</v>
      </c>
      <c r="U1053" s="3">
        <v>4</v>
      </c>
      <c r="V1053" s="3" t="str">
        <f t="shared" si="232"/>
        <v>Normal</v>
      </c>
      <c r="W1053" s="3" t="s">
        <v>50</v>
      </c>
      <c r="X1053" s="32">
        <f t="shared" si="229"/>
        <v>0.21326628395036096</v>
      </c>
      <c r="Z1053" s="38">
        <f t="shared" si="233"/>
        <v>8.8266283950360958E-2</v>
      </c>
      <c r="AC1053" s="36">
        <v>0.125</v>
      </c>
      <c r="AL1053" t="str">
        <f t="shared" si="234"/>
        <v>Health Deterioration</v>
      </c>
      <c r="AM1053" t="str">
        <f t="shared" si="235"/>
        <v>Yes</v>
      </c>
      <c r="AN1053" t="str">
        <f t="shared" si="236"/>
        <v>Emergency</v>
      </c>
      <c r="AO1053" t="str">
        <f t="shared" si="237"/>
        <v>ICU</v>
      </c>
    </row>
    <row r="1054" spans="1:41" x14ac:dyDescent="0.3">
      <c r="A1054" s="21" t="str">
        <f t="shared" si="230"/>
        <v>UHID-01053</v>
      </c>
      <c r="B1054" s="18">
        <v>50</v>
      </c>
      <c r="C1054" s="10" t="s">
        <v>18</v>
      </c>
      <c r="D1054" s="13" t="s">
        <v>28</v>
      </c>
      <c r="E1054" s="13" t="s">
        <v>10</v>
      </c>
      <c r="F1054" s="15">
        <v>46194.669648194402</v>
      </c>
      <c r="G1054" s="4">
        <v>46194</v>
      </c>
      <c r="H1054" s="1">
        <v>46196.651331446803</v>
      </c>
      <c r="I1054" s="22">
        <v>46196</v>
      </c>
      <c r="J1054" s="24">
        <f t="shared" si="224"/>
        <v>46196.431207653608</v>
      </c>
      <c r="K1054" s="24">
        <f t="shared" si="225"/>
        <v>0.65133144680294208</v>
      </c>
      <c r="L1054" s="29">
        <f t="shared" si="231"/>
        <v>46195</v>
      </c>
      <c r="M1054" s="27" t="str">
        <f t="shared" si="226"/>
        <v>Health Deterioration</v>
      </c>
      <c r="N1054" s="31">
        <f t="shared" si="227"/>
        <v>2</v>
      </c>
      <c r="O1054" s="27"/>
      <c r="Q1054" s="8">
        <v>0.95307660808069294</v>
      </c>
      <c r="R1054" s="8" t="str">
        <f t="shared" si="228"/>
        <v>Critical Delay</v>
      </c>
      <c r="S1054" s="33">
        <v>2.2829710366438398</v>
      </c>
      <c r="T1054" t="s">
        <v>31</v>
      </c>
      <c r="U1054" s="3">
        <v>3</v>
      </c>
      <c r="V1054" s="3" t="str">
        <f t="shared" si="232"/>
        <v>Normal</v>
      </c>
      <c r="W1054" s="3" t="s">
        <v>50</v>
      </c>
      <c r="X1054" s="32">
        <f t="shared" si="229"/>
        <v>0.22012379319494357</v>
      </c>
      <c r="Z1054" s="38">
        <f t="shared" si="233"/>
        <v>9.5123793194943573E-2</v>
      </c>
      <c r="AC1054" s="36">
        <v>0.125</v>
      </c>
      <c r="AL1054" t="str">
        <f t="shared" si="234"/>
        <v>Health Deterioration</v>
      </c>
      <c r="AM1054" t="str">
        <f t="shared" si="235"/>
        <v>No</v>
      </c>
      <c r="AN1054" t="str">
        <f t="shared" si="236"/>
        <v>Elective</v>
      </c>
      <c r="AO1054" t="str">
        <f t="shared" si="237"/>
        <v>General Ward</v>
      </c>
    </row>
    <row r="1055" spans="1:41" x14ac:dyDescent="0.3">
      <c r="A1055" s="21" t="str">
        <f t="shared" si="230"/>
        <v>UHID-01054</v>
      </c>
      <c r="B1055" s="18">
        <v>51</v>
      </c>
      <c r="C1055" s="10" t="s">
        <v>17</v>
      </c>
      <c r="D1055" s="13" t="s">
        <v>26</v>
      </c>
      <c r="E1055" s="13" t="s">
        <v>10</v>
      </c>
      <c r="F1055" s="15">
        <v>46192.953560509297</v>
      </c>
      <c r="G1055" s="4">
        <v>46192</v>
      </c>
      <c r="H1055" s="1">
        <v>46197.514652731501</v>
      </c>
      <c r="I1055" s="22">
        <v>46197</v>
      </c>
      <c r="J1055" s="24">
        <f t="shared" si="224"/>
        <v>46197.377005007816</v>
      </c>
      <c r="K1055" s="24">
        <f t="shared" si="225"/>
        <v>0.51465273150097346</v>
      </c>
      <c r="L1055" s="29">
        <f t="shared" si="231"/>
        <v>46196</v>
      </c>
      <c r="M1055" s="27" t="str">
        <f t="shared" si="226"/>
        <v>TPA Approval Delay</v>
      </c>
      <c r="N1055" s="31">
        <f t="shared" si="227"/>
        <v>5</v>
      </c>
      <c r="O1055" s="27"/>
      <c r="Q1055" s="8">
        <v>0.62213655896347175</v>
      </c>
      <c r="R1055" s="8" t="str">
        <f t="shared" si="228"/>
        <v>Major Delay</v>
      </c>
      <c r="S1055" s="33">
        <v>3.3035453683683134</v>
      </c>
      <c r="T1055" t="s">
        <v>31</v>
      </c>
      <c r="U1055" s="3">
        <v>0</v>
      </c>
      <c r="V1055" s="3" t="str">
        <f t="shared" si="232"/>
        <v>Normal</v>
      </c>
      <c r="W1055" s="3" t="s">
        <v>51</v>
      </c>
      <c r="X1055" s="32">
        <f t="shared" si="229"/>
        <v>0.13764772368449485</v>
      </c>
      <c r="Z1055" s="38">
        <f t="shared" si="233"/>
        <v>1.2647723684494849E-2</v>
      </c>
      <c r="AC1055" s="36">
        <v>0.125</v>
      </c>
      <c r="AL1055" t="str">
        <f t="shared" si="234"/>
        <v>TPA Approval Delay</v>
      </c>
      <c r="AM1055" t="str">
        <f t="shared" si="235"/>
        <v>No</v>
      </c>
      <c r="AN1055" t="str">
        <f t="shared" si="236"/>
        <v>Elective</v>
      </c>
      <c r="AO1055" t="str">
        <f t="shared" si="237"/>
        <v>HDU</v>
      </c>
    </row>
    <row r="1056" spans="1:41" x14ac:dyDescent="0.3">
      <c r="A1056" s="21" t="str">
        <f t="shared" si="230"/>
        <v>UHID-01055</v>
      </c>
      <c r="B1056" s="18">
        <v>48</v>
      </c>
      <c r="C1056" s="10" t="s">
        <v>17</v>
      </c>
      <c r="D1056" s="13" t="s">
        <v>26</v>
      </c>
      <c r="E1056" s="13" t="s">
        <v>10</v>
      </c>
      <c r="F1056" s="15">
        <v>46197.697109305598</v>
      </c>
      <c r="G1056" s="4">
        <v>46197</v>
      </c>
      <c r="H1056" s="1">
        <v>46197.823782314801</v>
      </c>
      <c r="I1056" s="22">
        <v>46197</v>
      </c>
      <c r="J1056" s="24">
        <f t="shared" si="224"/>
        <v>46197.663872052974</v>
      </c>
      <c r="K1056" s="24">
        <f t="shared" si="225"/>
        <v>0.82378231480106479</v>
      </c>
      <c r="L1056" s="29">
        <f t="shared" si="231"/>
        <v>46196</v>
      </c>
      <c r="M1056" s="27" t="str">
        <f t="shared" si="226"/>
        <v>TPA Approval Delay</v>
      </c>
      <c r="N1056" s="31">
        <f t="shared" si="227"/>
        <v>0</v>
      </c>
      <c r="O1056" s="27"/>
      <c r="Q1056" s="8">
        <v>0.52795884840149809</v>
      </c>
      <c r="R1056" s="8" t="str">
        <f t="shared" si="228"/>
        <v>Major Delay</v>
      </c>
      <c r="S1056" s="33">
        <v>3.8378462838060843</v>
      </c>
      <c r="T1056" t="s">
        <v>31</v>
      </c>
      <c r="U1056" s="3">
        <v>0</v>
      </c>
      <c r="V1056" s="3" t="str">
        <f t="shared" si="232"/>
        <v>Normal</v>
      </c>
      <c r="W1056" s="3" t="s">
        <v>51</v>
      </c>
      <c r="X1056" s="32">
        <f t="shared" si="229"/>
        <v>0.15991026182746282</v>
      </c>
      <c r="Z1056" s="38">
        <f t="shared" si="233"/>
        <v>3.4910261827462818E-2</v>
      </c>
      <c r="AC1056" s="36">
        <v>0.125</v>
      </c>
      <c r="AL1056" t="str">
        <f t="shared" si="234"/>
        <v>TPA Approval Delay</v>
      </c>
      <c r="AM1056" t="str">
        <f t="shared" si="235"/>
        <v>No</v>
      </c>
      <c r="AN1056" t="str">
        <f t="shared" si="236"/>
        <v>Elective</v>
      </c>
      <c r="AO1056" t="str">
        <f t="shared" si="237"/>
        <v>General Ward</v>
      </c>
    </row>
    <row r="1057" spans="1:41" x14ac:dyDescent="0.3">
      <c r="A1057" s="21" t="str">
        <f t="shared" si="230"/>
        <v>UHID-01056</v>
      </c>
      <c r="B1057" s="18">
        <v>30</v>
      </c>
      <c r="C1057" s="10" t="s">
        <v>18</v>
      </c>
      <c r="D1057" s="13" t="s">
        <v>26</v>
      </c>
      <c r="E1057" s="13" t="s">
        <v>10</v>
      </c>
      <c r="F1057" s="15">
        <v>46195.611887754603</v>
      </c>
      <c r="G1057" s="4">
        <v>46195</v>
      </c>
      <c r="H1057" s="1">
        <v>46198.539643101903</v>
      </c>
      <c r="I1057" s="22">
        <v>46198</v>
      </c>
      <c r="J1057" s="24">
        <f t="shared" si="224"/>
        <v>46198.247217778444</v>
      </c>
      <c r="K1057" s="24">
        <f t="shared" si="225"/>
        <v>0.53964310190349352</v>
      </c>
      <c r="L1057" s="29">
        <f t="shared" si="231"/>
        <v>46197</v>
      </c>
      <c r="M1057" s="27" t="str">
        <f t="shared" si="226"/>
        <v>Health Deterioration/TPA Approval Delay</v>
      </c>
      <c r="N1057" s="31">
        <f t="shared" si="227"/>
        <v>3</v>
      </c>
      <c r="O1057" s="27"/>
      <c r="Q1057" s="8">
        <v>0.57113848986755311</v>
      </c>
      <c r="R1057" s="8" t="str">
        <f t="shared" si="228"/>
        <v>Critical Delay</v>
      </c>
      <c r="S1057" s="33">
        <v>3.0182077630960946</v>
      </c>
      <c r="T1057" t="s">
        <v>31</v>
      </c>
      <c r="U1057" s="3">
        <v>4</v>
      </c>
      <c r="V1057" s="3" t="str">
        <f t="shared" si="232"/>
        <v>Normal</v>
      </c>
      <c r="W1057" s="3" t="s">
        <v>50</v>
      </c>
      <c r="X1057" s="32">
        <f t="shared" si="229"/>
        <v>0.29242532345961081</v>
      </c>
      <c r="Z1057" s="38">
        <f t="shared" si="233"/>
        <v>0.16742532345961081</v>
      </c>
      <c r="AC1057" s="36">
        <v>0.125</v>
      </c>
      <c r="AL1057" t="str">
        <f t="shared" si="234"/>
        <v>Health Deterioration/TPA Approval Delay</v>
      </c>
      <c r="AM1057" t="str">
        <f t="shared" si="235"/>
        <v>No</v>
      </c>
      <c r="AN1057" t="str">
        <f t="shared" si="236"/>
        <v>Emergency</v>
      </c>
      <c r="AO1057" t="str">
        <f t="shared" si="237"/>
        <v>General Ward</v>
      </c>
    </row>
    <row r="1058" spans="1:41" x14ac:dyDescent="0.3">
      <c r="A1058" s="21" t="str">
        <f t="shared" si="230"/>
        <v>UHID-01057</v>
      </c>
      <c r="B1058" s="18">
        <v>33</v>
      </c>
      <c r="C1058" s="10" t="s">
        <v>18</v>
      </c>
      <c r="D1058" s="13" t="s">
        <v>28</v>
      </c>
      <c r="E1058" s="13" t="s">
        <v>10</v>
      </c>
      <c r="F1058" s="15">
        <v>46195.807217337999</v>
      </c>
      <c r="G1058" s="4">
        <v>46195</v>
      </c>
      <c r="H1058" s="1">
        <v>46198.671336689797</v>
      </c>
      <c r="I1058" s="22">
        <v>46198</v>
      </c>
      <c r="J1058" s="24">
        <f t="shared" si="224"/>
        <v>46198.291486023671</v>
      </c>
      <c r="K1058" s="24">
        <f t="shared" si="225"/>
        <v>0.67133668979658978</v>
      </c>
      <c r="L1058" s="29">
        <f t="shared" si="231"/>
        <v>46197</v>
      </c>
      <c r="M1058" s="27" t="str">
        <f t="shared" si="226"/>
        <v>Health Deterioration</v>
      </c>
      <c r="N1058" s="31">
        <f t="shared" si="227"/>
        <v>3</v>
      </c>
      <c r="O1058" s="27"/>
      <c r="Q1058" s="8">
        <v>0.93764391818250403</v>
      </c>
      <c r="R1058" s="8" t="str">
        <f t="shared" si="228"/>
        <v>Critical Delay</v>
      </c>
      <c r="S1058" s="33">
        <v>2.1164159870648476</v>
      </c>
      <c r="T1058" t="s">
        <v>31</v>
      </c>
      <c r="U1058" s="3">
        <v>7</v>
      </c>
      <c r="V1058" s="3" t="str">
        <f t="shared" si="232"/>
        <v>Normal</v>
      </c>
      <c r="W1058" s="3" t="s">
        <v>52</v>
      </c>
      <c r="X1058" s="32">
        <f t="shared" si="229"/>
        <v>0.37985066612600349</v>
      </c>
      <c r="Z1058" s="38">
        <f t="shared" si="233"/>
        <v>0.25485066612600349</v>
      </c>
      <c r="AC1058" s="36">
        <v>0.125</v>
      </c>
      <c r="AL1058" t="str">
        <f t="shared" si="234"/>
        <v>Health Deterioration</v>
      </c>
      <c r="AM1058" t="str">
        <f t="shared" si="235"/>
        <v>No</v>
      </c>
      <c r="AN1058" t="str">
        <f t="shared" si="236"/>
        <v>Elective</v>
      </c>
      <c r="AO1058" t="str">
        <f t="shared" si="237"/>
        <v>General Ward</v>
      </c>
    </row>
    <row r="1059" spans="1:41" x14ac:dyDescent="0.3">
      <c r="A1059" s="21" t="str">
        <f t="shared" si="230"/>
        <v>UHID-01058</v>
      </c>
      <c r="B1059" s="18">
        <v>42</v>
      </c>
      <c r="C1059" s="10" t="s">
        <v>18</v>
      </c>
      <c r="D1059" s="13" t="s">
        <v>26</v>
      </c>
      <c r="E1059" s="13" t="s">
        <v>10</v>
      </c>
      <c r="F1059" s="15">
        <v>46196.639367430602</v>
      </c>
      <c r="G1059" s="4">
        <v>46196</v>
      </c>
      <c r="H1059" s="1">
        <v>46198.528800289401</v>
      </c>
      <c r="I1059" s="22">
        <v>46198</v>
      </c>
      <c r="J1059" s="24">
        <f t="shared" si="224"/>
        <v>46198.38048806139</v>
      </c>
      <c r="K1059" s="24">
        <f t="shared" si="225"/>
        <v>0.52880028940126067</v>
      </c>
      <c r="L1059" s="29">
        <f t="shared" si="231"/>
        <v>46197</v>
      </c>
      <c r="M1059" s="27" t="str">
        <f t="shared" si="226"/>
        <v>TPA Approval Delay</v>
      </c>
      <c r="N1059" s="31">
        <f t="shared" si="227"/>
        <v>2</v>
      </c>
      <c r="O1059" s="27"/>
      <c r="Q1059" s="8">
        <v>0.80939273320119287</v>
      </c>
      <c r="R1059" s="8" t="str">
        <f t="shared" si="228"/>
        <v>Major Delay</v>
      </c>
      <c r="S1059" s="33">
        <v>3.5594934721888523</v>
      </c>
      <c r="T1059" t="s">
        <v>31</v>
      </c>
      <c r="U1059" s="3">
        <v>0</v>
      </c>
      <c r="V1059" s="3" t="str">
        <f t="shared" si="232"/>
        <v>Normal</v>
      </c>
      <c r="W1059" s="3" t="s">
        <v>51</v>
      </c>
      <c r="X1059" s="32">
        <f t="shared" si="229"/>
        <v>0.14831222801149124</v>
      </c>
      <c r="Z1059" s="38">
        <f t="shared" si="233"/>
        <v>2.3312228011491243E-2</v>
      </c>
      <c r="AC1059" s="36">
        <v>0.125</v>
      </c>
      <c r="AL1059" t="str">
        <f t="shared" si="234"/>
        <v>TPA Approval Delay</v>
      </c>
      <c r="AM1059" t="str">
        <f t="shared" si="235"/>
        <v>No</v>
      </c>
      <c r="AN1059" t="str">
        <f t="shared" si="236"/>
        <v>Elective</v>
      </c>
      <c r="AO1059" t="str">
        <f t="shared" si="237"/>
        <v>General Ward</v>
      </c>
    </row>
    <row r="1060" spans="1:41" x14ac:dyDescent="0.3">
      <c r="A1060" s="21" t="str">
        <f t="shared" si="230"/>
        <v>UHID-01059</v>
      </c>
      <c r="B1060" s="19">
        <v>46</v>
      </c>
      <c r="C1060" s="11" t="s">
        <v>18</v>
      </c>
      <c r="D1060" s="13" t="s">
        <v>27</v>
      </c>
      <c r="E1060" s="13" t="s">
        <v>10</v>
      </c>
      <c r="F1060" s="16">
        <v>46198.794181099503</v>
      </c>
      <c r="G1060" s="5">
        <v>46198</v>
      </c>
      <c r="H1060" s="2">
        <v>46200.519579733802</v>
      </c>
      <c r="I1060" s="23">
        <v>46200</v>
      </c>
      <c r="J1060" s="24">
        <f t="shared" si="224"/>
        <v>46200.290267179305</v>
      </c>
      <c r="K1060" s="24">
        <f t="shared" si="225"/>
        <v>0.51957973380194744</v>
      </c>
      <c r="L1060" s="29">
        <f t="shared" si="231"/>
        <v>46199</v>
      </c>
      <c r="M1060" s="27" t="str">
        <f t="shared" si="226"/>
        <v>Health Deterioration</v>
      </c>
      <c r="N1060" s="31">
        <f t="shared" si="227"/>
        <v>2</v>
      </c>
      <c r="O1060" s="27"/>
      <c r="Q1060" s="8">
        <v>0.17534009938763062</v>
      </c>
      <c r="R1060" s="8" t="str">
        <f t="shared" si="228"/>
        <v>Critical Delay</v>
      </c>
      <c r="S1060" s="33">
        <v>1.5035013079468662</v>
      </c>
      <c r="T1060" t="s">
        <v>30</v>
      </c>
      <c r="U1060" s="3">
        <v>4</v>
      </c>
      <c r="V1060" s="3" t="str">
        <f t="shared" si="232"/>
        <v/>
      </c>
      <c r="W1060" s="3" t="s">
        <v>50</v>
      </c>
      <c r="X1060" s="32">
        <f t="shared" si="229"/>
        <v>0.22931255449657328</v>
      </c>
      <c r="Z1060" s="38">
        <f t="shared" si="233"/>
        <v>0.10431255449657328</v>
      </c>
      <c r="AC1060" s="36">
        <v>0.125</v>
      </c>
      <c r="AL1060" t="str">
        <f t="shared" si="234"/>
        <v>Health Deterioration</v>
      </c>
      <c r="AM1060" t="str">
        <f t="shared" si="235"/>
        <v>No</v>
      </c>
      <c r="AN1060" t="str">
        <f t="shared" si="236"/>
        <v>Emergency</v>
      </c>
      <c r="AO1060" t="str">
        <f t="shared" si="237"/>
        <v>General Ward</v>
      </c>
    </row>
    <row r="1061" spans="1:41" x14ac:dyDescent="0.3">
      <c r="A1061" s="21" t="str">
        <f t="shared" si="230"/>
        <v>UHID-01060</v>
      </c>
      <c r="B1061" s="19">
        <v>17</v>
      </c>
      <c r="C1061" s="11" t="s">
        <v>18</v>
      </c>
      <c r="D1061" s="13" t="s">
        <v>27</v>
      </c>
      <c r="E1061" s="13" t="s">
        <v>10</v>
      </c>
      <c r="F1061" s="16">
        <v>46198.945049780101</v>
      </c>
      <c r="G1061" s="5">
        <v>46198</v>
      </c>
      <c r="H1061" s="2">
        <v>46200.672582627303</v>
      </c>
      <c r="I1061" s="23">
        <v>46200</v>
      </c>
      <c r="J1061" s="24">
        <f t="shared" si="224"/>
        <v>46200.441589932285</v>
      </c>
      <c r="K1061" s="24">
        <f t="shared" si="225"/>
        <v>0.67258262730319984</v>
      </c>
      <c r="L1061" s="29">
        <f t="shared" si="231"/>
        <v>46199</v>
      </c>
      <c r="M1061" s="27" t="str">
        <f t="shared" si="226"/>
        <v>Health Deterioration</v>
      </c>
      <c r="N1061" s="31">
        <f t="shared" si="227"/>
        <v>2</v>
      </c>
      <c r="O1061" s="27"/>
      <c r="Q1061" s="8">
        <v>0.12818223592028699</v>
      </c>
      <c r="R1061" s="8" t="str">
        <f t="shared" si="228"/>
        <v>Critical Delay</v>
      </c>
      <c r="S1061" s="33">
        <v>1.5438246805200517</v>
      </c>
      <c r="T1061" t="s">
        <v>30</v>
      </c>
      <c r="U1061" s="3">
        <v>4</v>
      </c>
      <c r="V1061" s="3" t="str">
        <f t="shared" si="232"/>
        <v/>
      </c>
      <c r="W1061" s="3" t="s">
        <v>50</v>
      </c>
      <c r="X1061" s="32">
        <f t="shared" si="229"/>
        <v>0.23099269501835806</v>
      </c>
      <c r="Z1061" s="38">
        <f t="shared" si="233"/>
        <v>0.10599269501835806</v>
      </c>
      <c r="AC1061" s="36">
        <v>0.125</v>
      </c>
      <c r="AL1061" t="str">
        <f t="shared" si="234"/>
        <v>Health Deterioration</v>
      </c>
      <c r="AM1061" t="str">
        <f t="shared" si="235"/>
        <v>No</v>
      </c>
      <c r="AN1061" t="str">
        <f t="shared" si="236"/>
        <v>Emergency</v>
      </c>
      <c r="AO1061" t="str">
        <f t="shared" si="237"/>
        <v>General Ward</v>
      </c>
    </row>
    <row r="1062" spans="1:41" x14ac:dyDescent="0.3">
      <c r="A1062" s="21" t="str">
        <f t="shared" si="230"/>
        <v>UHID-01061</v>
      </c>
      <c r="B1062" s="19">
        <v>51</v>
      </c>
      <c r="C1062" s="11" t="s">
        <v>18</v>
      </c>
      <c r="D1062" s="13" t="s">
        <v>26</v>
      </c>
      <c r="E1062" s="13" t="s">
        <v>10</v>
      </c>
      <c r="F1062" s="16">
        <v>46200.377156967603</v>
      </c>
      <c r="G1062" s="5">
        <v>46200</v>
      </c>
      <c r="H1062" s="2">
        <v>46201.879992395799</v>
      </c>
      <c r="I1062" s="23">
        <v>46201</v>
      </c>
      <c r="J1062" s="24">
        <f t="shared" si="224"/>
        <v>46201.65911344393</v>
      </c>
      <c r="K1062" s="24">
        <f t="shared" si="225"/>
        <v>0.87999239579949062</v>
      </c>
      <c r="L1062" s="29">
        <f t="shared" si="231"/>
        <v>46200</v>
      </c>
      <c r="M1062" s="27" t="str">
        <f t="shared" si="226"/>
        <v>Health Deterioration/TPA Approval Delay</v>
      </c>
      <c r="N1062" s="31">
        <f t="shared" si="227"/>
        <v>1</v>
      </c>
      <c r="O1062" s="27"/>
      <c r="Q1062" s="8">
        <v>0.76718370381061018</v>
      </c>
      <c r="R1062" s="8" t="str">
        <f t="shared" si="228"/>
        <v>Critical Delay</v>
      </c>
      <c r="S1062" s="33">
        <v>3.301094844866602</v>
      </c>
      <c r="T1062" t="s">
        <v>31</v>
      </c>
      <c r="U1062" s="3">
        <v>2</v>
      </c>
      <c r="V1062" s="3" t="str">
        <f t="shared" si="232"/>
        <v>Normal</v>
      </c>
      <c r="W1062" s="3" t="s">
        <v>50</v>
      </c>
      <c r="X1062" s="32">
        <f t="shared" si="229"/>
        <v>0.2208789518699632</v>
      </c>
      <c r="Z1062" s="38">
        <f t="shared" si="233"/>
        <v>9.5878951869963203E-2</v>
      </c>
      <c r="AC1062" s="36">
        <v>0.125</v>
      </c>
      <c r="AL1062" t="str">
        <f t="shared" si="234"/>
        <v>Health Deterioration/TPA Approval Delay</v>
      </c>
      <c r="AM1062" t="str">
        <f t="shared" si="235"/>
        <v>No</v>
      </c>
      <c r="AN1062" t="str">
        <f t="shared" si="236"/>
        <v>Emergency</v>
      </c>
      <c r="AO1062" t="str">
        <f t="shared" si="237"/>
        <v>General Ward</v>
      </c>
    </row>
    <row r="1063" spans="1:41" x14ac:dyDescent="0.3">
      <c r="A1063" s="21" t="str">
        <f t="shared" si="230"/>
        <v>UHID-01062</v>
      </c>
      <c r="B1063" s="19">
        <v>6</v>
      </c>
      <c r="C1063" s="11" t="s">
        <v>17</v>
      </c>
      <c r="D1063" s="13" t="s">
        <v>28</v>
      </c>
      <c r="E1063" s="13" t="s">
        <v>10</v>
      </c>
      <c r="F1063" s="16">
        <v>46202.341078368103</v>
      </c>
      <c r="G1063" s="5">
        <v>46202</v>
      </c>
      <c r="H1063" s="2">
        <v>46202.625727291699</v>
      </c>
      <c r="I1063" s="23">
        <v>46202</v>
      </c>
      <c r="J1063" s="24">
        <f t="shared" si="224"/>
        <v>46202.454619126256</v>
      </c>
      <c r="K1063" s="24">
        <f t="shared" si="225"/>
        <v>0.62572729169914965</v>
      </c>
      <c r="L1063" s="29">
        <f t="shared" si="231"/>
        <v>46201</v>
      </c>
      <c r="M1063" s="27" t="str">
        <f t="shared" si="226"/>
        <v>Medication Change</v>
      </c>
      <c r="N1063" s="31">
        <f t="shared" si="227"/>
        <v>0</v>
      </c>
      <c r="O1063" s="27"/>
      <c r="Q1063" s="8">
        <v>0.88250656260786242</v>
      </c>
      <c r="R1063" s="8" t="str">
        <f t="shared" si="228"/>
        <v>Major Delay</v>
      </c>
      <c r="S1063" s="33">
        <v>2.1065959707147206</v>
      </c>
      <c r="T1063" t="s">
        <v>31</v>
      </c>
      <c r="U1063" s="3">
        <v>2</v>
      </c>
      <c r="V1063" s="3" t="str">
        <f t="shared" si="232"/>
        <v>Normal</v>
      </c>
      <c r="W1063" s="3" t="s">
        <v>50</v>
      </c>
      <c r="X1063" s="32">
        <f t="shared" si="229"/>
        <v>0.17110816544300178</v>
      </c>
      <c r="Z1063" s="38">
        <f t="shared" si="233"/>
        <v>4.6108165443001781E-2</v>
      </c>
      <c r="AC1063" s="36">
        <v>0.125</v>
      </c>
      <c r="AL1063" t="str">
        <f t="shared" si="234"/>
        <v>Medication Change</v>
      </c>
      <c r="AM1063" t="str">
        <f t="shared" si="235"/>
        <v>No</v>
      </c>
      <c r="AN1063" t="str">
        <f t="shared" si="236"/>
        <v>Emergency</v>
      </c>
      <c r="AO1063" t="str">
        <f t="shared" si="237"/>
        <v>General Ward</v>
      </c>
    </row>
    <row r="1064" spans="1:41" x14ac:dyDescent="0.3">
      <c r="A1064" s="21" t="str">
        <f t="shared" si="230"/>
        <v>UHID-01063</v>
      </c>
      <c r="B1064" s="19">
        <v>38</v>
      </c>
      <c r="C1064" s="11" t="s">
        <v>18</v>
      </c>
      <c r="D1064" s="13" t="s">
        <v>27</v>
      </c>
      <c r="E1064" s="13" t="s">
        <v>10</v>
      </c>
      <c r="F1064" s="16">
        <v>46197.705355567101</v>
      </c>
      <c r="G1064" s="5">
        <v>46197</v>
      </c>
      <c r="H1064" s="2">
        <v>46202.575089490703</v>
      </c>
      <c r="I1064" s="23">
        <v>46202</v>
      </c>
      <c r="J1064" s="24">
        <f t="shared" si="224"/>
        <v>46202.518301050535</v>
      </c>
      <c r="K1064" s="24">
        <f t="shared" si="225"/>
        <v>0.57508949070324888</v>
      </c>
      <c r="L1064" s="29">
        <f t="shared" si="231"/>
        <v>46201</v>
      </c>
      <c r="M1064" s="27" t="str">
        <f t="shared" si="226"/>
        <v>Normal</v>
      </c>
      <c r="N1064" s="31">
        <f t="shared" si="227"/>
        <v>5</v>
      </c>
      <c r="O1064" s="27"/>
      <c r="Q1064" s="8">
        <v>0.30970528374192408</v>
      </c>
      <c r="R1064" s="8" t="str">
        <f t="shared" si="228"/>
        <v>On Time</v>
      </c>
      <c r="S1064" s="33">
        <v>1.3629225639991676</v>
      </c>
      <c r="T1064" t="s">
        <v>30</v>
      </c>
      <c r="U1064" s="3">
        <v>0</v>
      </c>
      <c r="V1064" s="3" t="str">
        <f t="shared" si="232"/>
        <v/>
      </c>
      <c r="W1064" s="3" t="s">
        <v>51</v>
      </c>
      <c r="X1064" s="32">
        <f t="shared" si="229"/>
        <v>5.6788440168020315E-2</v>
      </c>
      <c r="Z1064" s="38">
        <f t="shared" si="233"/>
        <v>0</v>
      </c>
      <c r="AC1064" s="36">
        <v>0.125</v>
      </c>
      <c r="AL1064" t="str">
        <f t="shared" si="234"/>
        <v>Normal</v>
      </c>
      <c r="AM1064" t="str">
        <f t="shared" si="235"/>
        <v>No</v>
      </c>
      <c r="AN1064" t="str">
        <f t="shared" si="236"/>
        <v>Elective</v>
      </c>
      <c r="AO1064" t="str">
        <f t="shared" si="237"/>
        <v>HDU</v>
      </c>
    </row>
    <row r="1065" spans="1:41" x14ac:dyDescent="0.3">
      <c r="A1065" s="21" t="str">
        <f t="shared" si="230"/>
        <v>UHID-01064</v>
      </c>
      <c r="B1065" s="19">
        <v>17</v>
      </c>
      <c r="C1065" s="11" t="s">
        <v>18</v>
      </c>
      <c r="D1065" s="13" t="s">
        <v>27</v>
      </c>
      <c r="E1065" s="13" t="s">
        <v>10</v>
      </c>
      <c r="F1065" s="16">
        <v>46200.918060567099</v>
      </c>
      <c r="G1065" s="5">
        <v>46200</v>
      </c>
      <c r="H1065" s="2">
        <v>46202.768780567101</v>
      </c>
      <c r="I1065" s="23">
        <v>46202</v>
      </c>
      <c r="J1065" s="24">
        <f t="shared" si="224"/>
        <v>46202.528361897268</v>
      </c>
      <c r="K1065" s="24">
        <f t="shared" si="225"/>
        <v>0.76878056710120291</v>
      </c>
      <c r="L1065" s="29">
        <f t="shared" si="231"/>
        <v>46201</v>
      </c>
      <c r="M1065" s="27" t="str">
        <f t="shared" si="226"/>
        <v>Health Deterioration</v>
      </c>
      <c r="N1065" s="31">
        <f t="shared" si="227"/>
        <v>2</v>
      </c>
      <c r="O1065" s="27"/>
      <c r="Q1065" s="8">
        <v>0.41011967488622414</v>
      </c>
      <c r="R1065" s="8" t="str">
        <f t="shared" si="228"/>
        <v>Critical Delay</v>
      </c>
      <c r="S1065" s="33">
        <v>1.7700480760128343</v>
      </c>
      <c r="T1065" t="s">
        <v>31</v>
      </c>
      <c r="U1065" s="3">
        <v>4</v>
      </c>
      <c r="V1065" s="3" t="str">
        <f t="shared" si="232"/>
        <v>Normal</v>
      </c>
      <c r="W1065" s="3" t="s">
        <v>50</v>
      </c>
      <c r="X1065" s="32">
        <f t="shared" si="229"/>
        <v>0.2404186698331614</v>
      </c>
      <c r="Z1065" s="38">
        <f t="shared" si="233"/>
        <v>0.1154186698331614</v>
      </c>
      <c r="AC1065" s="36">
        <v>0.125</v>
      </c>
      <c r="AL1065" t="str">
        <f t="shared" si="234"/>
        <v>Health Deterioration</v>
      </c>
      <c r="AM1065" t="str">
        <f t="shared" si="235"/>
        <v>No</v>
      </c>
      <c r="AN1065" t="str">
        <f t="shared" si="236"/>
        <v>Emergency</v>
      </c>
      <c r="AO1065" t="str">
        <f t="shared" si="237"/>
        <v>General Ward</v>
      </c>
    </row>
    <row r="1066" spans="1:41" x14ac:dyDescent="0.3">
      <c r="A1066" s="21" t="str">
        <f t="shared" si="230"/>
        <v>UHID-01065</v>
      </c>
      <c r="B1066" s="19">
        <v>63</v>
      </c>
      <c r="C1066" s="11" t="s">
        <v>17</v>
      </c>
      <c r="D1066" s="13" t="s">
        <v>26</v>
      </c>
      <c r="E1066" s="13" t="s">
        <v>10</v>
      </c>
      <c r="F1066" s="16">
        <v>46200.535520428202</v>
      </c>
      <c r="G1066" s="5">
        <v>46200</v>
      </c>
      <c r="H1066" s="2">
        <v>46203.615310821799</v>
      </c>
      <c r="I1066" s="23">
        <v>46203</v>
      </c>
      <c r="J1066" s="24">
        <f t="shared" si="224"/>
        <v>46203.458420716051</v>
      </c>
      <c r="K1066" s="24">
        <f t="shared" si="225"/>
        <v>0.61531082179863006</v>
      </c>
      <c r="L1066" s="29">
        <f t="shared" si="231"/>
        <v>46202</v>
      </c>
      <c r="M1066" s="27" t="str">
        <f t="shared" si="226"/>
        <v>TPA Approval Delay</v>
      </c>
      <c r="N1066" s="31">
        <f t="shared" si="227"/>
        <v>3</v>
      </c>
      <c r="O1066" s="27"/>
      <c r="Q1066" s="8">
        <v>0.71428533729692867</v>
      </c>
      <c r="R1066" s="8" t="str">
        <f t="shared" si="228"/>
        <v>Major Delay</v>
      </c>
      <c r="S1066" s="33">
        <v>3.7653625378654962</v>
      </c>
      <c r="T1066" t="s">
        <v>31</v>
      </c>
      <c r="U1066" s="3">
        <v>0</v>
      </c>
      <c r="V1066" s="3" t="str">
        <f t="shared" si="232"/>
        <v>Normal</v>
      </c>
      <c r="W1066" s="3" t="s">
        <v>51</v>
      </c>
      <c r="X1066" s="32">
        <f t="shared" si="229"/>
        <v>0.15689010574715212</v>
      </c>
      <c r="Z1066" s="38">
        <f t="shared" si="233"/>
        <v>3.189010574715212E-2</v>
      </c>
      <c r="AC1066" s="36">
        <v>0.125</v>
      </c>
      <c r="AL1066" t="str">
        <f t="shared" si="234"/>
        <v>TPA Approval Delay</v>
      </c>
      <c r="AM1066" t="str">
        <f t="shared" si="235"/>
        <v>No</v>
      </c>
      <c r="AN1066" t="str">
        <f t="shared" si="236"/>
        <v>Elective</v>
      </c>
      <c r="AO1066" t="str">
        <f t="shared" si="237"/>
        <v>General Ward</v>
      </c>
    </row>
    <row r="1067" spans="1:41" x14ac:dyDescent="0.3">
      <c r="A1067" s="21" t="str">
        <f t="shared" si="230"/>
        <v>UHID-01066</v>
      </c>
      <c r="B1067" s="18">
        <v>44</v>
      </c>
      <c r="C1067" s="10" t="s">
        <v>18</v>
      </c>
      <c r="D1067" s="13" t="s">
        <v>27</v>
      </c>
      <c r="E1067" s="13" t="s">
        <v>7</v>
      </c>
      <c r="F1067" s="15">
        <v>46172.698319282397</v>
      </c>
      <c r="G1067" s="4">
        <v>46172</v>
      </c>
      <c r="H1067" s="1">
        <v>46174.730834189802</v>
      </c>
      <c r="I1067" s="22">
        <v>46174</v>
      </c>
      <c r="J1067" s="24">
        <f t="shared" si="224"/>
        <v>46174.65449507544</v>
      </c>
      <c r="K1067" s="24">
        <f t="shared" si="225"/>
        <v>0.73083418980240822</v>
      </c>
      <c r="L1067" s="29">
        <f t="shared" si="231"/>
        <v>46173</v>
      </c>
      <c r="M1067" s="27" t="str">
        <f t="shared" si="226"/>
        <v>Normal</v>
      </c>
      <c r="N1067" s="31">
        <f t="shared" si="227"/>
        <v>2</v>
      </c>
      <c r="O1067" s="27"/>
      <c r="Q1067" s="8">
        <v>0.44515921595860364</v>
      </c>
      <c r="R1067" s="8" t="str">
        <f t="shared" si="228"/>
        <v>On Time</v>
      </c>
      <c r="S1067" s="33">
        <v>1.8321387446679422</v>
      </c>
      <c r="T1067" t="s">
        <v>31</v>
      </c>
      <c r="U1067" s="3">
        <v>0</v>
      </c>
      <c r="V1067" s="3" t="str">
        <f t="shared" si="232"/>
        <v>Normal</v>
      </c>
      <c r="W1067" s="3" t="s">
        <v>51</v>
      </c>
      <c r="X1067" s="32">
        <f t="shared" si="229"/>
        <v>7.6339114362781402E-2</v>
      </c>
      <c r="Z1067" s="38">
        <f t="shared" si="233"/>
        <v>0</v>
      </c>
      <c r="AC1067" s="36">
        <v>0.125</v>
      </c>
      <c r="AL1067" t="str">
        <f t="shared" si="234"/>
        <v>Normal</v>
      </c>
      <c r="AM1067" t="str">
        <f t="shared" si="235"/>
        <v>No</v>
      </c>
      <c r="AN1067" t="str">
        <f t="shared" si="236"/>
        <v>Elective</v>
      </c>
      <c r="AO1067" t="str">
        <f t="shared" si="237"/>
        <v>General Ward</v>
      </c>
    </row>
    <row r="1068" spans="1:41" x14ac:dyDescent="0.3">
      <c r="A1068" s="21" t="str">
        <f t="shared" si="230"/>
        <v>UHID-01067</v>
      </c>
      <c r="B1068" s="18">
        <v>78</v>
      </c>
      <c r="C1068" s="10" t="s">
        <v>18</v>
      </c>
      <c r="D1068" s="13" t="s">
        <v>27</v>
      </c>
      <c r="E1068" s="13" t="s">
        <v>7</v>
      </c>
      <c r="F1068" s="15">
        <v>46157.660536608797</v>
      </c>
      <c r="G1068" s="4">
        <v>46157</v>
      </c>
      <c r="H1068" s="1">
        <v>46171.738276504599</v>
      </c>
      <c r="I1068" s="22">
        <v>46171</v>
      </c>
      <c r="J1068" s="24">
        <f t="shared" si="224"/>
        <v>46171.272018231793</v>
      </c>
      <c r="K1068" s="24">
        <f t="shared" si="225"/>
        <v>0.73827650459861616</v>
      </c>
      <c r="L1068" s="29">
        <f t="shared" si="231"/>
        <v>46170</v>
      </c>
      <c r="M1068" s="27" t="str">
        <f t="shared" si="226"/>
        <v>Health Deterioration</v>
      </c>
      <c r="N1068" s="31">
        <f t="shared" si="227"/>
        <v>14</v>
      </c>
      <c r="O1068" s="27"/>
      <c r="Q1068" s="8">
        <v>0.37990987747074223</v>
      </c>
      <c r="R1068" s="8" t="str">
        <f t="shared" si="228"/>
        <v>Critical Delay</v>
      </c>
      <c r="S1068" s="33">
        <v>1.1901985472548662</v>
      </c>
      <c r="T1068" t="s">
        <v>31</v>
      </c>
      <c r="U1068" s="3">
        <v>10</v>
      </c>
      <c r="V1068" s="3" t="str">
        <f t="shared" si="232"/>
        <v>Normal</v>
      </c>
      <c r="W1068" s="3" t="s">
        <v>52</v>
      </c>
      <c r="X1068" s="32">
        <f t="shared" si="229"/>
        <v>0.46625827280513477</v>
      </c>
      <c r="Z1068" s="38">
        <f t="shared" si="233"/>
        <v>0.34125827280513477</v>
      </c>
      <c r="AC1068" s="36">
        <v>0.125</v>
      </c>
      <c r="AL1068" t="str">
        <f t="shared" si="234"/>
        <v>Health Deterioration</v>
      </c>
      <c r="AM1068" t="str">
        <f t="shared" si="235"/>
        <v>Yes</v>
      </c>
      <c r="AN1068" t="str">
        <f t="shared" si="236"/>
        <v>Emergency</v>
      </c>
      <c r="AO1068" t="str">
        <f t="shared" si="237"/>
        <v>ICU</v>
      </c>
    </row>
    <row r="1069" spans="1:41" x14ac:dyDescent="0.3">
      <c r="A1069" s="21" t="str">
        <f t="shared" si="230"/>
        <v>UHID-01068</v>
      </c>
      <c r="B1069" s="18">
        <v>76</v>
      </c>
      <c r="C1069" s="10" t="s">
        <v>18</v>
      </c>
      <c r="D1069" s="13" t="s">
        <v>26</v>
      </c>
      <c r="E1069" s="13" t="s">
        <v>7</v>
      </c>
      <c r="F1069" s="15">
        <v>46172.7895418634</v>
      </c>
      <c r="G1069" s="4">
        <v>46172</v>
      </c>
      <c r="H1069" s="1">
        <v>46175.6425688542</v>
      </c>
      <c r="I1069" s="22">
        <v>46175</v>
      </c>
      <c r="J1069" s="24">
        <f t="shared" si="224"/>
        <v>46175.50137654211</v>
      </c>
      <c r="K1069" s="24">
        <f t="shared" si="225"/>
        <v>0.64256885420036269</v>
      </c>
      <c r="L1069" s="29">
        <f t="shared" si="231"/>
        <v>46174</v>
      </c>
      <c r="M1069" s="27" t="str">
        <f t="shared" si="226"/>
        <v>TPA Approval Delay</v>
      </c>
      <c r="N1069" s="31">
        <f t="shared" si="227"/>
        <v>3</v>
      </c>
      <c r="O1069" s="27"/>
      <c r="Q1069" s="8">
        <v>0.66408997637380784</v>
      </c>
      <c r="R1069" s="8" t="str">
        <f t="shared" si="228"/>
        <v>Major Delay</v>
      </c>
      <c r="S1069" s="33">
        <v>3.3886154901037773</v>
      </c>
      <c r="T1069" t="s">
        <v>31</v>
      </c>
      <c r="U1069" s="3">
        <v>0</v>
      </c>
      <c r="V1069" s="3" t="str">
        <f t="shared" si="232"/>
        <v>Normal</v>
      </c>
      <c r="W1069" s="3" t="s">
        <v>51</v>
      </c>
      <c r="X1069" s="32">
        <f t="shared" si="229"/>
        <v>0.14119231209042482</v>
      </c>
      <c r="Z1069" s="38">
        <f t="shared" si="233"/>
        <v>1.6192312090424821E-2</v>
      </c>
      <c r="AC1069" s="36">
        <v>0.125</v>
      </c>
      <c r="AL1069" t="str">
        <f t="shared" si="234"/>
        <v>TPA Approval Delay</v>
      </c>
      <c r="AM1069" t="str">
        <f t="shared" si="235"/>
        <v>No</v>
      </c>
      <c r="AN1069" t="str">
        <f t="shared" si="236"/>
        <v>Elective</v>
      </c>
      <c r="AO1069" t="str">
        <f t="shared" si="237"/>
        <v>General Ward</v>
      </c>
    </row>
    <row r="1070" spans="1:41" x14ac:dyDescent="0.3">
      <c r="A1070" s="21" t="str">
        <f t="shared" si="230"/>
        <v>UHID-01069</v>
      </c>
      <c r="B1070" s="18">
        <v>69</v>
      </c>
      <c r="C1070" s="10" t="s">
        <v>18</v>
      </c>
      <c r="D1070" s="13" t="s">
        <v>28</v>
      </c>
      <c r="E1070" s="13" t="s">
        <v>7</v>
      </c>
      <c r="F1070" s="15">
        <v>46170.056257939803</v>
      </c>
      <c r="G1070" s="4">
        <v>46170</v>
      </c>
      <c r="H1070" s="1">
        <v>46176.593135092597</v>
      </c>
      <c r="I1070" s="22">
        <v>46176</v>
      </c>
      <c r="J1070" s="24">
        <f t="shared" si="224"/>
        <v>46176.496542095774</v>
      </c>
      <c r="K1070" s="24">
        <f t="shared" si="225"/>
        <v>0.59313509259663988</v>
      </c>
      <c r="L1070" s="29">
        <f t="shared" si="231"/>
        <v>46175</v>
      </c>
      <c r="M1070" s="27" t="str">
        <f t="shared" si="226"/>
        <v>Doctor Round Delay/Report Delay</v>
      </c>
      <c r="N1070" s="31">
        <f t="shared" si="227"/>
        <v>6</v>
      </c>
      <c r="O1070" s="27"/>
      <c r="Q1070" s="8">
        <v>0.93132307180941609</v>
      </c>
      <c r="R1070" s="8" t="str">
        <f t="shared" si="228"/>
        <v>Minor Delay</v>
      </c>
      <c r="S1070" s="33">
        <v>2.3182319237585132</v>
      </c>
      <c r="T1070" t="s">
        <v>31</v>
      </c>
      <c r="U1070" s="3">
        <v>0</v>
      </c>
      <c r="V1070" s="3" t="str">
        <f t="shared" si="232"/>
        <v>Normal</v>
      </c>
      <c r="W1070" s="3" t="s">
        <v>51</v>
      </c>
      <c r="X1070" s="32">
        <f t="shared" si="229"/>
        <v>9.6592996822437271E-2</v>
      </c>
      <c r="Z1070" s="38">
        <f t="shared" si="233"/>
        <v>0</v>
      </c>
      <c r="AC1070" s="36">
        <v>0.125</v>
      </c>
      <c r="AL1070" t="str">
        <f t="shared" si="234"/>
        <v>Doctor Round Delay/Report Delay</v>
      </c>
      <c r="AM1070" t="str">
        <f t="shared" si="235"/>
        <v>No</v>
      </c>
      <c r="AN1070" t="str">
        <f t="shared" si="236"/>
        <v>Elective</v>
      </c>
      <c r="AO1070" t="str">
        <f t="shared" si="237"/>
        <v>HDU</v>
      </c>
    </row>
    <row r="1071" spans="1:41" x14ac:dyDescent="0.3">
      <c r="A1071" s="21" t="str">
        <f t="shared" si="230"/>
        <v>UHID-01070</v>
      </c>
      <c r="B1071" s="18">
        <v>55</v>
      </c>
      <c r="C1071" s="10" t="s">
        <v>18</v>
      </c>
      <c r="D1071" s="13" t="s">
        <v>26</v>
      </c>
      <c r="E1071" s="13" t="s">
        <v>7</v>
      </c>
      <c r="F1071" s="15">
        <v>46174.809432245398</v>
      </c>
      <c r="G1071" s="4">
        <v>46174</v>
      </c>
      <c r="H1071" s="1">
        <v>46177.677153356497</v>
      </c>
      <c r="I1071" s="22">
        <v>46177</v>
      </c>
      <c r="J1071" s="24">
        <f t="shared" si="224"/>
        <v>46177.536994162561</v>
      </c>
      <c r="K1071" s="24">
        <f t="shared" si="225"/>
        <v>0.67715335649700137</v>
      </c>
      <c r="L1071" s="29">
        <f t="shared" si="231"/>
        <v>46176</v>
      </c>
      <c r="M1071" s="27" t="str">
        <f t="shared" si="226"/>
        <v>TPA Approval Delay</v>
      </c>
      <c r="N1071" s="31">
        <f t="shared" si="227"/>
        <v>3</v>
      </c>
      <c r="O1071" s="27"/>
      <c r="Q1071" s="8">
        <v>0.74639913621892395</v>
      </c>
      <c r="R1071" s="8" t="str">
        <f t="shared" si="228"/>
        <v>Major Delay</v>
      </c>
      <c r="S1071" s="33">
        <v>3.3638206545093805</v>
      </c>
      <c r="T1071" t="s">
        <v>31</v>
      </c>
      <c r="U1071" s="3">
        <v>0</v>
      </c>
      <c r="V1071" s="3" t="str">
        <f t="shared" si="232"/>
        <v>Normal</v>
      </c>
      <c r="W1071" s="3" t="s">
        <v>51</v>
      </c>
      <c r="X1071" s="32">
        <f t="shared" si="229"/>
        <v>0.14015919393568765</v>
      </c>
      <c r="Z1071" s="38">
        <f t="shared" si="233"/>
        <v>1.5159193935687654E-2</v>
      </c>
      <c r="AC1071" s="36">
        <v>0.125</v>
      </c>
      <c r="AL1071" t="str">
        <f t="shared" si="234"/>
        <v>TPA Approval Delay</v>
      </c>
      <c r="AM1071" t="str">
        <f t="shared" si="235"/>
        <v>No</v>
      </c>
      <c r="AN1071" t="str">
        <f t="shared" si="236"/>
        <v>Elective</v>
      </c>
      <c r="AO1071" t="str">
        <f t="shared" si="237"/>
        <v>General Ward</v>
      </c>
    </row>
    <row r="1072" spans="1:41" x14ac:dyDescent="0.3">
      <c r="A1072" s="21" t="str">
        <f t="shared" si="230"/>
        <v>UHID-01071</v>
      </c>
      <c r="B1072" s="18">
        <v>30</v>
      </c>
      <c r="C1072" s="10" t="s">
        <v>18</v>
      </c>
      <c r="D1072" s="13" t="s">
        <v>27</v>
      </c>
      <c r="E1072" s="13" t="s">
        <v>7</v>
      </c>
      <c r="F1072" s="15">
        <v>46169.8747135417</v>
      </c>
      <c r="G1072" s="4">
        <v>46169</v>
      </c>
      <c r="H1072" s="1">
        <v>46179.4160698958</v>
      </c>
      <c r="I1072" s="22">
        <v>46179</v>
      </c>
      <c r="J1072" s="24">
        <f t="shared" si="224"/>
        <v>46179.368213186288</v>
      </c>
      <c r="K1072" s="24">
        <f t="shared" si="225"/>
        <v>0.4160698958003195</v>
      </c>
      <c r="L1072" s="29">
        <f t="shared" si="231"/>
        <v>46178</v>
      </c>
      <c r="M1072" s="27" t="str">
        <f t="shared" si="226"/>
        <v>Normal</v>
      </c>
      <c r="N1072" s="31">
        <f t="shared" si="227"/>
        <v>10</v>
      </c>
      <c r="O1072" s="27"/>
      <c r="Q1072" s="8">
        <v>0.36380703065817821</v>
      </c>
      <c r="R1072" s="8" t="str">
        <f t="shared" si="228"/>
        <v>On Time</v>
      </c>
      <c r="S1072" s="33">
        <v>1.1485610282784582</v>
      </c>
      <c r="T1072" t="s">
        <v>31</v>
      </c>
      <c r="U1072" s="3">
        <v>0</v>
      </c>
      <c r="V1072" s="3" t="str">
        <f t="shared" si="232"/>
        <v>Normal</v>
      </c>
      <c r="W1072" s="3" t="s">
        <v>51</v>
      </c>
      <c r="X1072" s="32">
        <f t="shared" si="229"/>
        <v>4.7856709512416273E-2</v>
      </c>
      <c r="Z1072" s="38">
        <f t="shared" si="233"/>
        <v>0</v>
      </c>
      <c r="AC1072" s="36">
        <v>0.125</v>
      </c>
      <c r="AL1072" t="str">
        <f t="shared" si="234"/>
        <v>Normal</v>
      </c>
      <c r="AM1072" t="str">
        <f t="shared" si="235"/>
        <v>No</v>
      </c>
      <c r="AN1072" t="str">
        <f t="shared" si="236"/>
        <v>Emergency</v>
      </c>
      <c r="AO1072" t="str">
        <f t="shared" si="237"/>
        <v>ICU</v>
      </c>
    </row>
    <row r="1073" spans="1:41" x14ac:dyDescent="0.3">
      <c r="A1073" s="21" t="str">
        <f t="shared" si="230"/>
        <v>UHID-01072</v>
      </c>
      <c r="B1073" s="18">
        <v>59</v>
      </c>
      <c r="C1073" s="10" t="s">
        <v>17</v>
      </c>
      <c r="D1073" s="13" t="s">
        <v>28</v>
      </c>
      <c r="E1073" s="13" t="s">
        <v>7</v>
      </c>
      <c r="F1073" s="15">
        <v>46167.710508981501</v>
      </c>
      <c r="G1073" s="4">
        <v>46167</v>
      </c>
      <c r="H1073" s="1">
        <v>46179.612872870399</v>
      </c>
      <c r="I1073" s="22">
        <v>46179</v>
      </c>
      <c r="J1073" s="24">
        <f t="shared" si="224"/>
        <v>46179.501406863114</v>
      </c>
      <c r="K1073" s="24">
        <f t="shared" si="225"/>
        <v>0.61287287039885996</v>
      </c>
      <c r="L1073" s="29">
        <f t="shared" si="231"/>
        <v>46178</v>
      </c>
      <c r="M1073" s="27" t="str">
        <f t="shared" si="226"/>
        <v>Doctor Round Delay/Report Delay</v>
      </c>
      <c r="N1073" s="31">
        <f t="shared" si="227"/>
        <v>12</v>
      </c>
      <c r="O1073" s="27"/>
      <c r="Q1073" s="8">
        <v>0.91335697840105723</v>
      </c>
      <c r="R1073" s="8" t="str">
        <f t="shared" si="228"/>
        <v>Minor Delay</v>
      </c>
      <c r="S1073" s="33">
        <v>2.6751841747756573</v>
      </c>
      <c r="T1073" t="s">
        <v>31</v>
      </c>
      <c r="U1073" s="3">
        <v>0</v>
      </c>
      <c r="V1073" s="3" t="str">
        <f t="shared" si="232"/>
        <v>Normal</v>
      </c>
      <c r="W1073" s="3" t="s">
        <v>51</v>
      </c>
      <c r="X1073" s="32">
        <f t="shared" si="229"/>
        <v>0.11146600728534395</v>
      </c>
      <c r="Z1073" s="38">
        <f t="shared" si="233"/>
        <v>0</v>
      </c>
      <c r="AC1073" s="36">
        <v>0.125</v>
      </c>
      <c r="AL1073" t="str">
        <f t="shared" si="234"/>
        <v>Doctor Round Delay/Report Delay</v>
      </c>
      <c r="AM1073" t="str">
        <f t="shared" si="235"/>
        <v>Yes</v>
      </c>
      <c r="AN1073" t="str">
        <f t="shared" si="236"/>
        <v>Elective</v>
      </c>
      <c r="AO1073" t="str">
        <f t="shared" si="237"/>
        <v>ICU</v>
      </c>
    </row>
    <row r="1074" spans="1:41" x14ac:dyDescent="0.3">
      <c r="A1074" s="21" t="str">
        <f t="shared" si="230"/>
        <v>UHID-01073</v>
      </c>
      <c r="B1074" s="18">
        <v>60</v>
      </c>
      <c r="C1074" s="10" t="s">
        <v>18</v>
      </c>
      <c r="D1074" s="13" t="s">
        <v>27</v>
      </c>
      <c r="E1074" s="13" t="s">
        <v>7</v>
      </c>
      <c r="F1074" s="15">
        <v>46174.459300671297</v>
      </c>
      <c r="G1074" s="4">
        <v>46174</v>
      </c>
      <c r="H1074" s="1">
        <v>46179.533469456001</v>
      </c>
      <c r="I1074" s="22">
        <v>46179</v>
      </c>
      <c r="J1074" s="24">
        <f t="shared" si="224"/>
        <v>46179.334490502828</v>
      </c>
      <c r="K1074" s="24">
        <f t="shared" si="225"/>
        <v>0.5334694560006028</v>
      </c>
      <c r="L1074" s="29">
        <f t="shared" si="231"/>
        <v>46178</v>
      </c>
      <c r="M1074" s="27" t="str">
        <f t="shared" si="226"/>
        <v>Medication Change</v>
      </c>
      <c r="N1074" s="31">
        <f t="shared" si="227"/>
        <v>5</v>
      </c>
      <c r="O1074" s="27"/>
      <c r="Q1074" s="8">
        <v>6.582454968969853E-2</v>
      </c>
      <c r="R1074" s="8" t="str">
        <f t="shared" si="228"/>
        <v>Major Delay</v>
      </c>
      <c r="S1074" s="33">
        <v>1.7754948761628746</v>
      </c>
      <c r="T1074" t="s">
        <v>30</v>
      </c>
      <c r="U1074" s="3">
        <v>3</v>
      </c>
      <c r="V1074" s="3" t="str">
        <f t="shared" si="232"/>
        <v/>
      </c>
      <c r="W1074" s="3" t="s">
        <v>50</v>
      </c>
      <c r="X1074" s="32">
        <f t="shared" si="229"/>
        <v>0.19897895317262737</v>
      </c>
      <c r="Z1074" s="38">
        <f t="shared" si="233"/>
        <v>7.3978953172627371E-2</v>
      </c>
      <c r="AC1074" s="36">
        <v>0.125</v>
      </c>
      <c r="AL1074" t="str">
        <f t="shared" si="234"/>
        <v>Medication Change</v>
      </c>
      <c r="AM1074" t="str">
        <f t="shared" si="235"/>
        <v>No</v>
      </c>
      <c r="AN1074" t="str">
        <f t="shared" si="236"/>
        <v>Elective</v>
      </c>
      <c r="AO1074" t="str">
        <f t="shared" si="237"/>
        <v>HDU</v>
      </c>
    </row>
    <row r="1075" spans="1:41" x14ac:dyDescent="0.3">
      <c r="A1075" s="21" t="str">
        <f t="shared" si="230"/>
        <v>UHID-01074</v>
      </c>
      <c r="B1075" s="18">
        <v>37</v>
      </c>
      <c r="C1075" s="10" t="s">
        <v>18</v>
      </c>
      <c r="D1075" s="13" t="s">
        <v>26</v>
      </c>
      <c r="E1075" s="13" t="s">
        <v>7</v>
      </c>
      <c r="F1075" s="15">
        <v>46172.548170023103</v>
      </c>
      <c r="G1075" s="4">
        <v>46172</v>
      </c>
      <c r="H1075" s="1">
        <v>46179.557002569403</v>
      </c>
      <c r="I1075" s="22">
        <v>46179</v>
      </c>
      <c r="J1075" s="24">
        <f t="shared" si="224"/>
        <v>46179.431159648542</v>
      </c>
      <c r="K1075" s="24">
        <f t="shared" si="225"/>
        <v>0.55700256940326653</v>
      </c>
      <c r="L1075" s="29">
        <f t="shared" si="231"/>
        <v>46178</v>
      </c>
      <c r="M1075" s="27" t="str">
        <f t="shared" si="226"/>
        <v>TPA Approval Delay</v>
      </c>
      <c r="N1075" s="31">
        <f t="shared" si="227"/>
        <v>7</v>
      </c>
      <c r="O1075" s="27"/>
      <c r="Q1075" s="8">
        <v>0.70647674203597266</v>
      </c>
      <c r="R1075" s="8" t="str">
        <f t="shared" si="228"/>
        <v>Major Delay</v>
      </c>
      <c r="S1075" s="33">
        <v>3.0202301006038854</v>
      </c>
      <c r="T1075" t="s">
        <v>31</v>
      </c>
      <c r="U1075" s="3">
        <v>0</v>
      </c>
      <c r="V1075" s="3" t="str">
        <f t="shared" si="232"/>
        <v>Normal</v>
      </c>
      <c r="W1075" s="3" t="s">
        <v>51</v>
      </c>
      <c r="X1075" s="32">
        <f t="shared" si="229"/>
        <v>0.12584292086103233</v>
      </c>
      <c r="Z1075" s="38">
        <f t="shared" si="233"/>
        <v>8.4292086103232577E-4</v>
      </c>
      <c r="AC1075" s="36">
        <v>0.125</v>
      </c>
      <c r="AL1075" t="str">
        <f t="shared" si="234"/>
        <v>TPA Approval Delay</v>
      </c>
      <c r="AM1075" t="str">
        <f t="shared" si="235"/>
        <v>No</v>
      </c>
      <c r="AN1075" t="str">
        <f t="shared" si="236"/>
        <v>Emergency</v>
      </c>
      <c r="AO1075" t="str">
        <f t="shared" si="237"/>
        <v>ICU</v>
      </c>
    </row>
    <row r="1076" spans="1:41" x14ac:dyDescent="0.3">
      <c r="A1076" s="21" t="str">
        <f t="shared" si="230"/>
        <v>UHID-01075</v>
      </c>
      <c r="B1076" s="18">
        <v>61</v>
      </c>
      <c r="C1076" s="10" t="s">
        <v>17</v>
      </c>
      <c r="D1076" s="13" t="s">
        <v>27</v>
      </c>
      <c r="E1076" s="13" t="s">
        <v>7</v>
      </c>
      <c r="F1076" s="15">
        <v>46172.688489027802</v>
      </c>
      <c r="G1076" s="4">
        <v>46172</v>
      </c>
      <c r="H1076" s="1">
        <v>46179.7690036227</v>
      </c>
      <c r="I1076" s="22">
        <v>46179</v>
      </c>
      <c r="J1076" s="24">
        <f t="shared" si="224"/>
        <v>46179.689098482784</v>
      </c>
      <c r="K1076" s="24">
        <f t="shared" si="225"/>
        <v>0.76900362269952893</v>
      </c>
      <c r="L1076" s="29">
        <f t="shared" si="231"/>
        <v>46178</v>
      </c>
      <c r="M1076" s="27" t="str">
        <f t="shared" si="226"/>
        <v>Normal</v>
      </c>
      <c r="N1076" s="31">
        <f t="shared" si="227"/>
        <v>7</v>
      </c>
      <c r="O1076" s="27"/>
      <c r="Q1076" s="8">
        <v>0.35529913268626345</v>
      </c>
      <c r="R1076" s="8" t="str">
        <f t="shared" si="228"/>
        <v>On Time</v>
      </c>
      <c r="S1076" s="33">
        <v>1.9177233580521842</v>
      </c>
      <c r="T1076" t="s">
        <v>31</v>
      </c>
      <c r="U1076" s="3">
        <v>0</v>
      </c>
      <c r="V1076" s="3" t="str">
        <f t="shared" si="232"/>
        <v>Normal</v>
      </c>
      <c r="W1076" s="3" t="s">
        <v>51</v>
      </c>
      <c r="X1076" s="32">
        <f t="shared" si="229"/>
        <v>7.9905139915354084E-2</v>
      </c>
      <c r="Z1076" s="38">
        <f t="shared" si="233"/>
        <v>0</v>
      </c>
      <c r="AC1076" s="36">
        <v>0.125</v>
      </c>
      <c r="AL1076" t="str">
        <f t="shared" si="234"/>
        <v>Normal</v>
      </c>
      <c r="AM1076" t="str">
        <f t="shared" si="235"/>
        <v>No</v>
      </c>
      <c r="AN1076" t="str">
        <f t="shared" si="236"/>
        <v>Emergency</v>
      </c>
      <c r="AO1076" t="str">
        <f t="shared" si="237"/>
        <v>ICU</v>
      </c>
    </row>
    <row r="1077" spans="1:41" x14ac:dyDescent="0.3">
      <c r="A1077" s="21" t="str">
        <f t="shared" si="230"/>
        <v>UHID-01076</v>
      </c>
      <c r="B1077" s="18">
        <v>59</v>
      </c>
      <c r="C1077" s="10" t="s">
        <v>18</v>
      </c>
      <c r="D1077" s="13" t="s">
        <v>26</v>
      </c>
      <c r="E1077" s="13" t="s">
        <v>7</v>
      </c>
      <c r="F1077" s="15">
        <v>46178.790602106499</v>
      </c>
      <c r="G1077" s="4">
        <v>46178</v>
      </c>
      <c r="H1077" s="1">
        <v>46182.488951469903</v>
      </c>
      <c r="I1077" s="22">
        <v>46182</v>
      </c>
      <c r="J1077" s="24">
        <f t="shared" si="224"/>
        <v>46182.325017083233</v>
      </c>
      <c r="K1077" s="24">
        <f t="shared" si="225"/>
        <v>0.48895146990253124</v>
      </c>
      <c r="L1077" s="29">
        <f t="shared" si="231"/>
        <v>46181</v>
      </c>
      <c r="M1077" s="27" t="str">
        <f t="shared" si="226"/>
        <v>TPA Approval Delay</v>
      </c>
      <c r="N1077" s="31">
        <f t="shared" si="227"/>
        <v>4</v>
      </c>
      <c r="O1077" s="27"/>
      <c r="Q1077" s="8">
        <v>0.54940316663940003</v>
      </c>
      <c r="R1077" s="8" t="str">
        <f t="shared" si="228"/>
        <v>Major Delay</v>
      </c>
      <c r="S1077" s="33">
        <v>3.9344252801562329</v>
      </c>
      <c r="T1077" t="s">
        <v>31</v>
      </c>
      <c r="U1077" s="3">
        <v>0</v>
      </c>
      <c r="V1077" s="3" t="str">
        <f t="shared" si="232"/>
        <v>Normal</v>
      </c>
      <c r="W1077" s="3" t="s">
        <v>51</v>
      </c>
      <c r="X1077" s="32">
        <f t="shared" si="229"/>
        <v>0.16393438667000737</v>
      </c>
      <c r="Z1077" s="38">
        <f t="shared" si="233"/>
        <v>3.893438667000737E-2</v>
      </c>
      <c r="AC1077" s="36">
        <v>0.125</v>
      </c>
      <c r="AL1077" t="str">
        <f t="shared" si="234"/>
        <v>TPA Approval Delay</v>
      </c>
      <c r="AM1077" t="str">
        <f t="shared" si="235"/>
        <v>No</v>
      </c>
      <c r="AN1077" t="str">
        <f t="shared" si="236"/>
        <v>Elective</v>
      </c>
      <c r="AO1077" t="str">
        <f t="shared" si="237"/>
        <v>HDU</v>
      </c>
    </row>
    <row r="1078" spans="1:41" x14ac:dyDescent="0.3">
      <c r="A1078" s="21" t="str">
        <f t="shared" si="230"/>
        <v>UHID-01077</v>
      </c>
      <c r="B1078" s="18">
        <v>83</v>
      </c>
      <c r="C1078" s="10" t="s">
        <v>17</v>
      </c>
      <c r="D1078" s="13" t="s">
        <v>26</v>
      </c>
      <c r="E1078" s="13" t="s">
        <v>7</v>
      </c>
      <c r="F1078" s="15">
        <v>46175.280496527797</v>
      </c>
      <c r="G1078" s="4">
        <v>46175</v>
      </c>
      <c r="H1078" s="1">
        <v>46182.650055428203</v>
      </c>
      <c r="I1078" s="22">
        <v>46182</v>
      </c>
      <c r="J1078" s="24">
        <f t="shared" si="224"/>
        <v>46182.500012224984</v>
      </c>
      <c r="K1078" s="24">
        <f t="shared" si="225"/>
        <v>0.6500554282029043</v>
      </c>
      <c r="L1078" s="29">
        <f t="shared" si="231"/>
        <v>46181</v>
      </c>
      <c r="M1078" s="27" t="str">
        <f t="shared" si="226"/>
        <v>TPA Approval Delay</v>
      </c>
      <c r="N1078" s="31">
        <f t="shared" si="227"/>
        <v>7</v>
      </c>
      <c r="O1078" s="27"/>
      <c r="Q1078" s="8">
        <v>0.73157040777385118</v>
      </c>
      <c r="R1078" s="8" t="str">
        <f t="shared" si="228"/>
        <v>Major Delay</v>
      </c>
      <c r="S1078" s="33">
        <v>3.6010368773211492</v>
      </c>
      <c r="T1078" t="s">
        <v>31</v>
      </c>
      <c r="U1078" s="3">
        <v>0</v>
      </c>
      <c r="V1078" s="3" t="str">
        <f t="shared" si="232"/>
        <v>Normal</v>
      </c>
      <c r="W1078" s="3" t="s">
        <v>51</v>
      </c>
      <c r="X1078" s="32">
        <f t="shared" si="229"/>
        <v>0.15004320321895648</v>
      </c>
      <c r="Z1078" s="38">
        <f t="shared" si="233"/>
        <v>2.5043203218956478E-2</v>
      </c>
      <c r="AC1078" s="36">
        <v>0.125</v>
      </c>
      <c r="AL1078" t="str">
        <f t="shared" si="234"/>
        <v>TPA Approval Delay</v>
      </c>
      <c r="AM1078" t="str">
        <f t="shared" si="235"/>
        <v>No</v>
      </c>
      <c r="AN1078" t="str">
        <f t="shared" si="236"/>
        <v>Emergency</v>
      </c>
      <c r="AO1078" t="str">
        <f t="shared" si="237"/>
        <v>ICU</v>
      </c>
    </row>
    <row r="1079" spans="1:41" x14ac:dyDescent="0.3">
      <c r="A1079" s="21" t="str">
        <f t="shared" si="230"/>
        <v>UHID-01078</v>
      </c>
      <c r="B1079" s="18">
        <v>36</v>
      </c>
      <c r="C1079" s="10" t="s">
        <v>18</v>
      </c>
      <c r="D1079" s="13" t="s">
        <v>26</v>
      </c>
      <c r="E1079" s="13" t="s">
        <v>7</v>
      </c>
      <c r="F1079" s="15">
        <v>46180.838463622698</v>
      </c>
      <c r="G1079" s="4">
        <v>46180</v>
      </c>
      <c r="H1079" s="1">
        <v>46183.613942893498</v>
      </c>
      <c r="I1079" s="22">
        <v>46183</v>
      </c>
      <c r="J1079" s="24">
        <f t="shared" si="224"/>
        <v>46183.347980528291</v>
      </c>
      <c r="K1079" s="24">
        <f t="shared" si="225"/>
        <v>0.61394289349846076</v>
      </c>
      <c r="L1079" s="29">
        <f t="shared" si="231"/>
        <v>46182</v>
      </c>
      <c r="M1079" s="27" t="str">
        <f t="shared" si="226"/>
        <v>Health Deterioration/TPA Approval Delay</v>
      </c>
      <c r="N1079" s="31">
        <f t="shared" si="227"/>
        <v>3</v>
      </c>
      <c r="O1079" s="27"/>
      <c r="Q1079" s="8">
        <v>0.70161272990137724</v>
      </c>
      <c r="R1079" s="8" t="str">
        <f t="shared" si="228"/>
        <v>Critical Delay</v>
      </c>
      <c r="S1079" s="33">
        <v>3.3830967650367825</v>
      </c>
      <c r="T1079" t="s">
        <v>31</v>
      </c>
      <c r="U1079" s="3">
        <v>3</v>
      </c>
      <c r="V1079" s="3" t="str">
        <f t="shared" si="232"/>
        <v>Normal</v>
      </c>
      <c r="W1079" s="3" t="s">
        <v>50</v>
      </c>
      <c r="X1079" s="32">
        <f t="shared" si="229"/>
        <v>0.26596236520708771</v>
      </c>
      <c r="Z1079" s="38">
        <f t="shared" si="233"/>
        <v>0.14096236520708771</v>
      </c>
      <c r="AC1079" s="36">
        <v>0.125</v>
      </c>
      <c r="AL1079" t="str">
        <f t="shared" si="234"/>
        <v>Health Deterioration/TPA Approval Delay</v>
      </c>
      <c r="AM1079" t="str">
        <f t="shared" si="235"/>
        <v>No</v>
      </c>
      <c r="AN1079" t="str">
        <f t="shared" si="236"/>
        <v>Emergency</v>
      </c>
      <c r="AO1079" t="str">
        <f t="shared" si="237"/>
        <v>General Ward</v>
      </c>
    </row>
    <row r="1080" spans="1:41" x14ac:dyDescent="0.3">
      <c r="A1080" s="21" t="str">
        <f t="shared" si="230"/>
        <v>UHID-01079</v>
      </c>
      <c r="B1080" s="18">
        <v>65</v>
      </c>
      <c r="C1080" s="10" t="s">
        <v>18</v>
      </c>
      <c r="D1080" s="13" t="s">
        <v>28</v>
      </c>
      <c r="E1080" s="13" t="s">
        <v>7</v>
      </c>
      <c r="F1080" s="15">
        <v>46179.695161145799</v>
      </c>
      <c r="G1080" s="4">
        <v>46179</v>
      </c>
      <c r="H1080" s="1">
        <v>46182.856249999997</v>
      </c>
      <c r="I1080" s="22">
        <v>46182</v>
      </c>
      <c r="J1080" s="24">
        <f t="shared" si="224"/>
        <v>46182.766132906712</v>
      </c>
      <c r="K1080" s="24">
        <f t="shared" si="225"/>
        <v>0.85624999999708962</v>
      </c>
      <c r="L1080" s="29">
        <f t="shared" si="231"/>
        <v>46181</v>
      </c>
      <c r="M1080" s="27" t="str">
        <f t="shared" si="226"/>
        <v>Doctor Round Delay/Report Delay</v>
      </c>
      <c r="N1080" s="31">
        <f t="shared" si="227"/>
        <v>3</v>
      </c>
      <c r="O1080" s="27"/>
      <c r="Q1080" s="8">
        <v>0.89851387101729163</v>
      </c>
      <c r="R1080" s="8" t="str">
        <f t="shared" si="228"/>
        <v>Minor Delay</v>
      </c>
      <c r="S1080" s="33">
        <v>2.1628102387723169</v>
      </c>
      <c r="T1080" t="s">
        <v>31</v>
      </c>
      <c r="U1080" s="3">
        <v>0</v>
      </c>
      <c r="V1080" s="3" t="str">
        <f t="shared" si="232"/>
        <v>Normal</v>
      </c>
      <c r="W1080" s="3" t="s">
        <v>51</v>
      </c>
      <c r="X1080" s="32">
        <f t="shared" si="229"/>
        <v>9.0117093284789007E-2</v>
      </c>
      <c r="Z1080" s="38">
        <f t="shared" si="233"/>
        <v>0</v>
      </c>
      <c r="AC1080" s="36">
        <v>0.125</v>
      </c>
      <c r="AL1080" t="str">
        <f t="shared" si="234"/>
        <v>Doctor Round Delay/Report Delay</v>
      </c>
      <c r="AM1080" t="str">
        <f t="shared" si="235"/>
        <v>No</v>
      </c>
      <c r="AN1080" t="str">
        <f t="shared" si="236"/>
        <v>Emergency</v>
      </c>
      <c r="AO1080" t="str">
        <f t="shared" si="237"/>
        <v>General Ward</v>
      </c>
    </row>
    <row r="1081" spans="1:41" x14ac:dyDescent="0.3">
      <c r="A1081" s="21" t="str">
        <f t="shared" si="230"/>
        <v>UHID-01080</v>
      </c>
      <c r="B1081" s="18">
        <v>50</v>
      </c>
      <c r="C1081" s="10" t="s">
        <v>18</v>
      </c>
      <c r="D1081" s="13" t="s">
        <v>27</v>
      </c>
      <c r="E1081" s="13" t="s">
        <v>7</v>
      </c>
      <c r="F1081" s="15">
        <v>46181.857485567103</v>
      </c>
      <c r="G1081" s="4">
        <v>46181</v>
      </c>
      <c r="H1081" s="1">
        <v>46183.6111470139</v>
      </c>
      <c r="I1081" s="22">
        <v>46183</v>
      </c>
      <c r="J1081" s="24">
        <f t="shared" si="224"/>
        <v>46183.530235725382</v>
      </c>
      <c r="K1081" s="24">
        <f t="shared" si="225"/>
        <v>0.61114701390033588</v>
      </c>
      <c r="L1081" s="29">
        <f t="shared" si="231"/>
        <v>46182</v>
      </c>
      <c r="M1081" s="27" t="str">
        <f t="shared" si="226"/>
        <v>Normal</v>
      </c>
      <c r="N1081" s="31">
        <f t="shared" si="227"/>
        <v>2</v>
      </c>
      <c r="O1081" s="27"/>
      <c r="Q1081" s="8">
        <v>6.5038026534424476E-2</v>
      </c>
      <c r="R1081" s="8" t="str">
        <f t="shared" si="228"/>
        <v>On Time</v>
      </c>
      <c r="S1081" s="33">
        <v>1.9418709244330876</v>
      </c>
      <c r="T1081" t="s">
        <v>30</v>
      </c>
      <c r="U1081" s="3">
        <v>0</v>
      </c>
      <c r="V1081" s="3" t="str">
        <f t="shared" si="232"/>
        <v/>
      </c>
      <c r="W1081" s="3" t="s">
        <v>51</v>
      </c>
      <c r="X1081" s="32">
        <f t="shared" si="229"/>
        <v>8.0911288518109359E-2</v>
      </c>
      <c r="Z1081" s="38">
        <f t="shared" si="233"/>
        <v>0</v>
      </c>
      <c r="AC1081" s="36">
        <v>0.125</v>
      </c>
      <c r="AL1081" t="str">
        <f t="shared" si="234"/>
        <v>Normal</v>
      </c>
      <c r="AM1081" t="str">
        <f t="shared" si="235"/>
        <v>No</v>
      </c>
      <c r="AN1081" t="str">
        <f t="shared" si="236"/>
        <v>Elective</v>
      </c>
      <c r="AO1081" t="str">
        <f t="shared" si="237"/>
        <v>General Ward</v>
      </c>
    </row>
    <row r="1082" spans="1:41" x14ac:dyDescent="0.3">
      <c r="A1082" s="21" t="str">
        <f t="shared" si="230"/>
        <v>UHID-01081</v>
      </c>
      <c r="B1082" s="18">
        <v>80</v>
      </c>
      <c r="C1082" s="10" t="s">
        <v>18</v>
      </c>
      <c r="D1082" s="13" t="s">
        <v>27</v>
      </c>
      <c r="E1082" s="13" t="s">
        <v>7</v>
      </c>
      <c r="F1082" s="15">
        <v>46179.740271990697</v>
      </c>
      <c r="G1082" s="4">
        <v>46179</v>
      </c>
      <c r="H1082" s="1">
        <v>46183.824390763897</v>
      </c>
      <c r="I1082" s="22">
        <v>46183</v>
      </c>
      <c r="J1082" s="24">
        <f t="shared" si="224"/>
        <v>46183.758170488531</v>
      </c>
      <c r="K1082" s="24">
        <f t="shared" si="225"/>
        <v>0.82439076389709953</v>
      </c>
      <c r="L1082" s="29">
        <f t="shared" si="231"/>
        <v>46182</v>
      </c>
      <c r="M1082" s="27" t="str">
        <f t="shared" si="226"/>
        <v>Normal</v>
      </c>
      <c r="N1082" s="31">
        <f t="shared" si="227"/>
        <v>4</v>
      </c>
      <c r="O1082" s="27"/>
      <c r="Q1082" s="8">
        <v>4.2798221870851583E-2</v>
      </c>
      <c r="R1082" s="8" t="str">
        <f t="shared" si="228"/>
        <v>On Time</v>
      </c>
      <c r="S1082" s="33">
        <v>1.5892866087611686</v>
      </c>
      <c r="T1082" t="s">
        <v>30</v>
      </c>
      <c r="U1082" s="3">
        <v>0</v>
      </c>
      <c r="V1082" s="3" t="str">
        <f t="shared" si="232"/>
        <v/>
      </c>
      <c r="W1082" s="3" t="s">
        <v>51</v>
      </c>
      <c r="X1082" s="32">
        <f t="shared" si="229"/>
        <v>6.6220275366504211E-2</v>
      </c>
      <c r="Z1082" s="38">
        <f t="shared" si="233"/>
        <v>0</v>
      </c>
      <c r="AC1082" s="36">
        <v>0.125</v>
      </c>
      <c r="AL1082" t="str">
        <f t="shared" si="234"/>
        <v>Normal</v>
      </c>
      <c r="AM1082" t="str">
        <f t="shared" si="235"/>
        <v>No</v>
      </c>
      <c r="AN1082" t="str">
        <f t="shared" si="236"/>
        <v>Elective</v>
      </c>
      <c r="AO1082" t="str">
        <f t="shared" si="237"/>
        <v>HDU</v>
      </c>
    </row>
    <row r="1083" spans="1:41" x14ac:dyDescent="0.3">
      <c r="A1083" s="21" t="str">
        <f t="shared" si="230"/>
        <v>UHID-01082</v>
      </c>
      <c r="B1083" s="18">
        <v>80</v>
      </c>
      <c r="C1083" s="10" t="s">
        <v>17</v>
      </c>
      <c r="D1083" s="13" t="s">
        <v>27</v>
      </c>
      <c r="E1083" s="13" t="s">
        <v>7</v>
      </c>
      <c r="F1083" s="15">
        <v>46175.999721678199</v>
      </c>
      <c r="G1083" s="4">
        <v>46175</v>
      </c>
      <c r="H1083" s="1">
        <v>46184.836030034698</v>
      </c>
      <c r="I1083" s="22">
        <v>46184</v>
      </c>
      <c r="J1083" s="24">
        <f t="shared" si="224"/>
        <v>46184.780533258512</v>
      </c>
      <c r="K1083" s="24">
        <f t="shared" si="225"/>
        <v>0.83603003469761461</v>
      </c>
      <c r="L1083" s="29">
        <f t="shared" si="231"/>
        <v>46183</v>
      </c>
      <c r="M1083" s="27" t="str">
        <f t="shared" si="226"/>
        <v>Normal</v>
      </c>
      <c r="N1083" s="31">
        <f t="shared" si="227"/>
        <v>9</v>
      </c>
      <c r="O1083" s="27"/>
      <c r="Q1083" s="8">
        <v>0.4028656664453083</v>
      </c>
      <c r="R1083" s="8" t="str">
        <f t="shared" si="228"/>
        <v>On Time</v>
      </c>
      <c r="S1083" s="33">
        <v>1.3319226284494809</v>
      </c>
      <c r="T1083" t="s">
        <v>31</v>
      </c>
      <c r="U1083" s="3">
        <v>0</v>
      </c>
      <c r="V1083" s="3" t="str">
        <f t="shared" si="232"/>
        <v>Normal</v>
      </c>
      <c r="W1083" s="3" t="s">
        <v>51</v>
      </c>
      <c r="X1083" s="32">
        <f t="shared" si="229"/>
        <v>5.5496776185464114E-2</v>
      </c>
      <c r="Z1083" s="38">
        <f t="shared" si="233"/>
        <v>0</v>
      </c>
      <c r="AC1083" s="36">
        <v>0.125</v>
      </c>
      <c r="AL1083" t="str">
        <f t="shared" si="234"/>
        <v>Normal</v>
      </c>
      <c r="AM1083" t="str">
        <f t="shared" si="235"/>
        <v>No</v>
      </c>
      <c r="AN1083" t="str">
        <f t="shared" si="236"/>
        <v>Emergency</v>
      </c>
      <c r="AO1083" t="str">
        <f t="shared" si="237"/>
        <v>ICU</v>
      </c>
    </row>
    <row r="1084" spans="1:41" x14ac:dyDescent="0.3">
      <c r="A1084" s="21" t="str">
        <f t="shared" si="230"/>
        <v>UHID-01083</v>
      </c>
      <c r="B1084" s="18">
        <v>61</v>
      </c>
      <c r="C1084" s="10" t="s">
        <v>18</v>
      </c>
      <c r="D1084" s="13" t="s">
        <v>28</v>
      </c>
      <c r="E1084" s="13" t="s">
        <v>7</v>
      </c>
      <c r="F1084" s="15">
        <v>46174.237871608799</v>
      </c>
      <c r="G1084" s="4">
        <v>46174</v>
      </c>
      <c r="H1084" s="1">
        <v>46185.6627349884</v>
      </c>
      <c r="I1084" s="22">
        <v>46185</v>
      </c>
      <c r="J1084" s="24">
        <f t="shared" si="224"/>
        <v>46185.567168033529</v>
      </c>
      <c r="K1084" s="24">
        <f t="shared" si="225"/>
        <v>0.66273498840018874</v>
      </c>
      <c r="L1084" s="29">
        <f t="shared" si="231"/>
        <v>46184</v>
      </c>
      <c r="M1084" s="27" t="str">
        <f t="shared" si="226"/>
        <v>Doctor Round Delay/Report Delay</v>
      </c>
      <c r="N1084" s="31">
        <f t="shared" si="227"/>
        <v>11</v>
      </c>
      <c r="O1084" s="27"/>
      <c r="Q1084" s="8">
        <v>0.85504872908249041</v>
      </c>
      <c r="R1084" s="8" t="str">
        <f t="shared" si="228"/>
        <v>Minor Delay</v>
      </c>
      <c r="S1084" s="33">
        <v>2.2936069168488418</v>
      </c>
      <c r="T1084" t="s">
        <v>31</v>
      </c>
      <c r="U1084" s="3">
        <v>0</v>
      </c>
      <c r="V1084" s="3" t="str">
        <f t="shared" si="232"/>
        <v>Normal</v>
      </c>
      <c r="W1084" s="3" t="s">
        <v>51</v>
      </c>
      <c r="X1084" s="32">
        <f t="shared" si="229"/>
        <v>9.5566954871173948E-2</v>
      </c>
      <c r="Z1084" s="38">
        <f t="shared" si="233"/>
        <v>0</v>
      </c>
      <c r="AC1084" s="36">
        <v>0.125</v>
      </c>
      <c r="AL1084" t="str">
        <f t="shared" si="234"/>
        <v>Doctor Round Delay/Report Delay</v>
      </c>
      <c r="AM1084" t="str">
        <f t="shared" si="235"/>
        <v>Yes</v>
      </c>
      <c r="AN1084" t="str">
        <f t="shared" si="236"/>
        <v>Emergency</v>
      </c>
      <c r="AO1084" t="str">
        <f t="shared" si="237"/>
        <v>ICU</v>
      </c>
    </row>
    <row r="1085" spans="1:41" x14ac:dyDescent="0.3">
      <c r="A1085" s="21" t="str">
        <f t="shared" si="230"/>
        <v>UHID-01084</v>
      </c>
      <c r="B1085" s="18">
        <v>47</v>
      </c>
      <c r="C1085" s="10" t="s">
        <v>18</v>
      </c>
      <c r="D1085" s="13" t="s">
        <v>26</v>
      </c>
      <c r="E1085" s="13" t="s">
        <v>7</v>
      </c>
      <c r="F1085" s="15">
        <v>46185.746530625001</v>
      </c>
      <c r="G1085" s="4">
        <v>46185</v>
      </c>
      <c r="H1085" s="1">
        <v>46185.975694444402</v>
      </c>
      <c r="I1085" s="22">
        <v>46185</v>
      </c>
      <c r="J1085" s="24">
        <f t="shared" si="224"/>
        <v>46185.764067908582</v>
      </c>
      <c r="K1085" s="24">
        <f t="shared" si="225"/>
        <v>0.97569444440159714</v>
      </c>
      <c r="L1085" s="29">
        <f t="shared" si="231"/>
        <v>46184</v>
      </c>
      <c r="M1085" s="27" t="str">
        <f t="shared" si="226"/>
        <v>Health Deterioration/TPA Approval Delay</v>
      </c>
      <c r="N1085" s="31">
        <f t="shared" si="227"/>
        <v>0</v>
      </c>
      <c r="O1085" s="27"/>
      <c r="Q1085" s="8">
        <v>0.58216778227143884</v>
      </c>
      <c r="R1085" s="8" t="str">
        <f t="shared" si="228"/>
        <v>Critical Delay</v>
      </c>
      <c r="S1085" s="33">
        <v>3.079036859628701</v>
      </c>
      <c r="T1085" t="s">
        <v>31</v>
      </c>
      <c r="U1085" s="3">
        <v>2</v>
      </c>
      <c r="V1085" s="3" t="str">
        <f t="shared" si="232"/>
        <v>Normal</v>
      </c>
      <c r="W1085" s="3" t="s">
        <v>50</v>
      </c>
      <c r="X1085" s="32">
        <f t="shared" si="229"/>
        <v>0.21162653581995983</v>
      </c>
      <c r="Z1085" s="38">
        <f t="shared" si="233"/>
        <v>8.6626535819959827E-2</v>
      </c>
      <c r="AC1085" s="36">
        <v>0.125</v>
      </c>
      <c r="AL1085" t="str">
        <f t="shared" si="234"/>
        <v>Health Deterioration/TPA Approval Delay</v>
      </c>
      <c r="AM1085" t="str">
        <f t="shared" si="235"/>
        <v>No</v>
      </c>
      <c r="AN1085" t="str">
        <f t="shared" si="236"/>
        <v>Emergency</v>
      </c>
      <c r="AO1085" t="str">
        <f t="shared" si="237"/>
        <v>General Ward</v>
      </c>
    </row>
    <row r="1086" spans="1:41" x14ac:dyDescent="0.3">
      <c r="A1086" s="21" t="str">
        <f t="shared" si="230"/>
        <v>UHID-01085</v>
      </c>
      <c r="B1086" s="18">
        <v>83</v>
      </c>
      <c r="C1086" s="10" t="s">
        <v>17</v>
      </c>
      <c r="D1086" s="13" t="s">
        <v>26</v>
      </c>
      <c r="E1086" s="13" t="s">
        <v>7</v>
      </c>
      <c r="F1086" s="15">
        <v>46186.205427141198</v>
      </c>
      <c r="G1086" s="4">
        <v>46186</v>
      </c>
      <c r="H1086" s="1">
        <v>46187.361111111102</v>
      </c>
      <c r="I1086" s="22">
        <v>46187</v>
      </c>
      <c r="J1086" s="24">
        <f t="shared" si="224"/>
        <v>46187.200911483822</v>
      </c>
      <c r="K1086" s="24">
        <f t="shared" si="225"/>
        <v>0.36111111110221827</v>
      </c>
      <c r="L1086" s="29">
        <f t="shared" si="231"/>
        <v>46186</v>
      </c>
      <c r="M1086" s="27" t="str">
        <f t="shared" si="226"/>
        <v>TPA Approval Delay</v>
      </c>
      <c r="N1086" s="31">
        <f t="shared" si="227"/>
        <v>1</v>
      </c>
      <c r="O1086" s="27"/>
      <c r="Q1086" s="8">
        <v>0.67582679849987193</v>
      </c>
      <c r="R1086" s="8" t="str">
        <f t="shared" si="228"/>
        <v>Major Delay</v>
      </c>
      <c r="S1086" s="33">
        <v>3.8447910546595838</v>
      </c>
      <c r="T1086" t="s">
        <v>31</v>
      </c>
      <c r="U1086" s="3">
        <v>0</v>
      </c>
      <c r="V1086" s="3" t="str">
        <f t="shared" si="232"/>
        <v>Normal</v>
      </c>
      <c r="W1086" s="3" t="s">
        <v>51</v>
      </c>
      <c r="X1086" s="32">
        <f t="shared" si="229"/>
        <v>0.16019962728023529</v>
      </c>
      <c r="Z1086" s="38">
        <f t="shared" si="233"/>
        <v>3.5199627280235291E-2</v>
      </c>
      <c r="AC1086" s="36">
        <v>0.125</v>
      </c>
      <c r="AL1086" t="str">
        <f t="shared" si="234"/>
        <v>TPA Approval Delay</v>
      </c>
      <c r="AM1086" t="str">
        <f t="shared" si="235"/>
        <v>No</v>
      </c>
      <c r="AN1086" t="str">
        <f t="shared" si="236"/>
        <v>Elective</v>
      </c>
      <c r="AO1086" t="str">
        <f t="shared" si="237"/>
        <v>General Ward</v>
      </c>
    </row>
    <row r="1087" spans="1:41" x14ac:dyDescent="0.3">
      <c r="A1087" s="21" t="str">
        <f t="shared" si="230"/>
        <v>UHID-01086</v>
      </c>
      <c r="B1087" s="18">
        <v>54</v>
      </c>
      <c r="C1087" s="10" t="s">
        <v>18</v>
      </c>
      <c r="D1087" s="13" t="s">
        <v>28</v>
      </c>
      <c r="E1087" s="13" t="s">
        <v>7</v>
      </c>
      <c r="F1087" s="15">
        <v>46185.871161018498</v>
      </c>
      <c r="G1087" s="4">
        <v>46185</v>
      </c>
      <c r="H1087" s="1">
        <v>46187.001388888901</v>
      </c>
      <c r="I1087" s="22">
        <v>46187</v>
      </c>
      <c r="J1087" s="24">
        <f t="shared" si="224"/>
        <v>46186.908519455319</v>
      </c>
      <c r="K1087" s="24">
        <f t="shared" si="225"/>
        <v>1.388888900692109E-3</v>
      </c>
      <c r="L1087" s="29">
        <f t="shared" si="231"/>
        <v>46186</v>
      </c>
      <c r="M1087" s="27" t="str">
        <f t="shared" si="226"/>
        <v>Doctor Round Delay/Report Delay</v>
      </c>
      <c r="N1087" s="31">
        <f t="shared" si="227"/>
        <v>2</v>
      </c>
      <c r="O1087" s="27"/>
      <c r="Q1087" s="8">
        <v>0.86358599006641912</v>
      </c>
      <c r="R1087" s="8" t="str">
        <f t="shared" si="228"/>
        <v>Minor Delay</v>
      </c>
      <c r="S1087" s="33">
        <v>2.2288664058973082</v>
      </c>
      <c r="T1087" t="s">
        <v>31</v>
      </c>
      <c r="U1087" s="3">
        <v>0</v>
      </c>
      <c r="V1087" s="3" t="str">
        <f t="shared" si="232"/>
        <v>Normal</v>
      </c>
      <c r="W1087" s="3" t="s">
        <v>51</v>
      </c>
      <c r="X1087" s="32">
        <f t="shared" si="229"/>
        <v>9.2869433581654448E-2</v>
      </c>
      <c r="Z1087" s="38">
        <f t="shared" si="233"/>
        <v>0</v>
      </c>
      <c r="AC1087" s="36">
        <v>0.125</v>
      </c>
      <c r="AL1087" t="str">
        <f t="shared" si="234"/>
        <v>Doctor Round Delay/Report Delay</v>
      </c>
      <c r="AM1087" t="str">
        <f t="shared" si="235"/>
        <v>No</v>
      </c>
      <c r="AN1087" t="str">
        <f t="shared" si="236"/>
        <v>Elective</v>
      </c>
      <c r="AO1087" t="str">
        <f t="shared" si="237"/>
        <v>General Ward</v>
      </c>
    </row>
    <row r="1088" spans="1:41" x14ac:dyDescent="0.3">
      <c r="A1088" s="21" t="str">
        <f t="shared" si="230"/>
        <v>UHID-01087</v>
      </c>
      <c r="B1088" s="18">
        <v>25</v>
      </c>
      <c r="C1088" s="10" t="s">
        <v>17</v>
      </c>
      <c r="D1088" s="13" t="s">
        <v>27</v>
      </c>
      <c r="E1088" s="13" t="s">
        <v>7</v>
      </c>
      <c r="F1088" s="15">
        <v>46186.526540659703</v>
      </c>
      <c r="G1088" s="4">
        <v>46186</v>
      </c>
      <c r="H1088" s="1">
        <v>46188.610464155099</v>
      </c>
      <c r="I1088" s="22">
        <v>46188</v>
      </c>
      <c r="J1088" s="24">
        <f t="shared" si="224"/>
        <v>46188.565203883627</v>
      </c>
      <c r="K1088" s="24">
        <f t="shared" si="225"/>
        <v>0.61046415509918006</v>
      </c>
      <c r="L1088" s="29">
        <f t="shared" si="231"/>
        <v>46187</v>
      </c>
      <c r="M1088" s="27" t="str">
        <f t="shared" si="226"/>
        <v>Normal</v>
      </c>
      <c r="N1088" s="31">
        <f t="shared" si="227"/>
        <v>2</v>
      </c>
      <c r="O1088" s="27"/>
      <c r="Q1088" s="8">
        <v>0.26442486078123073</v>
      </c>
      <c r="R1088" s="8" t="str">
        <f t="shared" si="228"/>
        <v>On Time</v>
      </c>
      <c r="S1088" s="33">
        <v>1.0862465153177185</v>
      </c>
      <c r="T1088" t="s">
        <v>30</v>
      </c>
      <c r="U1088" s="3">
        <v>0</v>
      </c>
      <c r="V1088" s="3" t="str">
        <f t="shared" si="232"/>
        <v/>
      </c>
      <c r="W1088" s="3" t="s">
        <v>51</v>
      </c>
      <c r="X1088" s="32">
        <f t="shared" si="229"/>
        <v>4.5260271472216118E-2</v>
      </c>
      <c r="Z1088" s="38">
        <f t="shared" si="233"/>
        <v>0</v>
      </c>
      <c r="AC1088" s="36">
        <v>0.125</v>
      </c>
      <c r="AL1088" t="str">
        <f t="shared" si="234"/>
        <v>Normal</v>
      </c>
      <c r="AM1088" t="str">
        <f t="shared" si="235"/>
        <v>No</v>
      </c>
      <c r="AN1088" t="str">
        <f t="shared" si="236"/>
        <v>Elective</v>
      </c>
      <c r="AO1088" t="str">
        <f t="shared" si="237"/>
        <v>General Ward</v>
      </c>
    </row>
    <row r="1089" spans="1:41" x14ac:dyDescent="0.3">
      <c r="A1089" s="21" t="str">
        <f t="shared" si="230"/>
        <v>UHID-01088</v>
      </c>
      <c r="B1089" s="18">
        <v>68</v>
      </c>
      <c r="C1089" s="10" t="s">
        <v>17</v>
      </c>
      <c r="D1089" s="13" t="s">
        <v>27</v>
      </c>
      <c r="E1089" s="13" t="s">
        <v>7</v>
      </c>
      <c r="F1089" s="15">
        <v>46165.884318217599</v>
      </c>
      <c r="G1089" s="4">
        <v>46165</v>
      </c>
      <c r="H1089" s="1">
        <v>46188.677843009304</v>
      </c>
      <c r="I1089" s="22">
        <v>46188</v>
      </c>
      <c r="J1089" s="24">
        <f t="shared" si="224"/>
        <v>46188.620345151678</v>
      </c>
      <c r="K1089" s="24">
        <f t="shared" si="225"/>
        <v>0.67784300930361496</v>
      </c>
      <c r="L1089" s="29">
        <f t="shared" si="231"/>
        <v>46187</v>
      </c>
      <c r="M1089" s="27" t="str">
        <f t="shared" si="226"/>
        <v>Normal</v>
      </c>
      <c r="N1089" s="31">
        <f t="shared" si="227"/>
        <v>23</v>
      </c>
      <c r="O1089" s="27"/>
      <c r="Q1089" s="8">
        <v>0.25825361296124127</v>
      </c>
      <c r="R1089" s="8" t="str">
        <f t="shared" si="228"/>
        <v>On Time</v>
      </c>
      <c r="S1089" s="33">
        <v>1.3799485829458287</v>
      </c>
      <c r="T1089" t="s">
        <v>30</v>
      </c>
      <c r="U1089" s="3">
        <v>0</v>
      </c>
      <c r="V1089" s="3" t="str">
        <f t="shared" si="232"/>
        <v/>
      </c>
      <c r="W1089" s="3" t="s">
        <v>51</v>
      </c>
      <c r="X1089" s="32">
        <f t="shared" si="229"/>
        <v>5.7497857626003679E-2</v>
      </c>
      <c r="Z1089" s="38">
        <f t="shared" si="233"/>
        <v>0</v>
      </c>
      <c r="AC1089" s="36">
        <v>0.125</v>
      </c>
      <c r="AL1089" t="str">
        <f t="shared" si="234"/>
        <v>Normal</v>
      </c>
      <c r="AM1089" t="str">
        <f t="shared" si="235"/>
        <v>Yes</v>
      </c>
      <c r="AN1089" t="str">
        <f t="shared" si="236"/>
        <v>Emergency</v>
      </c>
      <c r="AO1089" t="str">
        <f t="shared" si="237"/>
        <v>ICU</v>
      </c>
    </row>
    <row r="1090" spans="1:41" x14ac:dyDescent="0.3">
      <c r="A1090" s="21" t="str">
        <f t="shared" si="230"/>
        <v>UHID-01089</v>
      </c>
      <c r="B1090" s="18">
        <v>36</v>
      </c>
      <c r="C1090" s="10" t="s">
        <v>18</v>
      </c>
      <c r="D1090" s="13" t="s">
        <v>27</v>
      </c>
      <c r="E1090" s="13" t="s">
        <v>7</v>
      </c>
      <c r="F1090" s="15">
        <v>46183.698549537003</v>
      </c>
      <c r="G1090" s="4">
        <v>46183</v>
      </c>
      <c r="H1090" s="1">
        <v>46189.684074224497</v>
      </c>
      <c r="I1090" s="22">
        <v>46189</v>
      </c>
      <c r="J1090" s="24">
        <f t="shared" ref="J1090:J1153" si="238">I1090+K1090-((S1090+U1090)/24)</f>
        <v>46189.435027707041</v>
      </c>
      <c r="K1090" s="24">
        <f t="shared" ref="K1090:K1153" si="239">MOD(H1090,1)</f>
        <v>0.68407422449672595</v>
      </c>
      <c r="L1090" s="29">
        <f t="shared" si="231"/>
        <v>46188</v>
      </c>
      <c r="M1090" s="27" t="str">
        <f t="shared" ref="M1090:M1153" si="240">IF(X1090="","",IF(X1090&lt;=TIME(2,0,0),"Normal",IF(X1090&lt;=TIME(3,0,0),IF(D1090="CASH","Bill Settlement Delay","Doctor Round Delay/Report Delay"),IF(X1090&lt;=TIME(5,0,0),IF(D1090="TPA","TPA Approval Delay","Medication Change"),IF(D1090="TPA","Health Deterioration/TPA Approval Delay","Health Deterioration")))))</f>
        <v>Health Deterioration</v>
      </c>
      <c r="N1090" s="31">
        <f t="shared" ref="N1090:N1153" si="241">I1090-G1090</f>
        <v>6</v>
      </c>
      <c r="O1090" s="27"/>
      <c r="Q1090" s="8">
        <v>2.2059296267862183E-2</v>
      </c>
      <c r="R1090" s="8" t="str">
        <f t="shared" ref="R1090:R1153" si="242">IF(X1090="","",IF(X1090&lt;=TIME(2,0,0),"On Time",IF(X1090&lt;=TIME(3,0,0),"Minor Delay",IF(X1090&lt;=TIME(5,0,0),"Major Delay","Critical Delay"))))</f>
        <v>Critical Delay</v>
      </c>
      <c r="S1090" s="33">
        <v>1.9771164188687786</v>
      </c>
      <c r="T1090" t="s">
        <v>30</v>
      </c>
      <c r="U1090" s="3">
        <v>4</v>
      </c>
      <c r="V1090" s="3" t="str">
        <f t="shared" si="232"/>
        <v/>
      </c>
      <c r="W1090" s="3" t="s">
        <v>50</v>
      </c>
      <c r="X1090" s="32">
        <f t="shared" ref="X1090:X1153" si="243">MOD(K1090-J1090,1)</f>
        <v>0.24904651745600859</v>
      </c>
      <c r="Z1090" s="38">
        <f t="shared" si="233"/>
        <v>0.12404651745600859</v>
      </c>
      <c r="AC1090" s="36">
        <v>0.125</v>
      </c>
      <c r="AL1090" t="str">
        <f t="shared" si="234"/>
        <v>Health Deterioration</v>
      </c>
      <c r="AM1090" t="str">
        <f t="shared" si="235"/>
        <v>No</v>
      </c>
      <c r="AN1090" t="str">
        <f t="shared" si="236"/>
        <v>Emergency</v>
      </c>
      <c r="AO1090" t="str">
        <f t="shared" si="237"/>
        <v>HDU</v>
      </c>
    </row>
    <row r="1091" spans="1:41" x14ac:dyDescent="0.3">
      <c r="A1091" s="21" t="str">
        <f t="shared" ref="A1091:A1154" si="244">"UHID-"&amp;TEXT(ROW(A1091)-1,"00000")</f>
        <v>UHID-01090</v>
      </c>
      <c r="B1091" s="18">
        <v>76</v>
      </c>
      <c r="C1091" s="10" t="s">
        <v>18</v>
      </c>
      <c r="D1091" s="13" t="s">
        <v>26</v>
      </c>
      <c r="E1091" s="13" t="s">
        <v>7</v>
      </c>
      <c r="F1091" s="15">
        <v>46185.682875625003</v>
      </c>
      <c r="G1091" s="4">
        <v>46185</v>
      </c>
      <c r="H1091" s="1">
        <v>46189.732704571798</v>
      </c>
      <c r="I1091" s="22">
        <v>46189</v>
      </c>
      <c r="J1091" s="24">
        <f t="shared" si="238"/>
        <v>46189.580973303688</v>
      </c>
      <c r="K1091" s="24">
        <f t="shared" si="239"/>
        <v>0.73270457179751247</v>
      </c>
      <c r="L1091" s="29">
        <f t="shared" ref="L1091:L1154" si="245">IF(J1091&gt;MOD(H1091,1),INT(H1091)-1,INT(H1091))</f>
        <v>46188</v>
      </c>
      <c r="M1091" s="27" t="str">
        <f t="shared" si="240"/>
        <v>TPA Approval Delay</v>
      </c>
      <c r="N1091" s="31">
        <f t="shared" si="241"/>
        <v>4</v>
      </c>
      <c r="O1091" s="27"/>
      <c r="Q1091" s="8">
        <v>0.77422255757159331</v>
      </c>
      <c r="R1091" s="8" t="str">
        <f t="shared" si="242"/>
        <v>Major Delay</v>
      </c>
      <c r="S1091" s="33">
        <v>3.6415504345755272</v>
      </c>
      <c r="T1091" t="s">
        <v>31</v>
      </c>
      <c r="U1091" s="3">
        <v>0</v>
      </c>
      <c r="V1091" s="3" t="str">
        <f t="shared" ref="V1091:V1154" si="246">IF(T1091="NO","Normal","")</f>
        <v>Normal</v>
      </c>
      <c r="W1091" s="3" t="s">
        <v>51</v>
      </c>
      <c r="X1091" s="32">
        <f t="shared" si="243"/>
        <v>0.15173126810987014</v>
      </c>
      <c r="Z1091" s="38">
        <f t="shared" ref="Z1091:Z1154" si="247">IF(X1091 &gt; TIME(3,0,0), X1091 - TIME(3,0,0), 0)</f>
        <v>2.6731268109870143E-2</v>
      </c>
      <c r="AC1091" s="36">
        <v>0.125</v>
      </c>
      <c r="AL1091" t="str">
        <f t="shared" ref="AL1091:AL1154" si="248">IF(X1091="","",IF(X1091&lt;=TIME(2,0,0),"Normal",IF(X1091&lt;=TIME(3,0,0),IF(D1091="CASH","Bill Settlement Delay","Doctor Round Delay/Report Delay"),IF(Z1091&lt;=TIME(2,0,0),IF(D1091="TPA","TPA Approval Delay","Medication Change"),IF(D1091="TPA","Health Deterioration/TPA Approval Delay","Health Deterioration")))))</f>
        <v>TPA Approval Delay</v>
      </c>
      <c r="AM1091" t="str">
        <f t="shared" ref="AM1091:AM1154" si="249">IF(OR(AND(B1091&gt;65, R1091="Critical Delay"), N1091&gt;10), "Yes", "No")</f>
        <v>No</v>
      </c>
      <c r="AN1091" t="str">
        <f t="shared" ref="AN1091:AN1154" si="250">IF(E1091="Cardiology &amp; Cardiothoracic", IF(MOD(ROW(),10)&lt;3, "Emergency", "Elective"), IF(E1091="Neurology &amp; Neurosurgery", IF(MOD(ROW(),10)&lt;4, "Emergency", "Elective"), IF(D1091="COR", IF(MOD(ROW(),20)&lt;7, "Emergency", "Elective"), IF(OR(R1091="Critical Delay", N1091&gt;=7), "Emergency", "Elective"))))</f>
        <v>Elective</v>
      </c>
      <c r="AO1091" t="str">
        <f t="shared" ref="AO1091:AO1154" si="251">IF(OR(N1091&gt;6, AND(E1091="Cardiology &amp; Cardiothoracic", MOD(ROW(),10)&lt;4), AND(E1091="Neurology &amp; Neurosurgery", MOD(ROW(),10)&lt;6)), "ICU", IF(OR(N1091&gt;3, AND(E1091="Cardiology &amp; Cardiothoracic", MOD(ROW(),10)&lt;6), E1091="Neurology &amp; Neurosurgery"), "HDU", "General Ward"))</f>
        <v>HDU</v>
      </c>
    </row>
    <row r="1092" spans="1:41" x14ac:dyDescent="0.3">
      <c r="A1092" s="21" t="str">
        <f t="shared" si="244"/>
        <v>UHID-01091</v>
      </c>
      <c r="B1092" s="18">
        <v>80</v>
      </c>
      <c r="C1092" s="10" t="s">
        <v>18</v>
      </c>
      <c r="D1092" s="13" t="s">
        <v>26</v>
      </c>
      <c r="E1092" s="13" t="s">
        <v>7</v>
      </c>
      <c r="F1092" s="15">
        <v>46186.765260081003</v>
      </c>
      <c r="G1092" s="4">
        <v>46186</v>
      </c>
      <c r="H1092" s="1">
        <v>46190.7041901505</v>
      </c>
      <c r="I1092" s="22">
        <v>46190</v>
      </c>
      <c r="J1092" s="24">
        <f t="shared" si="238"/>
        <v>46190.568840681408</v>
      </c>
      <c r="K1092" s="24">
        <f t="shared" si="239"/>
        <v>0.70419015049992595</v>
      </c>
      <c r="L1092" s="29">
        <f t="shared" si="245"/>
        <v>46189</v>
      </c>
      <c r="M1092" s="27" t="str">
        <f t="shared" si="240"/>
        <v>TPA Approval Delay</v>
      </c>
      <c r="N1092" s="31">
        <f t="shared" si="241"/>
        <v>4</v>
      </c>
      <c r="O1092" s="27"/>
      <c r="Q1092" s="8">
        <v>0.75501407893332295</v>
      </c>
      <c r="R1092" s="8" t="str">
        <f t="shared" si="242"/>
        <v>Major Delay</v>
      </c>
      <c r="S1092" s="33">
        <v>3.2483872582715172</v>
      </c>
      <c r="T1092" t="s">
        <v>31</v>
      </c>
      <c r="U1092" s="3">
        <v>0</v>
      </c>
      <c r="V1092" s="3" t="str">
        <f t="shared" si="246"/>
        <v>Normal</v>
      </c>
      <c r="W1092" s="3" t="s">
        <v>51</v>
      </c>
      <c r="X1092" s="32">
        <f t="shared" si="243"/>
        <v>0.13534946909203427</v>
      </c>
      <c r="Z1092" s="38">
        <f t="shared" si="247"/>
        <v>1.0349469092034269E-2</v>
      </c>
      <c r="AC1092" s="36">
        <v>0.125</v>
      </c>
      <c r="AL1092" t="str">
        <f t="shared" si="248"/>
        <v>TPA Approval Delay</v>
      </c>
      <c r="AM1092" t="str">
        <f t="shared" si="249"/>
        <v>No</v>
      </c>
      <c r="AN1092" t="str">
        <f t="shared" si="250"/>
        <v>Elective</v>
      </c>
      <c r="AO1092" t="str">
        <f t="shared" si="251"/>
        <v>HDU</v>
      </c>
    </row>
    <row r="1093" spans="1:41" x14ac:dyDescent="0.3">
      <c r="A1093" s="21" t="str">
        <f t="shared" si="244"/>
        <v>UHID-01092</v>
      </c>
      <c r="B1093" s="18">
        <v>67</v>
      </c>
      <c r="C1093" s="10" t="s">
        <v>17</v>
      </c>
      <c r="D1093" s="13" t="s">
        <v>27</v>
      </c>
      <c r="E1093" s="13" t="s">
        <v>7</v>
      </c>
      <c r="F1093" s="15">
        <v>46186.760485624996</v>
      </c>
      <c r="G1093" s="4">
        <v>46186</v>
      </c>
      <c r="H1093" s="1">
        <v>46191.564637025498</v>
      </c>
      <c r="I1093" s="22">
        <v>46191</v>
      </c>
      <c r="J1093" s="24">
        <f t="shared" si="238"/>
        <v>46191.407385063692</v>
      </c>
      <c r="K1093" s="24">
        <f t="shared" si="239"/>
        <v>0.56463702549808659</v>
      </c>
      <c r="L1093" s="29">
        <f t="shared" si="245"/>
        <v>46190</v>
      </c>
      <c r="M1093" s="27" t="str">
        <f t="shared" si="240"/>
        <v>Medication Change</v>
      </c>
      <c r="N1093" s="31">
        <f t="shared" si="241"/>
        <v>5</v>
      </c>
      <c r="O1093" s="27"/>
      <c r="Q1093" s="8">
        <v>0.35433141555966252</v>
      </c>
      <c r="R1093" s="8" t="str">
        <f t="shared" si="242"/>
        <v>Major Delay</v>
      </c>
      <c r="S1093" s="33">
        <v>1.774047083328018</v>
      </c>
      <c r="T1093" t="s">
        <v>31</v>
      </c>
      <c r="U1093" s="3">
        <v>2</v>
      </c>
      <c r="V1093" s="3" t="str">
        <f t="shared" si="246"/>
        <v>Normal</v>
      </c>
      <c r="W1093" s="3" t="s">
        <v>50</v>
      </c>
      <c r="X1093" s="32">
        <f t="shared" si="243"/>
        <v>0.1572519618057413</v>
      </c>
      <c r="Z1093" s="38">
        <f t="shared" si="247"/>
        <v>3.2251961805741303E-2</v>
      </c>
      <c r="AC1093" s="36">
        <v>0.125</v>
      </c>
      <c r="AL1093" t="str">
        <f t="shared" si="248"/>
        <v>Medication Change</v>
      </c>
      <c r="AM1093" t="str">
        <f t="shared" si="249"/>
        <v>No</v>
      </c>
      <c r="AN1093" t="str">
        <f t="shared" si="250"/>
        <v>Elective</v>
      </c>
      <c r="AO1093" t="str">
        <f t="shared" si="251"/>
        <v>HDU</v>
      </c>
    </row>
    <row r="1094" spans="1:41" x14ac:dyDescent="0.3">
      <c r="A1094" s="21" t="str">
        <f t="shared" si="244"/>
        <v>UHID-01093</v>
      </c>
      <c r="B1094" s="18">
        <v>51</v>
      </c>
      <c r="C1094" s="10" t="s">
        <v>17</v>
      </c>
      <c r="D1094" s="13" t="s">
        <v>27</v>
      </c>
      <c r="E1094" s="13" t="s">
        <v>7</v>
      </c>
      <c r="F1094" s="15">
        <v>46188.8285771991</v>
      </c>
      <c r="G1094" s="4">
        <v>46188</v>
      </c>
      <c r="H1094" s="1">
        <v>46191.525086342597</v>
      </c>
      <c r="I1094" s="22">
        <v>46191</v>
      </c>
      <c r="J1094" s="24">
        <f t="shared" si="238"/>
        <v>46191.476355438419</v>
      </c>
      <c r="K1094" s="24">
        <f t="shared" si="239"/>
        <v>0.52508634259720566</v>
      </c>
      <c r="L1094" s="29">
        <f t="shared" si="245"/>
        <v>46190</v>
      </c>
      <c r="M1094" s="27" t="str">
        <f t="shared" si="240"/>
        <v>Normal</v>
      </c>
      <c r="N1094" s="31">
        <f t="shared" si="241"/>
        <v>3</v>
      </c>
      <c r="O1094" s="27"/>
      <c r="Q1094" s="8">
        <v>0.3332580687048966</v>
      </c>
      <c r="R1094" s="8" t="str">
        <f t="shared" si="242"/>
        <v>On Time</v>
      </c>
      <c r="S1094" s="33">
        <v>1.1695417001964117</v>
      </c>
      <c r="T1094" t="s">
        <v>30</v>
      </c>
      <c r="U1094" s="3">
        <v>0</v>
      </c>
      <c r="V1094" s="3" t="str">
        <f t="shared" si="246"/>
        <v/>
      </c>
      <c r="W1094" s="3" t="s">
        <v>51</v>
      </c>
      <c r="X1094" s="32">
        <f t="shared" si="243"/>
        <v>4.8730904178228229E-2</v>
      </c>
      <c r="Z1094" s="38">
        <f t="shared" si="247"/>
        <v>0</v>
      </c>
      <c r="AC1094" s="36">
        <v>0.125</v>
      </c>
      <c r="AL1094" t="str">
        <f t="shared" si="248"/>
        <v>Normal</v>
      </c>
      <c r="AM1094" t="str">
        <f t="shared" si="249"/>
        <v>No</v>
      </c>
      <c r="AN1094" t="str">
        <f t="shared" si="250"/>
        <v>Elective</v>
      </c>
      <c r="AO1094" t="str">
        <f t="shared" si="251"/>
        <v>General Ward</v>
      </c>
    </row>
    <row r="1095" spans="1:41" x14ac:dyDescent="0.3">
      <c r="A1095" s="21" t="str">
        <f t="shared" si="244"/>
        <v>UHID-01094</v>
      </c>
      <c r="B1095" s="18">
        <v>54</v>
      </c>
      <c r="C1095" s="10" t="s">
        <v>18</v>
      </c>
      <c r="D1095" s="13" t="s">
        <v>26</v>
      </c>
      <c r="E1095" s="13" t="s">
        <v>7</v>
      </c>
      <c r="F1095" s="15">
        <v>46183.044706956003</v>
      </c>
      <c r="G1095" s="4">
        <v>46183</v>
      </c>
      <c r="H1095" s="1">
        <v>46192.5306470949</v>
      </c>
      <c r="I1095" s="22">
        <v>46192</v>
      </c>
      <c r="J1095" s="24">
        <f t="shared" si="238"/>
        <v>46192.279027652585</v>
      </c>
      <c r="K1095" s="24">
        <f t="shared" si="239"/>
        <v>0.53064709489990491</v>
      </c>
      <c r="L1095" s="29">
        <f t="shared" si="245"/>
        <v>46191</v>
      </c>
      <c r="M1095" s="27" t="str">
        <f t="shared" si="240"/>
        <v>Health Deterioration/TPA Approval Delay</v>
      </c>
      <c r="N1095" s="31">
        <f t="shared" si="241"/>
        <v>9</v>
      </c>
      <c r="O1095" s="27"/>
      <c r="Q1095" s="8">
        <v>0.84974334836538579</v>
      </c>
      <c r="R1095" s="8" t="str">
        <f t="shared" si="242"/>
        <v>Critical Delay</v>
      </c>
      <c r="S1095" s="33">
        <v>3.0388666155759561</v>
      </c>
      <c r="T1095" t="s">
        <v>31</v>
      </c>
      <c r="U1095" s="3">
        <v>3</v>
      </c>
      <c r="V1095" s="3" t="str">
        <f t="shared" si="246"/>
        <v>Normal</v>
      </c>
      <c r="W1095" s="3" t="s">
        <v>50</v>
      </c>
      <c r="X1095" s="32">
        <f t="shared" si="243"/>
        <v>0.25161944231513189</v>
      </c>
      <c r="Z1095" s="38">
        <f t="shared" si="247"/>
        <v>0.12661944231513189</v>
      </c>
      <c r="AC1095" s="36">
        <v>0.125</v>
      </c>
      <c r="AL1095" t="str">
        <f t="shared" si="248"/>
        <v>Health Deterioration/TPA Approval Delay</v>
      </c>
      <c r="AM1095" t="str">
        <f t="shared" si="249"/>
        <v>No</v>
      </c>
      <c r="AN1095" t="str">
        <f t="shared" si="250"/>
        <v>Emergency</v>
      </c>
      <c r="AO1095" t="str">
        <f t="shared" si="251"/>
        <v>ICU</v>
      </c>
    </row>
    <row r="1096" spans="1:41" x14ac:dyDescent="0.3">
      <c r="A1096" s="21" t="str">
        <f t="shared" si="244"/>
        <v>UHID-01095</v>
      </c>
      <c r="B1096" s="18">
        <v>52</v>
      </c>
      <c r="C1096" s="10" t="s">
        <v>18</v>
      </c>
      <c r="D1096" s="13" t="s">
        <v>26</v>
      </c>
      <c r="E1096" s="13" t="s">
        <v>7</v>
      </c>
      <c r="F1096" s="15">
        <v>46189.556816574099</v>
      </c>
      <c r="G1096" s="4">
        <v>46189</v>
      </c>
      <c r="H1096" s="1">
        <v>46192.696904340301</v>
      </c>
      <c r="I1096" s="22">
        <v>46192</v>
      </c>
      <c r="J1096" s="24">
        <f t="shared" si="238"/>
        <v>46192.540797554131</v>
      </c>
      <c r="K1096" s="24">
        <f t="shared" si="239"/>
        <v>0.69690434030053439</v>
      </c>
      <c r="L1096" s="29">
        <f t="shared" si="245"/>
        <v>46191</v>
      </c>
      <c r="M1096" s="27" t="str">
        <f t="shared" si="240"/>
        <v>TPA Approval Delay</v>
      </c>
      <c r="N1096" s="31">
        <f t="shared" si="241"/>
        <v>3</v>
      </c>
      <c r="O1096" s="27"/>
      <c r="Q1096" s="8">
        <v>0.74568567080606729</v>
      </c>
      <c r="R1096" s="8" t="str">
        <f t="shared" si="242"/>
        <v>Major Delay</v>
      </c>
      <c r="S1096" s="33">
        <v>3.7465628680537102</v>
      </c>
      <c r="T1096" t="s">
        <v>31</v>
      </c>
      <c r="U1096" s="3">
        <v>0</v>
      </c>
      <c r="V1096" s="3" t="str">
        <f t="shared" si="246"/>
        <v>Normal</v>
      </c>
      <c r="W1096" s="3" t="s">
        <v>51</v>
      </c>
      <c r="X1096" s="32">
        <f t="shared" si="243"/>
        <v>0.15610678616940277</v>
      </c>
      <c r="Z1096" s="38">
        <f t="shared" si="247"/>
        <v>3.1106786169402767E-2</v>
      </c>
      <c r="AC1096" s="36">
        <v>0.125</v>
      </c>
      <c r="AL1096" t="str">
        <f t="shared" si="248"/>
        <v>TPA Approval Delay</v>
      </c>
      <c r="AM1096" t="str">
        <f t="shared" si="249"/>
        <v>No</v>
      </c>
      <c r="AN1096" t="str">
        <f t="shared" si="250"/>
        <v>Elective</v>
      </c>
      <c r="AO1096" t="str">
        <f t="shared" si="251"/>
        <v>General Ward</v>
      </c>
    </row>
    <row r="1097" spans="1:41" x14ac:dyDescent="0.3">
      <c r="A1097" s="21" t="str">
        <f t="shared" si="244"/>
        <v>UHID-01096</v>
      </c>
      <c r="B1097" s="18">
        <v>71</v>
      </c>
      <c r="C1097" s="10" t="s">
        <v>18</v>
      </c>
      <c r="D1097" s="13" t="s">
        <v>27</v>
      </c>
      <c r="E1097" s="13" t="s">
        <v>7</v>
      </c>
      <c r="F1097" s="15">
        <v>46183.935095277797</v>
      </c>
      <c r="G1097" s="4">
        <v>46183</v>
      </c>
      <c r="H1097" s="1">
        <v>46193.656276053203</v>
      </c>
      <c r="I1097" s="22">
        <v>46193</v>
      </c>
      <c r="J1097" s="24">
        <f t="shared" si="238"/>
        <v>46193.589953218674</v>
      </c>
      <c r="K1097" s="24">
        <f t="shared" si="239"/>
        <v>0.65627605320332805</v>
      </c>
      <c r="L1097" s="29">
        <f t="shared" si="245"/>
        <v>46192</v>
      </c>
      <c r="M1097" s="27" t="str">
        <f t="shared" si="240"/>
        <v>Normal</v>
      </c>
      <c r="N1097" s="31">
        <f t="shared" si="241"/>
        <v>10</v>
      </c>
      <c r="O1097" s="27"/>
      <c r="Q1097" s="8">
        <v>0.47711097991431206</v>
      </c>
      <c r="R1097" s="8" t="str">
        <f t="shared" si="242"/>
        <v>On Time</v>
      </c>
      <c r="S1097" s="33">
        <v>1.5917480286543761</v>
      </c>
      <c r="T1097" t="s">
        <v>31</v>
      </c>
      <c r="U1097" s="3">
        <v>0</v>
      </c>
      <c r="V1097" s="3" t="str">
        <f t="shared" si="246"/>
        <v>Normal</v>
      </c>
      <c r="W1097" s="3" t="s">
        <v>51</v>
      </c>
      <c r="X1097" s="32">
        <f t="shared" si="243"/>
        <v>6.6322834529273678E-2</v>
      </c>
      <c r="Z1097" s="38">
        <f t="shared" si="247"/>
        <v>0</v>
      </c>
      <c r="AC1097" s="36">
        <v>0.125</v>
      </c>
      <c r="AL1097" t="str">
        <f t="shared" si="248"/>
        <v>Normal</v>
      </c>
      <c r="AM1097" t="str">
        <f t="shared" si="249"/>
        <v>No</v>
      </c>
      <c r="AN1097" t="str">
        <f t="shared" si="250"/>
        <v>Emergency</v>
      </c>
      <c r="AO1097" t="str">
        <f t="shared" si="251"/>
        <v>ICU</v>
      </c>
    </row>
    <row r="1098" spans="1:41" x14ac:dyDescent="0.3">
      <c r="A1098" s="21" t="str">
        <f t="shared" si="244"/>
        <v>UHID-01097</v>
      </c>
      <c r="B1098" s="18">
        <v>66</v>
      </c>
      <c r="C1098" s="10" t="s">
        <v>17</v>
      </c>
      <c r="D1098" s="13" t="s">
        <v>27</v>
      </c>
      <c r="E1098" s="13" t="s">
        <v>7</v>
      </c>
      <c r="F1098" s="15">
        <v>46188.771421342601</v>
      </c>
      <c r="G1098" s="4">
        <v>46188</v>
      </c>
      <c r="H1098" s="1">
        <v>46194.388325150503</v>
      </c>
      <c r="I1098" s="22">
        <v>46194</v>
      </c>
      <c r="J1098" s="24">
        <f t="shared" si="238"/>
        <v>46194.307314682213</v>
      </c>
      <c r="K1098" s="24">
        <f t="shared" si="239"/>
        <v>0.38832515050307848</v>
      </c>
      <c r="L1098" s="29">
        <f t="shared" si="245"/>
        <v>46193</v>
      </c>
      <c r="M1098" s="27" t="str">
        <f t="shared" si="240"/>
        <v>Normal</v>
      </c>
      <c r="N1098" s="31">
        <f t="shared" si="241"/>
        <v>6</v>
      </c>
      <c r="O1098" s="27"/>
      <c r="Q1098" s="8">
        <v>0.17752589790405637</v>
      </c>
      <c r="R1098" s="8" t="str">
        <f t="shared" si="242"/>
        <v>On Time</v>
      </c>
      <c r="S1098" s="33">
        <v>1.9442512388942363</v>
      </c>
      <c r="T1098" t="s">
        <v>30</v>
      </c>
      <c r="U1098" s="3">
        <v>0</v>
      </c>
      <c r="V1098" s="3" t="str">
        <f t="shared" si="246"/>
        <v/>
      </c>
      <c r="W1098" s="3" t="s">
        <v>51</v>
      </c>
      <c r="X1098" s="32">
        <f t="shared" si="243"/>
        <v>8.1010468289605342E-2</v>
      </c>
      <c r="Z1098" s="38">
        <f t="shared" si="247"/>
        <v>0</v>
      </c>
      <c r="AC1098" s="36">
        <v>0.125</v>
      </c>
      <c r="AL1098" t="str">
        <f t="shared" si="248"/>
        <v>Normal</v>
      </c>
      <c r="AM1098" t="str">
        <f t="shared" si="249"/>
        <v>No</v>
      </c>
      <c r="AN1098" t="str">
        <f t="shared" si="250"/>
        <v>Elective</v>
      </c>
      <c r="AO1098" t="str">
        <f t="shared" si="251"/>
        <v>HDU</v>
      </c>
    </row>
    <row r="1099" spans="1:41" x14ac:dyDescent="0.3">
      <c r="A1099" s="21" t="str">
        <f t="shared" si="244"/>
        <v>UHID-01098</v>
      </c>
      <c r="B1099" s="18">
        <v>62</v>
      </c>
      <c r="C1099" s="10" t="s">
        <v>17</v>
      </c>
      <c r="D1099" s="13" t="s">
        <v>27</v>
      </c>
      <c r="E1099" s="13" t="s">
        <v>7</v>
      </c>
      <c r="F1099" s="15">
        <v>46192.689064826402</v>
      </c>
      <c r="G1099" s="4">
        <v>46192</v>
      </c>
      <c r="H1099" s="1">
        <v>46194.663233495397</v>
      </c>
      <c r="I1099" s="22">
        <v>46194</v>
      </c>
      <c r="J1099" s="24">
        <f t="shared" si="238"/>
        <v>46194.619848223934</v>
      </c>
      <c r="K1099" s="24">
        <f t="shared" si="239"/>
        <v>0.66323349539743504</v>
      </c>
      <c r="L1099" s="29">
        <f t="shared" si="245"/>
        <v>46193</v>
      </c>
      <c r="M1099" s="27" t="str">
        <f t="shared" si="240"/>
        <v>Normal</v>
      </c>
      <c r="N1099" s="31">
        <f t="shared" si="241"/>
        <v>2</v>
      </c>
      <c r="O1099" s="27"/>
      <c r="Q1099" s="8">
        <v>0.43548094755704014</v>
      </c>
      <c r="R1099" s="8" t="str">
        <f t="shared" si="242"/>
        <v>On Time</v>
      </c>
      <c r="S1099" s="33">
        <v>1.0412465150434991</v>
      </c>
      <c r="T1099" t="s">
        <v>31</v>
      </c>
      <c r="U1099" s="3">
        <v>0</v>
      </c>
      <c r="V1099" s="3" t="str">
        <f t="shared" si="246"/>
        <v>Normal</v>
      </c>
      <c r="W1099" s="3" t="s">
        <v>51</v>
      </c>
      <c r="X1099" s="32">
        <f t="shared" si="243"/>
        <v>4.3385271463193931E-2</v>
      </c>
      <c r="Z1099" s="38">
        <f t="shared" si="247"/>
        <v>0</v>
      </c>
      <c r="AC1099" s="36">
        <v>0.125</v>
      </c>
      <c r="AL1099" t="str">
        <f t="shared" si="248"/>
        <v>Normal</v>
      </c>
      <c r="AM1099" t="str">
        <f t="shared" si="249"/>
        <v>No</v>
      </c>
      <c r="AN1099" t="str">
        <f t="shared" si="250"/>
        <v>Elective</v>
      </c>
      <c r="AO1099" t="str">
        <f t="shared" si="251"/>
        <v>General Ward</v>
      </c>
    </row>
    <row r="1100" spans="1:41" x14ac:dyDescent="0.3">
      <c r="A1100" s="21" t="str">
        <f t="shared" si="244"/>
        <v>UHID-01099</v>
      </c>
      <c r="B1100" s="18">
        <v>75</v>
      </c>
      <c r="C1100" s="10" t="s">
        <v>18</v>
      </c>
      <c r="D1100" s="13" t="s">
        <v>27</v>
      </c>
      <c r="E1100" s="13" t="s">
        <v>7</v>
      </c>
      <c r="F1100" s="15">
        <v>46191.737396550903</v>
      </c>
      <c r="G1100" s="4">
        <v>46191</v>
      </c>
      <c r="H1100" s="1">
        <v>46194.659982580997</v>
      </c>
      <c r="I1100" s="22">
        <v>46194</v>
      </c>
      <c r="J1100" s="24">
        <f t="shared" si="238"/>
        <v>46194.582757274307</v>
      </c>
      <c r="K1100" s="24">
        <f t="shared" si="239"/>
        <v>0.65998258099716622</v>
      </c>
      <c r="L1100" s="29">
        <f t="shared" si="245"/>
        <v>46193</v>
      </c>
      <c r="M1100" s="27" t="str">
        <f t="shared" si="240"/>
        <v>Normal</v>
      </c>
      <c r="N1100" s="31">
        <f t="shared" si="241"/>
        <v>3</v>
      </c>
      <c r="O1100" s="27"/>
      <c r="Q1100" s="8">
        <v>0.36350787102325521</v>
      </c>
      <c r="R1100" s="8" t="str">
        <f t="shared" si="242"/>
        <v>On Time</v>
      </c>
      <c r="S1100" s="33">
        <v>1.853407360498331</v>
      </c>
      <c r="T1100" t="s">
        <v>31</v>
      </c>
      <c r="U1100" s="3">
        <v>0</v>
      </c>
      <c r="V1100" s="3" t="str">
        <f t="shared" si="246"/>
        <v>Normal</v>
      </c>
      <c r="W1100" s="3" t="s">
        <v>51</v>
      </c>
      <c r="X1100" s="32">
        <f t="shared" si="243"/>
        <v>7.7225306689797435E-2</v>
      </c>
      <c r="Z1100" s="38">
        <f t="shared" si="247"/>
        <v>0</v>
      </c>
      <c r="AC1100" s="36">
        <v>0.125</v>
      </c>
      <c r="AL1100" t="str">
        <f t="shared" si="248"/>
        <v>Normal</v>
      </c>
      <c r="AM1100" t="str">
        <f t="shared" si="249"/>
        <v>No</v>
      </c>
      <c r="AN1100" t="str">
        <f t="shared" si="250"/>
        <v>Elective</v>
      </c>
      <c r="AO1100" t="str">
        <f t="shared" si="251"/>
        <v>General Ward</v>
      </c>
    </row>
    <row r="1101" spans="1:41" x14ac:dyDescent="0.3">
      <c r="A1101" s="21" t="str">
        <f t="shared" si="244"/>
        <v>UHID-01100</v>
      </c>
      <c r="B1101" s="18">
        <v>79</v>
      </c>
      <c r="C1101" s="10" t="s">
        <v>18</v>
      </c>
      <c r="D1101" s="13" t="s">
        <v>26</v>
      </c>
      <c r="E1101" s="13" t="s">
        <v>7</v>
      </c>
      <c r="F1101" s="15">
        <v>46195.057342372696</v>
      </c>
      <c r="G1101" s="4">
        <v>46195</v>
      </c>
      <c r="H1101" s="1">
        <v>46195.413131435198</v>
      </c>
      <c r="I1101" s="22">
        <v>46195</v>
      </c>
      <c r="J1101" s="24">
        <f t="shared" si="238"/>
        <v>46195.164672432773</v>
      </c>
      <c r="K1101" s="24">
        <f t="shared" si="239"/>
        <v>0.41313143519801088</v>
      </c>
      <c r="L1101" s="29">
        <f t="shared" si="245"/>
        <v>46194</v>
      </c>
      <c r="M1101" s="27" t="str">
        <f t="shared" si="240"/>
        <v>Health Deterioration/TPA Approval Delay</v>
      </c>
      <c r="N1101" s="31">
        <f t="shared" si="241"/>
        <v>0</v>
      </c>
      <c r="O1101" s="27"/>
      <c r="Q1101" s="8">
        <v>0.79920421108737516</v>
      </c>
      <c r="R1101" s="8" t="str">
        <f t="shared" si="242"/>
        <v>Critical Delay</v>
      </c>
      <c r="S1101" s="33">
        <v>3.9630160582318985</v>
      </c>
      <c r="T1101" t="s">
        <v>31</v>
      </c>
      <c r="U1101" s="3">
        <v>2</v>
      </c>
      <c r="V1101" s="3" t="str">
        <f t="shared" si="246"/>
        <v>Normal</v>
      </c>
      <c r="W1101" s="3" t="s">
        <v>50</v>
      </c>
      <c r="X1101" s="32">
        <f t="shared" si="243"/>
        <v>0.24845900242507923</v>
      </c>
      <c r="Z1101" s="38">
        <f t="shared" si="247"/>
        <v>0.12345900242507923</v>
      </c>
      <c r="AC1101" s="36">
        <v>0.125</v>
      </c>
      <c r="AL1101" t="str">
        <f t="shared" si="248"/>
        <v>Health Deterioration/TPA Approval Delay</v>
      </c>
      <c r="AM1101" t="str">
        <f t="shared" si="249"/>
        <v>Yes</v>
      </c>
      <c r="AN1101" t="str">
        <f t="shared" si="250"/>
        <v>Emergency</v>
      </c>
      <c r="AO1101" t="str">
        <f t="shared" si="251"/>
        <v>General Ward</v>
      </c>
    </row>
    <row r="1102" spans="1:41" x14ac:dyDescent="0.3">
      <c r="A1102" s="21" t="str">
        <f t="shared" si="244"/>
        <v>UHID-01101</v>
      </c>
      <c r="B1102" s="18">
        <v>20</v>
      </c>
      <c r="C1102" s="10" t="s">
        <v>18</v>
      </c>
      <c r="D1102" s="13" t="s">
        <v>27</v>
      </c>
      <c r="E1102" s="13" t="s">
        <v>7</v>
      </c>
      <c r="F1102" s="15">
        <v>46184.935478749998</v>
      </c>
      <c r="G1102" s="4">
        <v>46184</v>
      </c>
      <c r="H1102" s="1">
        <v>46194.827777777798</v>
      </c>
      <c r="I1102" s="22">
        <v>46194</v>
      </c>
      <c r="J1102" s="24">
        <f t="shared" si="238"/>
        <v>46194.780011792362</v>
      </c>
      <c r="K1102" s="24">
        <f t="shared" si="239"/>
        <v>0.82777777779847383</v>
      </c>
      <c r="L1102" s="29">
        <f t="shared" si="245"/>
        <v>46193</v>
      </c>
      <c r="M1102" s="27" t="str">
        <f t="shared" si="240"/>
        <v>Normal</v>
      </c>
      <c r="N1102" s="31">
        <f t="shared" si="241"/>
        <v>10</v>
      </c>
      <c r="O1102" s="27"/>
      <c r="Q1102" s="8">
        <v>0.40847618622704795</v>
      </c>
      <c r="R1102" s="8" t="str">
        <f t="shared" si="242"/>
        <v>On Time</v>
      </c>
      <c r="S1102" s="33">
        <v>1.1463836504496721</v>
      </c>
      <c r="T1102" t="s">
        <v>31</v>
      </c>
      <c r="U1102" s="3">
        <v>0</v>
      </c>
      <c r="V1102" s="3" t="str">
        <f t="shared" si="246"/>
        <v>Normal</v>
      </c>
      <c r="W1102" s="3" t="s">
        <v>51</v>
      </c>
      <c r="X1102" s="32">
        <f t="shared" si="243"/>
        <v>4.7765985436853953E-2</v>
      </c>
      <c r="Z1102" s="38">
        <f t="shared" si="247"/>
        <v>0</v>
      </c>
      <c r="AC1102" s="36">
        <v>0.125</v>
      </c>
      <c r="AL1102" t="str">
        <f t="shared" si="248"/>
        <v>Normal</v>
      </c>
      <c r="AM1102" t="str">
        <f t="shared" si="249"/>
        <v>No</v>
      </c>
      <c r="AN1102" t="str">
        <f t="shared" si="250"/>
        <v>Emergency</v>
      </c>
      <c r="AO1102" t="str">
        <f t="shared" si="251"/>
        <v>ICU</v>
      </c>
    </row>
    <row r="1103" spans="1:41" x14ac:dyDescent="0.3">
      <c r="A1103" s="21" t="str">
        <f t="shared" si="244"/>
        <v>UHID-01102</v>
      </c>
      <c r="B1103" s="18">
        <v>68</v>
      </c>
      <c r="C1103" s="10" t="s">
        <v>18</v>
      </c>
      <c r="D1103" s="13" t="s">
        <v>28</v>
      </c>
      <c r="E1103" s="13" t="s">
        <v>7</v>
      </c>
      <c r="F1103" s="15">
        <v>46189.991272036998</v>
      </c>
      <c r="G1103" s="4">
        <v>46189</v>
      </c>
      <c r="H1103" s="1">
        <v>46195.511917581003</v>
      </c>
      <c r="I1103" s="22">
        <v>46195</v>
      </c>
      <c r="J1103" s="24">
        <f t="shared" si="238"/>
        <v>46195.400523099444</v>
      </c>
      <c r="K1103" s="24">
        <f t="shared" si="239"/>
        <v>0.51191758100321749</v>
      </c>
      <c r="L1103" s="29">
        <f t="shared" si="245"/>
        <v>46194</v>
      </c>
      <c r="M1103" s="27" t="str">
        <f t="shared" si="240"/>
        <v>Doctor Round Delay/Report Delay</v>
      </c>
      <c r="N1103" s="31">
        <f t="shared" si="241"/>
        <v>6</v>
      </c>
      <c r="O1103" s="27"/>
      <c r="Q1103" s="8">
        <v>0.98853002054322825</v>
      </c>
      <c r="R1103" s="8" t="str">
        <f t="shared" si="242"/>
        <v>Minor Delay</v>
      </c>
      <c r="S1103" s="33">
        <v>2.6734675574452718</v>
      </c>
      <c r="T1103" t="s">
        <v>31</v>
      </c>
      <c r="U1103" s="3">
        <v>0</v>
      </c>
      <c r="V1103" s="3" t="str">
        <f t="shared" si="246"/>
        <v>Normal</v>
      </c>
      <c r="W1103" s="3" t="s">
        <v>51</v>
      </c>
      <c r="X1103" s="32">
        <f t="shared" si="243"/>
        <v>0.11139448155881837</v>
      </c>
      <c r="Z1103" s="38">
        <f t="shared" si="247"/>
        <v>0</v>
      </c>
      <c r="AC1103" s="36">
        <v>0.125</v>
      </c>
      <c r="AL1103" t="str">
        <f t="shared" si="248"/>
        <v>Doctor Round Delay/Report Delay</v>
      </c>
      <c r="AM1103" t="str">
        <f t="shared" si="249"/>
        <v>No</v>
      </c>
      <c r="AN1103" t="str">
        <f t="shared" si="250"/>
        <v>Emergency</v>
      </c>
      <c r="AO1103" t="str">
        <f t="shared" si="251"/>
        <v>HDU</v>
      </c>
    </row>
    <row r="1104" spans="1:41" x14ac:dyDescent="0.3">
      <c r="A1104" s="21" t="str">
        <f t="shared" si="244"/>
        <v>UHID-01103</v>
      </c>
      <c r="B1104" s="18">
        <v>64</v>
      </c>
      <c r="C1104" s="10" t="s">
        <v>17</v>
      </c>
      <c r="D1104" s="13" t="s">
        <v>27</v>
      </c>
      <c r="E1104" s="13" t="s">
        <v>7</v>
      </c>
      <c r="F1104" s="15">
        <v>46191.674140949101</v>
      </c>
      <c r="G1104" s="4">
        <v>46191</v>
      </c>
      <c r="H1104" s="1">
        <v>46195.647322500001</v>
      </c>
      <c r="I1104" s="22">
        <v>46195</v>
      </c>
      <c r="J1104" s="24">
        <f t="shared" si="238"/>
        <v>46195.411375104202</v>
      </c>
      <c r="K1104" s="24">
        <f t="shared" si="239"/>
        <v>0.64732250000088243</v>
      </c>
      <c r="L1104" s="29">
        <f t="shared" si="245"/>
        <v>46194</v>
      </c>
      <c r="M1104" s="27" t="str">
        <f t="shared" si="240"/>
        <v>Health Deterioration</v>
      </c>
      <c r="N1104" s="31">
        <f t="shared" si="241"/>
        <v>4</v>
      </c>
      <c r="O1104" s="27"/>
      <c r="Q1104" s="8">
        <v>0.19038958081038271</v>
      </c>
      <c r="R1104" s="8" t="str">
        <f t="shared" si="242"/>
        <v>Critical Delay</v>
      </c>
      <c r="S1104" s="33">
        <v>1.6627374990795643</v>
      </c>
      <c r="T1104" t="s">
        <v>30</v>
      </c>
      <c r="U1104" s="3">
        <v>4</v>
      </c>
      <c r="V1104" s="3" t="str">
        <f t="shared" si="246"/>
        <v/>
      </c>
      <c r="W1104" s="3" t="s">
        <v>50</v>
      </c>
      <c r="X1104" s="32">
        <f t="shared" si="243"/>
        <v>0.2359473957985756</v>
      </c>
      <c r="Z1104" s="38">
        <f t="shared" si="247"/>
        <v>0.1109473957985756</v>
      </c>
      <c r="AC1104" s="36">
        <v>0.125</v>
      </c>
      <c r="AL1104" t="str">
        <f t="shared" si="248"/>
        <v>Health Deterioration</v>
      </c>
      <c r="AM1104" t="str">
        <f t="shared" si="249"/>
        <v>No</v>
      </c>
      <c r="AN1104" t="str">
        <f t="shared" si="250"/>
        <v>Emergency</v>
      </c>
      <c r="AO1104" t="str">
        <f t="shared" si="251"/>
        <v>HDU</v>
      </c>
    </row>
    <row r="1105" spans="1:41" x14ac:dyDescent="0.3">
      <c r="A1105" s="21" t="str">
        <f t="shared" si="244"/>
        <v>UHID-01104</v>
      </c>
      <c r="B1105" s="18">
        <v>62</v>
      </c>
      <c r="C1105" s="10" t="s">
        <v>18</v>
      </c>
      <c r="D1105" s="13" t="s">
        <v>27</v>
      </c>
      <c r="E1105" s="13" t="s">
        <v>7</v>
      </c>
      <c r="F1105" s="15">
        <v>46183.923189571797</v>
      </c>
      <c r="G1105" s="4">
        <v>46183</v>
      </c>
      <c r="H1105" s="1">
        <v>46196.552193518502</v>
      </c>
      <c r="I1105" s="22">
        <v>46196</v>
      </c>
      <c r="J1105" s="24">
        <f t="shared" si="238"/>
        <v>46196.401577297358</v>
      </c>
      <c r="K1105" s="24">
        <f t="shared" si="239"/>
        <v>0.55219351850246312</v>
      </c>
      <c r="L1105" s="29">
        <f t="shared" si="245"/>
        <v>46195</v>
      </c>
      <c r="M1105" s="27" t="str">
        <f t="shared" si="240"/>
        <v>Medication Change</v>
      </c>
      <c r="N1105" s="31">
        <f t="shared" si="241"/>
        <v>13</v>
      </c>
      <c r="O1105" s="27"/>
      <c r="Q1105" s="8">
        <v>0.21567771189114238</v>
      </c>
      <c r="R1105" s="8" t="str">
        <f t="shared" si="242"/>
        <v>Major Delay</v>
      </c>
      <c r="S1105" s="33">
        <v>1.6147893074777295</v>
      </c>
      <c r="T1105" t="s">
        <v>30</v>
      </c>
      <c r="U1105" s="3">
        <v>2</v>
      </c>
      <c r="V1105" s="3" t="str">
        <f t="shared" si="246"/>
        <v/>
      </c>
      <c r="W1105" s="3" t="s">
        <v>50</v>
      </c>
      <c r="X1105" s="32">
        <f t="shared" si="243"/>
        <v>0.15061622114444617</v>
      </c>
      <c r="Z1105" s="38">
        <f t="shared" si="247"/>
        <v>2.5616221144446172E-2</v>
      </c>
      <c r="AC1105" s="36">
        <v>0.125</v>
      </c>
      <c r="AL1105" t="str">
        <f t="shared" si="248"/>
        <v>Medication Change</v>
      </c>
      <c r="AM1105" t="str">
        <f t="shared" si="249"/>
        <v>Yes</v>
      </c>
      <c r="AN1105" t="str">
        <f t="shared" si="250"/>
        <v>Emergency</v>
      </c>
      <c r="AO1105" t="str">
        <f t="shared" si="251"/>
        <v>ICU</v>
      </c>
    </row>
    <row r="1106" spans="1:41" x14ac:dyDescent="0.3">
      <c r="A1106" s="21" t="str">
        <f t="shared" si="244"/>
        <v>UHID-01105</v>
      </c>
      <c r="B1106" s="18">
        <v>46</v>
      </c>
      <c r="C1106" s="10" t="s">
        <v>17</v>
      </c>
      <c r="D1106" s="13" t="s">
        <v>26</v>
      </c>
      <c r="E1106" s="13" t="s">
        <v>7</v>
      </c>
      <c r="F1106" s="15">
        <v>46195.765218657398</v>
      </c>
      <c r="G1106" s="4">
        <v>46195</v>
      </c>
      <c r="H1106" s="1">
        <v>46197.493093958299</v>
      </c>
      <c r="I1106" s="22">
        <v>46197</v>
      </c>
      <c r="J1106" s="24">
        <f t="shared" si="238"/>
        <v>46197.334512974892</v>
      </c>
      <c r="K1106" s="24">
        <f t="shared" si="239"/>
        <v>0.49309395829914138</v>
      </c>
      <c r="L1106" s="29">
        <f t="shared" si="245"/>
        <v>46196</v>
      </c>
      <c r="M1106" s="27" t="str">
        <f t="shared" si="240"/>
        <v>TPA Approval Delay</v>
      </c>
      <c r="N1106" s="31">
        <f t="shared" si="241"/>
        <v>2</v>
      </c>
      <c r="O1106" s="27"/>
      <c r="Q1106" s="8">
        <v>0.67988297333867143</v>
      </c>
      <c r="R1106" s="8" t="str">
        <f t="shared" si="242"/>
        <v>Major Delay</v>
      </c>
      <c r="S1106" s="33">
        <v>3.8059436016906174</v>
      </c>
      <c r="T1106" t="s">
        <v>31</v>
      </c>
      <c r="U1106" s="3">
        <v>0</v>
      </c>
      <c r="V1106" s="3" t="str">
        <f t="shared" si="246"/>
        <v>Normal</v>
      </c>
      <c r="W1106" s="3" t="s">
        <v>51</v>
      </c>
      <c r="X1106" s="32">
        <f t="shared" si="243"/>
        <v>0.15858098340686411</v>
      </c>
      <c r="Z1106" s="38">
        <f t="shared" si="247"/>
        <v>3.3580983406864107E-2</v>
      </c>
      <c r="AC1106" s="36">
        <v>0.125</v>
      </c>
      <c r="AL1106" t="str">
        <f t="shared" si="248"/>
        <v>TPA Approval Delay</v>
      </c>
      <c r="AM1106" t="str">
        <f t="shared" si="249"/>
        <v>No</v>
      </c>
      <c r="AN1106" t="str">
        <f t="shared" si="250"/>
        <v>Elective</v>
      </c>
      <c r="AO1106" t="str">
        <f t="shared" si="251"/>
        <v>General Ward</v>
      </c>
    </row>
    <row r="1107" spans="1:41" x14ac:dyDescent="0.3">
      <c r="A1107" s="21" t="str">
        <f t="shared" si="244"/>
        <v>UHID-01106</v>
      </c>
      <c r="B1107" s="18">
        <v>72</v>
      </c>
      <c r="C1107" s="10" t="s">
        <v>17</v>
      </c>
      <c r="D1107" s="13" t="s">
        <v>26</v>
      </c>
      <c r="E1107" s="13" t="s">
        <v>7</v>
      </c>
      <c r="F1107" s="15">
        <v>46194.711012326399</v>
      </c>
      <c r="G1107" s="4">
        <v>46194</v>
      </c>
      <c r="H1107" s="1">
        <v>46197.518895185203</v>
      </c>
      <c r="I1107" s="22">
        <v>46197</v>
      </c>
      <c r="J1107" s="24">
        <f t="shared" si="238"/>
        <v>46197.306648366233</v>
      </c>
      <c r="K1107" s="24">
        <f t="shared" si="239"/>
        <v>0.51889518520329148</v>
      </c>
      <c r="L1107" s="29">
        <f t="shared" si="245"/>
        <v>46196</v>
      </c>
      <c r="M1107" s="27" t="str">
        <f t="shared" si="240"/>
        <v>Health Deterioration/TPA Approval Delay</v>
      </c>
      <c r="N1107" s="31">
        <f t="shared" si="241"/>
        <v>3</v>
      </c>
      <c r="O1107" s="27"/>
      <c r="Q1107" s="8">
        <v>0.59702845089395129</v>
      </c>
      <c r="R1107" s="8" t="str">
        <f t="shared" si="242"/>
        <v>Critical Delay</v>
      </c>
      <c r="S1107" s="33">
        <v>3.0939236552587692</v>
      </c>
      <c r="T1107" t="s">
        <v>31</v>
      </c>
      <c r="U1107" s="3">
        <v>2</v>
      </c>
      <c r="V1107" s="3" t="str">
        <f t="shared" si="246"/>
        <v>Normal</v>
      </c>
      <c r="W1107" s="3" t="s">
        <v>50</v>
      </c>
      <c r="X1107" s="32">
        <f t="shared" si="243"/>
        <v>0.21224681897001574</v>
      </c>
      <c r="Z1107" s="38">
        <f t="shared" si="247"/>
        <v>8.7246818970015738E-2</v>
      </c>
      <c r="AC1107" s="36">
        <v>0.125</v>
      </c>
      <c r="AL1107" t="str">
        <f t="shared" si="248"/>
        <v>Health Deterioration/TPA Approval Delay</v>
      </c>
      <c r="AM1107" t="str">
        <f t="shared" si="249"/>
        <v>Yes</v>
      </c>
      <c r="AN1107" t="str">
        <f t="shared" si="250"/>
        <v>Emergency</v>
      </c>
      <c r="AO1107" t="str">
        <f t="shared" si="251"/>
        <v>General Ward</v>
      </c>
    </row>
    <row r="1108" spans="1:41" x14ac:dyDescent="0.3">
      <c r="A1108" s="21" t="str">
        <f t="shared" si="244"/>
        <v>UHID-01107</v>
      </c>
      <c r="B1108" s="18">
        <v>62</v>
      </c>
      <c r="C1108" s="10" t="s">
        <v>18</v>
      </c>
      <c r="D1108" s="13" t="s">
        <v>27</v>
      </c>
      <c r="E1108" s="13" t="s">
        <v>7</v>
      </c>
      <c r="F1108" s="15">
        <v>46198.396628379603</v>
      </c>
      <c r="G1108" s="4">
        <v>46198</v>
      </c>
      <c r="H1108" s="1">
        <v>46198.7425247801</v>
      </c>
      <c r="I1108" s="22">
        <v>46198</v>
      </c>
      <c r="J1108" s="24">
        <f t="shared" si="238"/>
        <v>46198.532114354457</v>
      </c>
      <c r="K1108" s="24">
        <f t="shared" si="239"/>
        <v>0.7425247801002115</v>
      </c>
      <c r="L1108" s="29">
        <f t="shared" si="245"/>
        <v>46197</v>
      </c>
      <c r="M1108" s="27" t="str">
        <f t="shared" si="240"/>
        <v>Health Deterioration</v>
      </c>
      <c r="N1108" s="31">
        <f t="shared" si="241"/>
        <v>0</v>
      </c>
      <c r="O1108" s="27"/>
      <c r="Q1108" s="8">
        <v>0.49665393380502687</v>
      </c>
      <c r="R1108" s="8" t="str">
        <f t="shared" si="242"/>
        <v>Critical Delay</v>
      </c>
      <c r="S1108" s="33">
        <v>1.0498502154802427</v>
      </c>
      <c r="T1108" t="s">
        <v>31</v>
      </c>
      <c r="U1108" s="3">
        <v>4</v>
      </c>
      <c r="V1108" s="3" t="str">
        <f t="shared" si="246"/>
        <v>Normal</v>
      </c>
      <c r="W1108" s="3" t="s">
        <v>50</v>
      </c>
      <c r="X1108" s="32">
        <f t="shared" si="243"/>
        <v>0.21041042564320378</v>
      </c>
      <c r="Z1108" s="38">
        <f t="shared" si="247"/>
        <v>8.541042564320378E-2</v>
      </c>
      <c r="AC1108" s="36">
        <v>0.125</v>
      </c>
      <c r="AL1108" t="str">
        <f t="shared" si="248"/>
        <v>Health Deterioration</v>
      </c>
      <c r="AM1108" t="str">
        <f t="shared" si="249"/>
        <v>No</v>
      </c>
      <c r="AN1108" t="str">
        <f t="shared" si="250"/>
        <v>Emergency</v>
      </c>
      <c r="AO1108" t="str">
        <f t="shared" si="251"/>
        <v>General Ward</v>
      </c>
    </row>
    <row r="1109" spans="1:41" x14ac:dyDescent="0.3">
      <c r="A1109" s="21" t="str">
        <f t="shared" si="244"/>
        <v>UHID-01108</v>
      </c>
      <c r="B1109" s="18">
        <v>75</v>
      </c>
      <c r="C1109" s="10" t="s">
        <v>18</v>
      </c>
      <c r="D1109" s="13" t="s">
        <v>27</v>
      </c>
      <c r="E1109" s="13" t="s">
        <v>7</v>
      </c>
      <c r="F1109" s="15">
        <v>46196.640701620403</v>
      </c>
      <c r="G1109" s="4">
        <v>46196</v>
      </c>
      <c r="H1109" s="1">
        <v>46197.955576122702</v>
      </c>
      <c r="I1109" s="22">
        <v>46197</v>
      </c>
      <c r="J1109" s="24">
        <f t="shared" si="238"/>
        <v>46197.909096982265</v>
      </c>
      <c r="K1109" s="24">
        <f t="shared" si="239"/>
        <v>0.95557612270204118</v>
      </c>
      <c r="L1109" s="29">
        <f t="shared" si="245"/>
        <v>46196</v>
      </c>
      <c r="M1109" s="27" t="str">
        <f t="shared" si="240"/>
        <v>Normal</v>
      </c>
      <c r="N1109" s="31">
        <f t="shared" si="241"/>
        <v>1</v>
      </c>
      <c r="O1109" s="27"/>
      <c r="Q1109" s="8">
        <v>0.31037711399496604</v>
      </c>
      <c r="R1109" s="8" t="str">
        <f t="shared" si="242"/>
        <v>On Time</v>
      </c>
      <c r="S1109" s="33">
        <v>1.1154993704613214</v>
      </c>
      <c r="T1109" t="s">
        <v>30</v>
      </c>
      <c r="U1109" s="3">
        <v>0</v>
      </c>
      <c r="V1109" s="3" t="str">
        <f t="shared" si="246"/>
        <v/>
      </c>
      <c r="W1109" s="3" t="s">
        <v>51</v>
      </c>
      <c r="X1109" s="32">
        <f t="shared" si="243"/>
        <v>4.6479140437440947E-2</v>
      </c>
      <c r="Z1109" s="38">
        <f t="shared" si="247"/>
        <v>0</v>
      </c>
      <c r="AC1109" s="36">
        <v>0.125</v>
      </c>
      <c r="AL1109" t="str">
        <f t="shared" si="248"/>
        <v>Normal</v>
      </c>
      <c r="AM1109" t="str">
        <f t="shared" si="249"/>
        <v>No</v>
      </c>
      <c r="AN1109" t="str">
        <f t="shared" si="250"/>
        <v>Elective</v>
      </c>
      <c r="AO1109" t="str">
        <f t="shared" si="251"/>
        <v>General Ward</v>
      </c>
    </row>
    <row r="1110" spans="1:41" x14ac:dyDescent="0.3">
      <c r="A1110" s="21" t="str">
        <f t="shared" si="244"/>
        <v>UHID-01109</v>
      </c>
      <c r="B1110" s="19">
        <v>30</v>
      </c>
      <c r="C1110" s="11" t="s">
        <v>17</v>
      </c>
      <c r="D1110" s="13" t="s">
        <v>26</v>
      </c>
      <c r="E1110" s="13" t="s">
        <v>7</v>
      </c>
      <c r="F1110" s="16">
        <v>46190.940053263897</v>
      </c>
      <c r="G1110" s="5">
        <v>46190</v>
      </c>
      <c r="H1110" s="2">
        <v>46199.536839050903</v>
      </c>
      <c r="I1110" s="23">
        <v>46199</v>
      </c>
      <c r="J1110" s="24">
        <f t="shared" si="238"/>
        <v>46199.212399719625</v>
      </c>
      <c r="K1110" s="24">
        <f t="shared" si="239"/>
        <v>0.53683905090292683</v>
      </c>
      <c r="L1110" s="29">
        <f t="shared" si="245"/>
        <v>46198</v>
      </c>
      <c r="M1110" s="27" t="str">
        <f t="shared" si="240"/>
        <v>Health Deterioration/TPA Approval Delay</v>
      </c>
      <c r="N1110" s="31">
        <f t="shared" si="241"/>
        <v>9</v>
      </c>
      <c r="O1110" s="27"/>
      <c r="Q1110" s="8">
        <v>0.6430730465695299</v>
      </c>
      <c r="R1110" s="8" t="str">
        <f t="shared" si="242"/>
        <v>Critical Delay</v>
      </c>
      <c r="S1110" s="33">
        <v>3.7865439505926926</v>
      </c>
      <c r="T1110" t="s">
        <v>31</v>
      </c>
      <c r="U1110" s="3">
        <v>4</v>
      </c>
      <c r="V1110" s="3" t="str">
        <f t="shared" si="246"/>
        <v>Normal</v>
      </c>
      <c r="W1110" s="3" t="s">
        <v>50</v>
      </c>
      <c r="X1110" s="32">
        <f t="shared" si="243"/>
        <v>0.32443933127797209</v>
      </c>
      <c r="Z1110" s="38">
        <f t="shared" si="247"/>
        <v>0.19943933127797209</v>
      </c>
      <c r="AC1110" s="36">
        <v>0.125</v>
      </c>
      <c r="AL1110" t="str">
        <f t="shared" si="248"/>
        <v>Health Deterioration/TPA Approval Delay</v>
      </c>
      <c r="AM1110" t="str">
        <f t="shared" si="249"/>
        <v>No</v>
      </c>
      <c r="AN1110" t="str">
        <f t="shared" si="250"/>
        <v>Emergency</v>
      </c>
      <c r="AO1110" t="str">
        <f t="shared" si="251"/>
        <v>ICU</v>
      </c>
    </row>
    <row r="1111" spans="1:41" x14ac:dyDescent="0.3">
      <c r="A1111" s="21" t="str">
        <f t="shared" si="244"/>
        <v>UHID-01110</v>
      </c>
      <c r="B1111" s="19">
        <v>66</v>
      </c>
      <c r="C1111" s="11" t="s">
        <v>17</v>
      </c>
      <c r="D1111" s="13" t="s">
        <v>28</v>
      </c>
      <c r="E1111" s="13" t="s">
        <v>7</v>
      </c>
      <c r="F1111" s="16">
        <v>46195.932672256902</v>
      </c>
      <c r="G1111" s="5">
        <v>46195</v>
      </c>
      <c r="H1111" s="2">
        <v>46199.636166736098</v>
      </c>
      <c r="I1111" s="23">
        <v>46199</v>
      </c>
      <c r="J1111" s="24">
        <f t="shared" si="238"/>
        <v>46199.535128528099</v>
      </c>
      <c r="K1111" s="24">
        <f t="shared" si="239"/>
        <v>0.63616673609794816</v>
      </c>
      <c r="L1111" s="29">
        <f t="shared" si="245"/>
        <v>46198</v>
      </c>
      <c r="M1111" s="27" t="str">
        <f t="shared" si="240"/>
        <v>Doctor Round Delay/Report Delay</v>
      </c>
      <c r="N1111" s="31">
        <f t="shared" si="241"/>
        <v>4</v>
      </c>
      <c r="O1111" s="27"/>
      <c r="Q1111" s="8">
        <v>0.93454991394782483</v>
      </c>
      <c r="R1111" s="8" t="str">
        <f t="shared" si="242"/>
        <v>Minor Delay</v>
      </c>
      <c r="S1111" s="33">
        <v>2.4249169919314189</v>
      </c>
      <c r="T1111" t="s">
        <v>31</v>
      </c>
      <c r="U1111" s="3">
        <v>0</v>
      </c>
      <c r="V1111" s="3" t="str">
        <f t="shared" si="246"/>
        <v>Normal</v>
      </c>
      <c r="W1111" s="3" t="s">
        <v>51</v>
      </c>
      <c r="X1111" s="32">
        <f t="shared" si="243"/>
        <v>0.10103820799849927</v>
      </c>
      <c r="Z1111" s="38">
        <f t="shared" si="247"/>
        <v>0</v>
      </c>
      <c r="AC1111" s="36">
        <v>0.125</v>
      </c>
      <c r="AL1111" t="str">
        <f t="shared" si="248"/>
        <v>Doctor Round Delay/Report Delay</v>
      </c>
      <c r="AM1111" t="str">
        <f t="shared" si="249"/>
        <v>No</v>
      </c>
      <c r="AN1111" t="str">
        <f t="shared" si="250"/>
        <v>Elective</v>
      </c>
      <c r="AO1111" t="str">
        <f t="shared" si="251"/>
        <v>HDU</v>
      </c>
    </row>
    <row r="1112" spans="1:41" x14ac:dyDescent="0.3">
      <c r="A1112" s="21" t="str">
        <f t="shared" si="244"/>
        <v>UHID-01111</v>
      </c>
      <c r="B1112" s="19">
        <v>41</v>
      </c>
      <c r="C1112" s="11" t="s">
        <v>18</v>
      </c>
      <c r="D1112" s="13" t="s">
        <v>28</v>
      </c>
      <c r="E1112" s="13" t="s">
        <v>7</v>
      </c>
      <c r="F1112" s="16">
        <v>46197.8223398958</v>
      </c>
      <c r="G1112" s="5">
        <v>46197</v>
      </c>
      <c r="H1112" s="2">
        <v>46199.716769814797</v>
      </c>
      <c r="I1112" s="23">
        <v>46199</v>
      </c>
      <c r="J1112" s="24">
        <f t="shared" si="238"/>
        <v>46199.611524105167</v>
      </c>
      <c r="K1112" s="24">
        <f t="shared" si="239"/>
        <v>0.71676981479686219</v>
      </c>
      <c r="L1112" s="29">
        <f t="shared" si="245"/>
        <v>46198</v>
      </c>
      <c r="M1112" s="27" t="str">
        <f t="shared" si="240"/>
        <v>Doctor Round Delay/Report Delay</v>
      </c>
      <c r="N1112" s="31">
        <f t="shared" si="241"/>
        <v>2</v>
      </c>
      <c r="O1112" s="27"/>
      <c r="Q1112" s="8">
        <v>0.933186789431663</v>
      </c>
      <c r="R1112" s="8" t="str">
        <f t="shared" si="242"/>
        <v>Minor Delay</v>
      </c>
      <c r="S1112" s="33">
        <v>2.5258970311057936</v>
      </c>
      <c r="T1112" t="s">
        <v>31</v>
      </c>
      <c r="U1112" s="3">
        <v>0</v>
      </c>
      <c r="V1112" s="3" t="str">
        <f t="shared" si="246"/>
        <v>Normal</v>
      </c>
      <c r="W1112" s="3" t="s">
        <v>51</v>
      </c>
      <c r="X1112" s="32">
        <f t="shared" si="243"/>
        <v>0.10524570963025326</v>
      </c>
      <c r="Z1112" s="38">
        <f t="shared" si="247"/>
        <v>0</v>
      </c>
      <c r="AC1112" s="36">
        <v>0.125</v>
      </c>
      <c r="AL1112" t="str">
        <f t="shared" si="248"/>
        <v>Doctor Round Delay/Report Delay</v>
      </c>
      <c r="AM1112" t="str">
        <f t="shared" si="249"/>
        <v>No</v>
      </c>
      <c r="AN1112" t="str">
        <f t="shared" si="250"/>
        <v>Elective</v>
      </c>
      <c r="AO1112" t="str">
        <f t="shared" si="251"/>
        <v>General Ward</v>
      </c>
    </row>
    <row r="1113" spans="1:41" x14ac:dyDescent="0.3">
      <c r="A1113" s="21" t="str">
        <f t="shared" si="244"/>
        <v>UHID-01112</v>
      </c>
      <c r="B1113" s="19">
        <v>57</v>
      </c>
      <c r="C1113" s="11" t="s">
        <v>18</v>
      </c>
      <c r="D1113" s="13" t="s">
        <v>27</v>
      </c>
      <c r="E1113" s="13" t="s">
        <v>7</v>
      </c>
      <c r="F1113" s="16">
        <v>46194.068546087998</v>
      </c>
      <c r="G1113" s="5">
        <v>46194</v>
      </c>
      <c r="H1113" s="2">
        <v>46197.497355509302</v>
      </c>
      <c r="I1113" s="23">
        <v>46197</v>
      </c>
      <c r="J1113" s="24">
        <f t="shared" si="238"/>
        <v>46197.446698251246</v>
      </c>
      <c r="K1113" s="24">
        <f t="shared" si="239"/>
        <v>0.49735550930199679</v>
      </c>
      <c r="L1113" s="29">
        <f t="shared" si="245"/>
        <v>46196</v>
      </c>
      <c r="M1113" s="27" t="str">
        <f t="shared" si="240"/>
        <v>Normal</v>
      </c>
      <c r="N1113" s="31">
        <f t="shared" si="241"/>
        <v>3</v>
      </c>
      <c r="O1113" s="27"/>
      <c r="Q1113" s="8">
        <v>0.16225050808902175</v>
      </c>
      <c r="R1113" s="8" t="str">
        <f t="shared" si="242"/>
        <v>On Time</v>
      </c>
      <c r="S1113" s="33">
        <v>1.2157741934058006</v>
      </c>
      <c r="T1113" t="s">
        <v>30</v>
      </c>
      <c r="U1113" s="3">
        <v>0</v>
      </c>
      <c r="V1113" s="3" t="str">
        <f t="shared" si="246"/>
        <v/>
      </c>
      <c r="W1113" s="3" t="s">
        <v>51</v>
      </c>
      <c r="X1113" s="32">
        <f t="shared" si="243"/>
        <v>5.0657258056162391E-2</v>
      </c>
      <c r="Z1113" s="38">
        <f t="shared" si="247"/>
        <v>0</v>
      </c>
      <c r="AC1113" s="36">
        <v>0.125</v>
      </c>
      <c r="AL1113" t="str">
        <f t="shared" si="248"/>
        <v>Normal</v>
      </c>
      <c r="AM1113" t="str">
        <f t="shared" si="249"/>
        <v>No</v>
      </c>
      <c r="AN1113" t="str">
        <f t="shared" si="250"/>
        <v>Elective</v>
      </c>
      <c r="AO1113" t="str">
        <f t="shared" si="251"/>
        <v>General Ward</v>
      </c>
    </row>
    <row r="1114" spans="1:41" x14ac:dyDescent="0.3">
      <c r="A1114" s="21" t="str">
        <f t="shared" si="244"/>
        <v>UHID-01113</v>
      </c>
      <c r="B1114" s="19">
        <v>57</v>
      </c>
      <c r="C1114" s="11" t="s">
        <v>17</v>
      </c>
      <c r="D1114" s="13" t="s">
        <v>27</v>
      </c>
      <c r="E1114" s="13" t="s">
        <v>7</v>
      </c>
      <c r="F1114" s="16">
        <v>46196.919256157402</v>
      </c>
      <c r="G1114" s="5">
        <v>46196</v>
      </c>
      <c r="H1114" s="2">
        <v>46200.7329681134</v>
      </c>
      <c r="I1114" s="23">
        <v>46200</v>
      </c>
      <c r="J1114" s="24">
        <f t="shared" si="238"/>
        <v>46200.678683004364</v>
      </c>
      <c r="K1114" s="24">
        <f t="shared" si="239"/>
        <v>0.73296811339969281</v>
      </c>
      <c r="L1114" s="29">
        <f t="shared" si="245"/>
        <v>46199</v>
      </c>
      <c r="M1114" s="27" t="str">
        <f t="shared" si="240"/>
        <v>Normal</v>
      </c>
      <c r="N1114" s="31">
        <f t="shared" si="241"/>
        <v>4</v>
      </c>
      <c r="O1114" s="27"/>
      <c r="Q1114" s="8">
        <v>0.48124532287247357</v>
      </c>
      <c r="R1114" s="8" t="str">
        <f t="shared" si="242"/>
        <v>On Time</v>
      </c>
      <c r="S1114" s="33">
        <v>1.3028426168120633</v>
      </c>
      <c r="T1114" t="s">
        <v>31</v>
      </c>
      <c r="U1114" s="3">
        <v>0</v>
      </c>
      <c r="V1114" s="3" t="str">
        <f t="shared" si="246"/>
        <v>Normal</v>
      </c>
      <c r="W1114" s="3" t="s">
        <v>51</v>
      </c>
      <c r="X1114" s="32">
        <f t="shared" si="243"/>
        <v>5.428510903584538E-2</v>
      </c>
      <c r="Z1114" s="38">
        <f t="shared" si="247"/>
        <v>0</v>
      </c>
      <c r="AC1114" s="36">
        <v>0.125</v>
      </c>
      <c r="AL1114" t="str">
        <f t="shared" si="248"/>
        <v>Normal</v>
      </c>
      <c r="AM1114" t="str">
        <f t="shared" si="249"/>
        <v>No</v>
      </c>
      <c r="AN1114" t="str">
        <f t="shared" si="250"/>
        <v>Elective</v>
      </c>
      <c r="AO1114" t="str">
        <f t="shared" si="251"/>
        <v>HDU</v>
      </c>
    </row>
    <row r="1115" spans="1:41" x14ac:dyDescent="0.3">
      <c r="A1115" s="21" t="str">
        <f t="shared" si="244"/>
        <v>UHID-01114</v>
      </c>
      <c r="B1115" s="19">
        <v>65</v>
      </c>
      <c r="C1115" s="11" t="s">
        <v>17</v>
      </c>
      <c r="D1115" s="13" t="s">
        <v>28</v>
      </c>
      <c r="E1115" s="13" t="s">
        <v>7</v>
      </c>
      <c r="F1115" s="16">
        <v>46194.582795416703</v>
      </c>
      <c r="G1115" s="5">
        <v>46194</v>
      </c>
      <c r="H1115" s="2">
        <v>46200.444594212997</v>
      </c>
      <c r="I1115" s="23">
        <v>46200</v>
      </c>
      <c r="J1115" s="24">
        <f t="shared" si="238"/>
        <v>46200.352569030845</v>
      </c>
      <c r="K1115" s="24">
        <f t="shared" si="239"/>
        <v>0.44459421299688984</v>
      </c>
      <c r="L1115" s="29">
        <f t="shared" si="245"/>
        <v>46199</v>
      </c>
      <c r="M1115" s="27" t="str">
        <f t="shared" si="240"/>
        <v>Doctor Round Delay/Report Delay</v>
      </c>
      <c r="N1115" s="31">
        <f t="shared" si="241"/>
        <v>6</v>
      </c>
      <c r="O1115" s="27"/>
      <c r="Q1115" s="8">
        <v>0.91839337014114875</v>
      </c>
      <c r="R1115" s="8" t="str">
        <f t="shared" si="242"/>
        <v>Minor Delay</v>
      </c>
      <c r="S1115" s="33">
        <v>2.2086043716670618</v>
      </c>
      <c r="T1115" t="s">
        <v>31</v>
      </c>
      <c r="U1115" s="3">
        <v>0</v>
      </c>
      <c r="V1115" s="3" t="str">
        <f t="shared" si="246"/>
        <v>Normal</v>
      </c>
      <c r="W1115" s="3" t="s">
        <v>51</v>
      </c>
      <c r="X1115" s="32">
        <f t="shared" si="243"/>
        <v>9.2025182151701301E-2</v>
      </c>
      <c r="Z1115" s="38">
        <f t="shared" si="247"/>
        <v>0</v>
      </c>
      <c r="AC1115" s="36">
        <v>0.125</v>
      </c>
      <c r="AL1115" t="str">
        <f t="shared" si="248"/>
        <v>Doctor Round Delay/Report Delay</v>
      </c>
      <c r="AM1115" t="str">
        <f t="shared" si="249"/>
        <v>No</v>
      </c>
      <c r="AN1115" t="str">
        <f t="shared" si="250"/>
        <v>Elective</v>
      </c>
      <c r="AO1115" t="str">
        <f t="shared" si="251"/>
        <v>HDU</v>
      </c>
    </row>
    <row r="1116" spans="1:41" x14ac:dyDescent="0.3">
      <c r="A1116" s="21" t="str">
        <f t="shared" si="244"/>
        <v>UHID-01115</v>
      </c>
      <c r="B1116" s="19">
        <v>78</v>
      </c>
      <c r="C1116" s="11" t="s">
        <v>18</v>
      </c>
      <c r="D1116" s="13" t="s">
        <v>26</v>
      </c>
      <c r="E1116" s="13" t="s">
        <v>7</v>
      </c>
      <c r="F1116" s="16">
        <v>46197.665816099499</v>
      </c>
      <c r="G1116" s="5">
        <v>46197</v>
      </c>
      <c r="H1116" s="2">
        <v>46200.758537152797</v>
      </c>
      <c r="I1116" s="23">
        <v>46200</v>
      </c>
      <c r="J1116" s="24">
        <f t="shared" si="238"/>
        <v>46200.511305638676</v>
      </c>
      <c r="K1116" s="24">
        <f t="shared" si="239"/>
        <v>0.75853715279663447</v>
      </c>
      <c r="L1116" s="29">
        <f t="shared" si="245"/>
        <v>46199</v>
      </c>
      <c r="M1116" s="27" t="str">
        <f t="shared" si="240"/>
        <v>Health Deterioration/TPA Approval Delay</v>
      </c>
      <c r="N1116" s="31">
        <f t="shared" si="241"/>
        <v>3</v>
      </c>
      <c r="O1116" s="27"/>
      <c r="Q1116" s="8">
        <v>0.54677781018810956</v>
      </c>
      <c r="R1116" s="8" t="str">
        <f t="shared" si="242"/>
        <v>Critical Delay</v>
      </c>
      <c r="S1116" s="33">
        <v>3.9335563388424348</v>
      </c>
      <c r="T1116" t="s">
        <v>31</v>
      </c>
      <c r="U1116" s="3">
        <v>2</v>
      </c>
      <c r="V1116" s="3" t="str">
        <f t="shared" si="246"/>
        <v>Normal</v>
      </c>
      <c r="W1116" s="3" t="s">
        <v>50</v>
      </c>
      <c r="X1116" s="32">
        <f t="shared" si="243"/>
        <v>0.24723151412035804</v>
      </c>
      <c r="Z1116" s="38">
        <f t="shared" si="247"/>
        <v>0.12223151412035804</v>
      </c>
      <c r="AC1116" s="36">
        <v>0.125</v>
      </c>
      <c r="AL1116" t="str">
        <f t="shared" si="248"/>
        <v>Health Deterioration/TPA Approval Delay</v>
      </c>
      <c r="AM1116" t="str">
        <f t="shared" si="249"/>
        <v>Yes</v>
      </c>
      <c r="AN1116" t="str">
        <f t="shared" si="250"/>
        <v>Emergency</v>
      </c>
      <c r="AO1116" t="str">
        <f t="shared" si="251"/>
        <v>General Ward</v>
      </c>
    </row>
    <row r="1117" spans="1:41" x14ac:dyDescent="0.3">
      <c r="A1117" s="21" t="str">
        <f t="shared" si="244"/>
        <v>UHID-01116</v>
      </c>
      <c r="B1117" s="19">
        <v>61</v>
      </c>
      <c r="C1117" s="11" t="s">
        <v>18</v>
      </c>
      <c r="D1117" s="13" t="s">
        <v>27</v>
      </c>
      <c r="E1117" s="13" t="s">
        <v>7</v>
      </c>
      <c r="F1117" s="16">
        <v>46198.769945416701</v>
      </c>
      <c r="G1117" s="5">
        <v>46198</v>
      </c>
      <c r="H1117" s="2">
        <v>46201.631403703701</v>
      </c>
      <c r="I1117" s="23">
        <v>46201</v>
      </c>
      <c r="J1117" s="24">
        <f t="shared" si="238"/>
        <v>46201.500857156723</v>
      </c>
      <c r="K1117" s="24">
        <f t="shared" si="239"/>
        <v>0.63140370370092569</v>
      </c>
      <c r="L1117" s="29">
        <f t="shared" si="245"/>
        <v>46200</v>
      </c>
      <c r="M1117" s="27" t="str">
        <f t="shared" si="240"/>
        <v>Medication Change</v>
      </c>
      <c r="N1117" s="31">
        <f t="shared" si="241"/>
        <v>3</v>
      </c>
      <c r="O1117" s="27"/>
      <c r="Q1117" s="8">
        <v>0.11290077533479004</v>
      </c>
      <c r="R1117" s="8" t="str">
        <f t="shared" si="242"/>
        <v>Major Delay</v>
      </c>
      <c r="S1117" s="33">
        <v>1.1331171274670018</v>
      </c>
      <c r="T1117" t="s">
        <v>30</v>
      </c>
      <c r="U1117" s="3">
        <v>2</v>
      </c>
      <c r="V1117" s="3" t="str">
        <f t="shared" si="246"/>
        <v/>
      </c>
      <c r="W1117" s="3" t="s">
        <v>50</v>
      </c>
      <c r="X1117" s="32">
        <f t="shared" si="243"/>
        <v>0.13054654697771184</v>
      </c>
      <c r="Z1117" s="38">
        <f t="shared" si="247"/>
        <v>5.5465469777118415E-3</v>
      </c>
      <c r="AC1117" s="36">
        <v>0.125</v>
      </c>
      <c r="AL1117" t="str">
        <f t="shared" si="248"/>
        <v>Medication Change</v>
      </c>
      <c r="AM1117" t="str">
        <f t="shared" si="249"/>
        <v>No</v>
      </c>
      <c r="AN1117" t="str">
        <f t="shared" si="250"/>
        <v>Elective</v>
      </c>
      <c r="AO1117" t="str">
        <f t="shared" si="251"/>
        <v>General Ward</v>
      </c>
    </row>
    <row r="1118" spans="1:41" x14ac:dyDescent="0.3">
      <c r="A1118" s="21" t="str">
        <f t="shared" si="244"/>
        <v>UHID-01117</v>
      </c>
      <c r="B1118" s="19">
        <v>61</v>
      </c>
      <c r="C1118" s="11" t="s">
        <v>18</v>
      </c>
      <c r="D1118" s="13" t="s">
        <v>28</v>
      </c>
      <c r="E1118" s="13" t="s">
        <v>7</v>
      </c>
      <c r="F1118" s="16">
        <v>46202.469306585597</v>
      </c>
      <c r="G1118" s="5">
        <v>46202</v>
      </c>
      <c r="H1118" s="2">
        <v>46202.6674390509</v>
      </c>
      <c r="I1118" s="23">
        <v>46202</v>
      </c>
      <c r="J1118" s="24">
        <f t="shared" si="238"/>
        <v>46202.56529296661</v>
      </c>
      <c r="K1118" s="24">
        <f t="shared" si="239"/>
        <v>0.66743905089970212</v>
      </c>
      <c r="L1118" s="29">
        <f t="shared" si="245"/>
        <v>46201</v>
      </c>
      <c r="M1118" s="27" t="str">
        <f t="shared" si="240"/>
        <v>Doctor Round Delay/Report Delay</v>
      </c>
      <c r="N1118" s="31">
        <f t="shared" si="241"/>
        <v>0</v>
      </c>
      <c r="O1118" s="27"/>
      <c r="Q1118" s="8">
        <v>0.91578190170872331</v>
      </c>
      <c r="R1118" s="8" t="str">
        <f t="shared" si="242"/>
        <v>Minor Delay</v>
      </c>
      <c r="S1118" s="33">
        <v>2.4515060229453876</v>
      </c>
      <c r="T1118" t="s">
        <v>31</v>
      </c>
      <c r="U1118" s="3">
        <v>0</v>
      </c>
      <c r="V1118" s="3" t="str">
        <f t="shared" si="246"/>
        <v>Normal</v>
      </c>
      <c r="W1118" s="3" t="s">
        <v>51</v>
      </c>
      <c r="X1118" s="32">
        <f t="shared" si="243"/>
        <v>0.10214608428941574</v>
      </c>
      <c r="Z1118" s="38">
        <f t="shared" si="247"/>
        <v>0</v>
      </c>
      <c r="AC1118" s="36">
        <v>0.125</v>
      </c>
      <c r="AL1118" t="str">
        <f t="shared" si="248"/>
        <v>Doctor Round Delay/Report Delay</v>
      </c>
      <c r="AM1118" t="str">
        <f t="shared" si="249"/>
        <v>No</v>
      </c>
      <c r="AN1118" t="str">
        <f t="shared" si="250"/>
        <v>Elective</v>
      </c>
      <c r="AO1118" t="str">
        <f t="shared" si="251"/>
        <v>General Ward</v>
      </c>
    </row>
    <row r="1119" spans="1:41" x14ac:dyDescent="0.3">
      <c r="A1119" s="21" t="str">
        <f t="shared" si="244"/>
        <v>UHID-01118</v>
      </c>
      <c r="B1119" s="19">
        <v>68</v>
      </c>
      <c r="C1119" s="11" t="s">
        <v>17</v>
      </c>
      <c r="D1119" s="13" t="s">
        <v>28</v>
      </c>
      <c r="E1119" s="13" t="s">
        <v>7</v>
      </c>
      <c r="F1119" s="16">
        <v>46197.844799097198</v>
      </c>
      <c r="G1119" s="5">
        <v>46197</v>
      </c>
      <c r="H1119" s="2">
        <v>46203.563956076403</v>
      </c>
      <c r="I1119" s="23">
        <v>46203</v>
      </c>
      <c r="J1119" s="24">
        <f t="shared" si="238"/>
        <v>46203.372619110123</v>
      </c>
      <c r="K1119" s="24">
        <f t="shared" si="239"/>
        <v>0.56395607640297385</v>
      </c>
      <c r="L1119" s="29">
        <f t="shared" si="245"/>
        <v>46202</v>
      </c>
      <c r="M1119" s="27" t="str">
        <f t="shared" si="240"/>
        <v>Medication Change</v>
      </c>
      <c r="N1119" s="31">
        <f t="shared" si="241"/>
        <v>6</v>
      </c>
      <c r="O1119" s="27"/>
      <c r="Q1119" s="8">
        <v>0.98100420402824151</v>
      </c>
      <c r="R1119" s="8" t="str">
        <f t="shared" si="242"/>
        <v>Major Delay</v>
      </c>
      <c r="S1119" s="33">
        <v>2.5920871906862408</v>
      </c>
      <c r="T1119" t="s">
        <v>31</v>
      </c>
      <c r="U1119" s="3">
        <v>2</v>
      </c>
      <c r="V1119" s="3" t="str">
        <f t="shared" si="246"/>
        <v>Normal</v>
      </c>
      <c r="W1119" s="3" t="s">
        <v>50</v>
      </c>
      <c r="X1119" s="32">
        <f t="shared" si="243"/>
        <v>0.1913369662797777</v>
      </c>
      <c r="Z1119" s="38">
        <f t="shared" si="247"/>
        <v>6.6336966279777698E-2</v>
      </c>
      <c r="AC1119" s="36">
        <v>0.125</v>
      </c>
      <c r="AL1119" t="str">
        <f t="shared" si="248"/>
        <v>Medication Change</v>
      </c>
      <c r="AM1119" t="str">
        <f t="shared" si="249"/>
        <v>No</v>
      </c>
      <c r="AN1119" t="str">
        <f t="shared" si="250"/>
        <v>Elective</v>
      </c>
      <c r="AO1119" t="str">
        <f t="shared" si="251"/>
        <v>HDU</v>
      </c>
    </row>
    <row r="1120" spans="1:41" x14ac:dyDescent="0.3">
      <c r="A1120" s="21" t="str">
        <f t="shared" si="244"/>
        <v>UHID-01119</v>
      </c>
      <c r="B1120" s="19">
        <v>56</v>
      </c>
      <c r="C1120" s="11" t="s">
        <v>17</v>
      </c>
      <c r="D1120" s="13" t="s">
        <v>27</v>
      </c>
      <c r="E1120" s="13" t="s">
        <v>7</v>
      </c>
      <c r="F1120" s="16">
        <v>46203.403641053199</v>
      </c>
      <c r="G1120" s="5">
        <v>46203</v>
      </c>
      <c r="H1120" s="2">
        <v>46203.804224039399</v>
      </c>
      <c r="I1120" s="23">
        <v>46203</v>
      </c>
      <c r="J1120" s="24">
        <f t="shared" si="238"/>
        <v>46203.607950213111</v>
      </c>
      <c r="K1120" s="24">
        <f t="shared" si="239"/>
        <v>0.80422403939883225</v>
      </c>
      <c r="L1120" s="29">
        <f t="shared" si="245"/>
        <v>46202</v>
      </c>
      <c r="M1120" s="27" t="str">
        <f t="shared" si="240"/>
        <v>Medication Change</v>
      </c>
      <c r="N1120" s="31">
        <f t="shared" si="241"/>
        <v>0</v>
      </c>
      <c r="O1120" s="27"/>
      <c r="Q1120" s="8">
        <v>0.41871797629022112</v>
      </c>
      <c r="R1120" s="8" t="str">
        <f t="shared" si="242"/>
        <v>Major Delay</v>
      </c>
      <c r="S1120" s="33">
        <v>1.7105718308959257</v>
      </c>
      <c r="T1120" t="s">
        <v>31</v>
      </c>
      <c r="U1120" s="3">
        <v>3</v>
      </c>
      <c r="V1120" s="3" t="str">
        <f t="shared" si="246"/>
        <v>Normal</v>
      </c>
      <c r="W1120" s="3" t="s">
        <v>50</v>
      </c>
      <c r="X1120" s="32">
        <f t="shared" si="243"/>
        <v>0.19627382628823398</v>
      </c>
      <c r="Z1120" s="38">
        <f t="shared" si="247"/>
        <v>7.1273826288233977E-2</v>
      </c>
      <c r="AC1120" s="36">
        <v>0.125</v>
      </c>
      <c r="AL1120" t="str">
        <f t="shared" si="248"/>
        <v>Medication Change</v>
      </c>
      <c r="AM1120" t="str">
        <f t="shared" si="249"/>
        <v>No</v>
      </c>
      <c r="AN1120" t="str">
        <f t="shared" si="250"/>
        <v>Elective</v>
      </c>
      <c r="AO1120" t="str">
        <f t="shared" si="251"/>
        <v>General Ward</v>
      </c>
    </row>
    <row r="1121" spans="1:41" x14ac:dyDescent="0.3">
      <c r="A1121" s="21" t="str">
        <f t="shared" si="244"/>
        <v>UHID-01120</v>
      </c>
      <c r="B1121" s="19">
        <v>82</v>
      </c>
      <c r="C1121" s="11" t="s">
        <v>18</v>
      </c>
      <c r="D1121" s="13" t="s">
        <v>27</v>
      </c>
      <c r="E1121" s="13" t="s">
        <v>7</v>
      </c>
      <c r="F1121" s="16">
        <v>46198.923349641198</v>
      </c>
      <c r="G1121" s="5">
        <v>46198</v>
      </c>
      <c r="H1121" s="2">
        <v>46202.783325463002</v>
      </c>
      <c r="I1121" s="23">
        <v>46202</v>
      </c>
      <c r="J1121" s="24">
        <f t="shared" si="238"/>
        <v>46202.734206731373</v>
      </c>
      <c r="K1121" s="24">
        <f t="shared" si="239"/>
        <v>0.78332546300225658</v>
      </c>
      <c r="L1121" s="29">
        <f t="shared" si="245"/>
        <v>46201</v>
      </c>
      <c r="M1121" s="27" t="str">
        <f t="shared" si="240"/>
        <v>Normal</v>
      </c>
      <c r="N1121" s="31">
        <f t="shared" si="241"/>
        <v>4</v>
      </c>
      <c r="O1121" s="27"/>
      <c r="Q1121" s="8">
        <v>2.6514092968205172E-2</v>
      </c>
      <c r="R1121" s="8" t="str">
        <f t="shared" si="242"/>
        <v>On Time</v>
      </c>
      <c r="S1121" s="33">
        <v>1.1788495590250703</v>
      </c>
      <c r="T1121" t="s">
        <v>30</v>
      </c>
      <c r="U1121" s="3">
        <v>0</v>
      </c>
      <c r="V1121" s="3" t="str">
        <f t="shared" si="246"/>
        <v/>
      </c>
      <c r="W1121" s="3" t="s">
        <v>51</v>
      </c>
      <c r="X1121" s="32">
        <f t="shared" si="243"/>
        <v>4.9118731629278045E-2</v>
      </c>
      <c r="Z1121" s="38">
        <f t="shared" si="247"/>
        <v>0</v>
      </c>
      <c r="AC1121" s="36">
        <v>0.125</v>
      </c>
      <c r="AL1121" t="str">
        <f t="shared" si="248"/>
        <v>Normal</v>
      </c>
      <c r="AM1121" t="str">
        <f t="shared" si="249"/>
        <v>No</v>
      </c>
      <c r="AN1121" t="str">
        <f t="shared" si="250"/>
        <v>Elective</v>
      </c>
      <c r="AO1121" t="str">
        <f t="shared" si="251"/>
        <v>HDU</v>
      </c>
    </row>
    <row r="1122" spans="1:41" x14ac:dyDescent="0.3">
      <c r="A1122" s="21" t="str">
        <f t="shared" si="244"/>
        <v>UHID-01121</v>
      </c>
      <c r="B1122" s="19">
        <v>53</v>
      </c>
      <c r="C1122" s="11" t="s">
        <v>17</v>
      </c>
      <c r="D1122" s="13" t="s">
        <v>28</v>
      </c>
      <c r="E1122" s="13" t="s">
        <v>7</v>
      </c>
      <c r="F1122" s="16">
        <v>46201.726400347201</v>
      </c>
      <c r="G1122" s="5">
        <v>46201</v>
      </c>
      <c r="H1122" s="2">
        <v>46203.683435555598</v>
      </c>
      <c r="I1122" s="23">
        <v>46203</v>
      </c>
      <c r="J1122" s="24">
        <f t="shared" si="238"/>
        <v>46203.57744018051</v>
      </c>
      <c r="K1122" s="24">
        <f t="shared" si="239"/>
        <v>0.68343555559840752</v>
      </c>
      <c r="L1122" s="29">
        <f t="shared" si="245"/>
        <v>46202</v>
      </c>
      <c r="M1122" s="27" t="str">
        <f t="shared" si="240"/>
        <v>Doctor Round Delay/Report Delay</v>
      </c>
      <c r="N1122" s="31">
        <f t="shared" si="241"/>
        <v>2</v>
      </c>
      <c r="O1122" s="27"/>
      <c r="Q1122" s="8">
        <v>0.97914304016283016</v>
      </c>
      <c r="R1122" s="8" t="str">
        <f t="shared" si="242"/>
        <v>Minor Delay</v>
      </c>
      <c r="S1122" s="33">
        <v>2.5438890021562761</v>
      </c>
      <c r="T1122" t="s">
        <v>31</v>
      </c>
      <c r="U1122" s="3">
        <v>0</v>
      </c>
      <c r="V1122" s="3" t="str">
        <f t="shared" si="246"/>
        <v>Normal</v>
      </c>
      <c r="W1122" s="3" t="s">
        <v>51</v>
      </c>
      <c r="X1122" s="32">
        <f t="shared" si="243"/>
        <v>0.10599537508824142</v>
      </c>
      <c r="Z1122" s="38">
        <f t="shared" si="247"/>
        <v>0</v>
      </c>
      <c r="AC1122" s="36">
        <v>0.125</v>
      </c>
      <c r="AL1122" t="str">
        <f t="shared" si="248"/>
        <v>Doctor Round Delay/Report Delay</v>
      </c>
      <c r="AM1122" t="str">
        <f t="shared" si="249"/>
        <v>No</v>
      </c>
      <c r="AN1122" t="str">
        <f t="shared" si="250"/>
        <v>Emergency</v>
      </c>
      <c r="AO1122" t="str">
        <f t="shared" si="251"/>
        <v>General Ward</v>
      </c>
    </row>
    <row r="1123" spans="1:41" x14ac:dyDescent="0.3">
      <c r="A1123" s="21" t="str">
        <f t="shared" si="244"/>
        <v>UHID-01122</v>
      </c>
      <c r="B1123" s="18">
        <v>6</v>
      </c>
      <c r="C1123" s="10" t="s">
        <v>18</v>
      </c>
      <c r="D1123" s="13" t="s">
        <v>28</v>
      </c>
      <c r="E1123" s="13" t="s">
        <v>2</v>
      </c>
      <c r="F1123" s="15">
        <v>46171.832587442099</v>
      </c>
      <c r="G1123" s="4">
        <v>46171</v>
      </c>
      <c r="H1123" s="1">
        <v>46174.543378321803</v>
      </c>
      <c r="I1123" s="22">
        <v>46174</v>
      </c>
      <c r="J1123" s="24">
        <f t="shared" si="238"/>
        <v>46174.284908472167</v>
      </c>
      <c r="K1123" s="24">
        <f t="shared" si="239"/>
        <v>0.54337832180317491</v>
      </c>
      <c r="L1123" s="29">
        <f t="shared" si="245"/>
        <v>46173</v>
      </c>
      <c r="M1123" s="27" t="str">
        <f t="shared" si="240"/>
        <v>Health Deterioration</v>
      </c>
      <c r="N1123" s="31">
        <f t="shared" si="241"/>
        <v>3</v>
      </c>
      <c r="O1123" s="27"/>
      <c r="Q1123" s="8">
        <v>0.93816857464227155</v>
      </c>
      <c r="R1123" s="8" t="str">
        <f t="shared" si="242"/>
        <v>Critical Delay</v>
      </c>
      <c r="S1123" s="33">
        <v>2.2032763912118352</v>
      </c>
      <c r="T1123" t="s">
        <v>31</v>
      </c>
      <c r="U1123" s="3">
        <v>4</v>
      </c>
      <c r="V1123" s="3" t="str">
        <f t="shared" si="246"/>
        <v>Normal</v>
      </c>
      <c r="W1123" s="3" t="s">
        <v>50</v>
      </c>
      <c r="X1123" s="32">
        <f t="shared" si="243"/>
        <v>0.2584698496357305</v>
      </c>
      <c r="Z1123" s="38">
        <f t="shared" si="247"/>
        <v>0.1334698496357305</v>
      </c>
      <c r="AC1123" s="36">
        <v>0.125</v>
      </c>
      <c r="AL1123" t="str">
        <f t="shared" si="248"/>
        <v>Health Deterioration</v>
      </c>
      <c r="AM1123" t="str">
        <f t="shared" si="249"/>
        <v>No</v>
      </c>
      <c r="AN1123" t="str">
        <f t="shared" si="250"/>
        <v>Emergency</v>
      </c>
      <c r="AO1123" t="str">
        <f t="shared" si="251"/>
        <v>General Ward</v>
      </c>
    </row>
    <row r="1124" spans="1:41" x14ac:dyDescent="0.3">
      <c r="A1124" s="21" t="str">
        <f t="shared" si="244"/>
        <v>UHID-01123</v>
      </c>
      <c r="B1124" s="18">
        <v>4</v>
      </c>
      <c r="C1124" s="10" t="s">
        <v>17</v>
      </c>
      <c r="D1124" s="13" t="s">
        <v>26</v>
      </c>
      <c r="E1124" s="13" t="s">
        <v>2</v>
      </c>
      <c r="F1124" s="15">
        <v>46172.532918414297</v>
      </c>
      <c r="G1124" s="4">
        <v>46172</v>
      </c>
      <c r="H1124" s="1">
        <v>46174.539197418999</v>
      </c>
      <c r="I1124" s="22">
        <v>46174</v>
      </c>
      <c r="J1124" s="24">
        <f t="shared" si="238"/>
        <v>46174.31011784952</v>
      </c>
      <c r="K1124" s="24">
        <f t="shared" si="239"/>
        <v>0.53919741899881046</v>
      </c>
      <c r="L1124" s="29">
        <f t="shared" si="245"/>
        <v>46173</v>
      </c>
      <c r="M1124" s="27" t="str">
        <f t="shared" si="240"/>
        <v>Health Deterioration/TPA Approval Delay</v>
      </c>
      <c r="N1124" s="31">
        <f t="shared" si="241"/>
        <v>2</v>
      </c>
      <c r="O1124" s="27"/>
      <c r="Q1124" s="8">
        <v>0.66483968880831912</v>
      </c>
      <c r="R1124" s="8" t="str">
        <f t="shared" si="242"/>
        <v>Critical Delay</v>
      </c>
      <c r="S1124" s="33">
        <v>3.4979096675210726</v>
      </c>
      <c r="T1124" t="s">
        <v>31</v>
      </c>
      <c r="U1124" s="3">
        <v>2</v>
      </c>
      <c r="V1124" s="3" t="str">
        <f t="shared" si="246"/>
        <v>Normal</v>
      </c>
      <c r="W1124" s="3" t="s">
        <v>50</v>
      </c>
      <c r="X1124" s="32">
        <f t="shared" si="243"/>
        <v>0.22907956947892671</v>
      </c>
      <c r="Z1124" s="38">
        <f t="shared" si="247"/>
        <v>0.10407956947892671</v>
      </c>
      <c r="AC1124" s="36">
        <v>0.125</v>
      </c>
      <c r="AL1124" t="str">
        <f t="shared" si="248"/>
        <v>Health Deterioration/TPA Approval Delay</v>
      </c>
      <c r="AM1124" t="str">
        <f t="shared" si="249"/>
        <v>No</v>
      </c>
      <c r="AN1124" t="str">
        <f t="shared" si="250"/>
        <v>Emergency</v>
      </c>
      <c r="AO1124" t="str">
        <f t="shared" si="251"/>
        <v>General Ward</v>
      </c>
    </row>
    <row r="1125" spans="1:41" x14ac:dyDescent="0.3">
      <c r="A1125" s="21" t="str">
        <f t="shared" si="244"/>
        <v>UHID-01124</v>
      </c>
      <c r="B1125" s="18">
        <v>0</v>
      </c>
      <c r="C1125" s="10" t="s">
        <v>17</v>
      </c>
      <c r="D1125" s="13" t="s">
        <v>27</v>
      </c>
      <c r="E1125" s="13" t="s">
        <v>2</v>
      </c>
      <c r="F1125" s="15">
        <v>46172.931029525498</v>
      </c>
      <c r="G1125" s="4">
        <v>46172</v>
      </c>
      <c r="H1125" s="1">
        <v>46174.5750834028</v>
      </c>
      <c r="I1125" s="22">
        <v>46174</v>
      </c>
      <c r="J1125" s="24">
        <f t="shared" si="238"/>
        <v>46174.389832435627</v>
      </c>
      <c r="K1125" s="24">
        <f t="shared" si="239"/>
        <v>0.57508340280037373</v>
      </c>
      <c r="L1125" s="29">
        <f t="shared" si="245"/>
        <v>46173</v>
      </c>
      <c r="M1125" s="27" t="str">
        <f t="shared" si="240"/>
        <v>Medication Change</v>
      </c>
      <c r="N1125" s="31">
        <f t="shared" si="241"/>
        <v>2</v>
      </c>
      <c r="O1125" s="27"/>
      <c r="Q1125" s="8">
        <v>0.23692193760715863</v>
      </c>
      <c r="R1125" s="8" t="str">
        <f t="shared" si="242"/>
        <v>Major Delay</v>
      </c>
      <c r="S1125" s="33">
        <v>1.4460232121284369</v>
      </c>
      <c r="T1125" t="s">
        <v>30</v>
      </c>
      <c r="U1125" s="3">
        <v>3</v>
      </c>
      <c r="V1125" s="3" t="str">
        <f t="shared" si="246"/>
        <v/>
      </c>
      <c r="W1125" s="3" t="s">
        <v>50</v>
      </c>
      <c r="X1125" s="32">
        <f t="shared" si="243"/>
        <v>0.18525096717348788</v>
      </c>
      <c r="Z1125" s="38">
        <f t="shared" si="247"/>
        <v>6.0250967173487879E-2</v>
      </c>
      <c r="AC1125" s="36">
        <v>0.125</v>
      </c>
      <c r="AL1125" t="str">
        <f t="shared" si="248"/>
        <v>Medication Change</v>
      </c>
      <c r="AM1125" t="str">
        <f t="shared" si="249"/>
        <v>No</v>
      </c>
      <c r="AN1125" t="str">
        <f t="shared" si="250"/>
        <v>Elective</v>
      </c>
      <c r="AO1125" t="str">
        <f t="shared" si="251"/>
        <v>General Ward</v>
      </c>
    </row>
    <row r="1126" spans="1:41" x14ac:dyDescent="0.3">
      <c r="A1126" s="21" t="str">
        <f t="shared" si="244"/>
        <v>UHID-01125</v>
      </c>
      <c r="B1126" s="18">
        <v>11</v>
      </c>
      <c r="C1126" s="10" t="s">
        <v>18</v>
      </c>
      <c r="D1126" s="13" t="s">
        <v>26</v>
      </c>
      <c r="E1126" s="13" t="s">
        <v>2</v>
      </c>
      <c r="F1126" s="15">
        <v>46174.488791284697</v>
      </c>
      <c r="G1126" s="4">
        <v>46174</v>
      </c>
      <c r="H1126" s="1">
        <v>46174.768785300897</v>
      </c>
      <c r="I1126" s="22">
        <v>46174</v>
      </c>
      <c r="J1126" s="24">
        <f t="shared" si="238"/>
        <v>46174.635876137036</v>
      </c>
      <c r="K1126" s="24">
        <f t="shared" si="239"/>
        <v>0.76878530089743435</v>
      </c>
      <c r="L1126" s="29">
        <f t="shared" si="245"/>
        <v>46173</v>
      </c>
      <c r="M1126" s="27" t="str">
        <f t="shared" si="240"/>
        <v>TPA Approval Delay</v>
      </c>
      <c r="N1126" s="31">
        <f t="shared" si="241"/>
        <v>0</v>
      </c>
      <c r="O1126" s="27"/>
      <c r="Q1126" s="8">
        <v>0.84870468969619917</v>
      </c>
      <c r="R1126" s="8" t="str">
        <f t="shared" si="242"/>
        <v>Major Delay</v>
      </c>
      <c r="S1126" s="33">
        <v>3.189819932709077</v>
      </c>
      <c r="T1126" t="s">
        <v>31</v>
      </c>
      <c r="U1126" s="3">
        <v>0</v>
      </c>
      <c r="V1126" s="3" t="str">
        <f t="shared" si="246"/>
        <v>Normal</v>
      </c>
      <c r="W1126" s="3" t="s">
        <v>51</v>
      </c>
      <c r="X1126" s="32">
        <f t="shared" si="243"/>
        <v>0.13290916386176832</v>
      </c>
      <c r="Z1126" s="38">
        <f t="shared" si="247"/>
        <v>7.9091638617683202E-3</v>
      </c>
      <c r="AC1126" s="36">
        <v>0.125</v>
      </c>
      <c r="AL1126" t="str">
        <f t="shared" si="248"/>
        <v>TPA Approval Delay</v>
      </c>
      <c r="AM1126" t="str">
        <f t="shared" si="249"/>
        <v>No</v>
      </c>
      <c r="AN1126" t="str">
        <f t="shared" si="250"/>
        <v>Elective</v>
      </c>
      <c r="AO1126" t="str">
        <f t="shared" si="251"/>
        <v>General Ward</v>
      </c>
    </row>
    <row r="1127" spans="1:41" x14ac:dyDescent="0.3">
      <c r="A1127" s="21" t="str">
        <f t="shared" si="244"/>
        <v>UHID-01126</v>
      </c>
      <c r="B1127" s="18">
        <v>13</v>
      </c>
      <c r="C1127" s="10" t="s">
        <v>18</v>
      </c>
      <c r="D1127" s="13" t="s">
        <v>27</v>
      </c>
      <c r="E1127" s="13" t="s">
        <v>2</v>
      </c>
      <c r="F1127" s="15">
        <v>46175.451569606499</v>
      </c>
      <c r="G1127" s="4">
        <v>46175</v>
      </c>
      <c r="H1127" s="1">
        <v>46175.754960104197</v>
      </c>
      <c r="I1127" s="22">
        <v>46175</v>
      </c>
      <c r="J1127" s="24">
        <f t="shared" si="238"/>
        <v>46175.672913533272</v>
      </c>
      <c r="K1127" s="24">
        <f t="shared" si="239"/>
        <v>0.75496010419738013</v>
      </c>
      <c r="L1127" s="29">
        <f t="shared" si="245"/>
        <v>46174</v>
      </c>
      <c r="M1127" s="27" t="str">
        <f t="shared" si="240"/>
        <v>Normal</v>
      </c>
      <c r="N1127" s="31">
        <f t="shared" si="241"/>
        <v>0</v>
      </c>
      <c r="O1127" s="27"/>
      <c r="Q1127" s="8">
        <v>0.25867805432878843</v>
      </c>
      <c r="R1127" s="8" t="str">
        <f t="shared" si="242"/>
        <v>On Time</v>
      </c>
      <c r="S1127" s="33">
        <v>1.9691177022743223</v>
      </c>
      <c r="T1127" t="s">
        <v>30</v>
      </c>
      <c r="U1127" s="3">
        <v>0</v>
      </c>
      <c r="V1127" s="3" t="str">
        <f t="shared" si="246"/>
        <v/>
      </c>
      <c r="W1127" s="3" t="s">
        <v>51</v>
      </c>
      <c r="X1127" s="32">
        <f t="shared" si="243"/>
        <v>8.2046570925740525E-2</v>
      </c>
      <c r="Z1127" s="38">
        <f t="shared" si="247"/>
        <v>0</v>
      </c>
      <c r="AC1127" s="36">
        <v>0.125</v>
      </c>
      <c r="AL1127" t="str">
        <f t="shared" si="248"/>
        <v>Normal</v>
      </c>
      <c r="AM1127" t="str">
        <f t="shared" si="249"/>
        <v>No</v>
      </c>
      <c r="AN1127" t="str">
        <f t="shared" si="250"/>
        <v>Elective</v>
      </c>
      <c r="AO1127" t="str">
        <f t="shared" si="251"/>
        <v>General Ward</v>
      </c>
    </row>
    <row r="1128" spans="1:41" x14ac:dyDescent="0.3">
      <c r="A1128" s="21" t="str">
        <f t="shared" si="244"/>
        <v>UHID-01127</v>
      </c>
      <c r="B1128" s="18">
        <v>7</v>
      </c>
      <c r="C1128" s="10" t="s">
        <v>17</v>
      </c>
      <c r="D1128" s="13" t="s">
        <v>28</v>
      </c>
      <c r="E1128" s="13" t="s">
        <v>2</v>
      </c>
      <c r="F1128" s="15">
        <v>46170.317281273201</v>
      </c>
      <c r="G1128" s="4">
        <v>46170</v>
      </c>
      <c r="H1128" s="1">
        <v>46176.724364675902</v>
      </c>
      <c r="I1128" s="22">
        <v>46176</v>
      </c>
      <c r="J1128" s="24">
        <f t="shared" si="238"/>
        <v>46176.61794664953</v>
      </c>
      <c r="K1128" s="24">
        <f t="shared" si="239"/>
        <v>0.72436467590159737</v>
      </c>
      <c r="L1128" s="29">
        <f t="shared" si="245"/>
        <v>46175</v>
      </c>
      <c r="M1128" s="27" t="str">
        <f t="shared" si="240"/>
        <v>Doctor Round Delay/Report Delay</v>
      </c>
      <c r="N1128" s="31">
        <f t="shared" si="241"/>
        <v>6</v>
      </c>
      <c r="O1128" s="27"/>
      <c r="Q1128" s="8">
        <v>0.88682070619975384</v>
      </c>
      <c r="R1128" s="8" t="str">
        <f t="shared" si="242"/>
        <v>Minor Delay</v>
      </c>
      <c r="S1128" s="33">
        <v>2.5540326329749345</v>
      </c>
      <c r="T1128" t="s">
        <v>31</v>
      </c>
      <c r="U1128" s="3">
        <v>0</v>
      </c>
      <c r="V1128" s="3" t="str">
        <f t="shared" si="246"/>
        <v>Normal</v>
      </c>
      <c r="W1128" s="3" t="s">
        <v>51</v>
      </c>
      <c r="X1128" s="32">
        <f t="shared" si="243"/>
        <v>0.10641802637110231</v>
      </c>
      <c r="Z1128" s="38">
        <f t="shared" si="247"/>
        <v>0</v>
      </c>
      <c r="AC1128" s="36">
        <v>0.125</v>
      </c>
      <c r="AL1128" t="str">
        <f t="shared" si="248"/>
        <v>Doctor Round Delay/Report Delay</v>
      </c>
      <c r="AM1128" t="str">
        <f t="shared" si="249"/>
        <v>No</v>
      </c>
      <c r="AN1128" t="str">
        <f t="shared" si="250"/>
        <v>Elective</v>
      </c>
      <c r="AO1128" t="str">
        <f t="shared" si="251"/>
        <v>HDU</v>
      </c>
    </row>
    <row r="1129" spans="1:41" x14ac:dyDescent="0.3">
      <c r="A1129" s="21" t="str">
        <f t="shared" si="244"/>
        <v>UHID-01128</v>
      </c>
      <c r="B1129" s="18">
        <v>9</v>
      </c>
      <c r="C1129" s="10" t="s">
        <v>18</v>
      </c>
      <c r="D1129" s="13" t="s">
        <v>27</v>
      </c>
      <c r="E1129" s="13" t="s">
        <v>2</v>
      </c>
      <c r="F1129" s="15">
        <v>46176.335044479201</v>
      </c>
      <c r="G1129" s="4">
        <v>46176</v>
      </c>
      <c r="H1129" s="1">
        <v>46176.686869085599</v>
      </c>
      <c r="I1129" s="22">
        <v>46176</v>
      </c>
      <c r="J1129" s="24">
        <f t="shared" si="238"/>
        <v>46176.446708362746</v>
      </c>
      <c r="K1129" s="24">
        <f t="shared" si="239"/>
        <v>0.68686908559902804</v>
      </c>
      <c r="L1129" s="29">
        <f t="shared" si="245"/>
        <v>46175</v>
      </c>
      <c r="M1129" s="27" t="str">
        <f t="shared" si="240"/>
        <v>Health Deterioration</v>
      </c>
      <c r="N1129" s="31">
        <f t="shared" si="241"/>
        <v>0</v>
      </c>
      <c r="O1129" s="27"/>
      <c r="Q1129" s="8">
        <v>0.37051893278435744</v>
      </c>
      <c r="R1129" s="8" t="str">
        <f t="shared" si="242"/>
        <v>Critical Delay</v>
      </c>
      <c r="S1129" s="33">
        <v>1.7638573485400781</v>
      </c>
      <c r="T1129" t="s">
        <v>31</v>
      </c>
      <c r="U1129" s="3">
        <v>4</v>
      </c>
      <c r="V1129" s="3" t="str">
        <f t="shared" si="246"/>
        <v>Normal</v>
      </c>
      <c r="W1129" s="3" t="s">
        <v>50</v>
      </c>
      <c r="X1129" s="32">
        <f t="shared" si="243"/>
        <v>0.2401607228530338</v>
      </c>
      <c r="Z1129" s="38">
        <f t="shared" si="247"/>
        <v>0.1151607228530338</v>
      </c>
      <c r="AC1129" s="36">
        <v>0.125</v>
      </c>
      <c r="AL1129" t="str">
        <f t="shared" si="248"/>
        <v>Health Deterioration</v>
      </c>
      <c r="AM1129" t="str">
        <f t="shared" si="249"/>
        <v>No</v>
      </c>
      <c r="AN1129" t="str">
        <f t="shared" si="250"/>
        <v>Emergency</v>
      </c>
      <c r="AO1129" t="str">
        <f t="shared" si="251"/>
        <v>General Ward</v>
      </c>
    </row>
    <row r="1130" spans="1:41" x14ac:dyDescent="0.3">
      <c r="A1130" s="21" t="str">
        <f t="shared" si="244"/>
        <v>UHID-01129</v>
      </c>
      <c r="B1130" s="18">
        <v>11</v>
      </c>
      <c r="C1130" s="10" t="s">
        <v>17</v>
      </c>
      <c r="D1130" s="13" t="s">
        <v>27</v>
      </c>
      <c r="E1130" s="13" t="s">
        <v>2</v>
      </c>
      <c r="F1130" s="15">
        <v>46172.719790509298</v>
      </c>
      <c r="G1130" s="4">
        <v>46172</v>
      </c>
      <c r="H1130" s="1">
        <v>46176.727825671303</v>
      </c>
      <c r="I1130" s="22">
        <v>46176</v>
      </c>
      <c r="J1130" s="24">
        <f t="shared" si="238"/>
        <v>46176.573095681015</v>
      </c>
      <c r="K1130" s="24">
        <f t="shared" si="239"/>
        <v>0.72782567130343523</v>
      </c>
      <c r="L1130" s="29">
        <f t="shared" si="245"/>
        <v>46175</v>
      </c>
      <c r="M1130" s="27" t="str">
        <f t="shared" si="240"/>
        <v>Medication Change</v>
      </c>
      <c r="N1130" s="31">
        <f t="shared" si="241"/>
        <v>4</v>
      </c>
      <c r="O1130" s="27"/>
      <c r="Q1130" s="8">
        <v>0.47429123453399724</v>
      </c>
      <c r="R1130" s="8" t="str">
        <f t="shared" si="242"/>
        <v>Major Delay</v>
      </c>
      <c r="S1130" s="33">
        <v>1.7135197669920565</v>
      </c>
      <c r="T1130" t="s">
        <v>31</v>
      </c>
      <c r="U1130" s="3">
        <v>2</v>
      </c>
      <c r="V1130" s="3" t="str">
        <f t="shared" si="246"/>
        <v>Normal</v>
      </c>
      <c r="W1130" s="3" t="s">
        <v>50</v>
      </c>
      <c r="X1130" s="32">
        <f t="shared" si="243"/>
        <v>0.15472999028861523</v>
      </c>
      <c r="Z1130" s="38">
        <f t="shared" si="247"/>
        <v>2.9729990288615227E-2</v>
      </c>
      <c r="AC1130" s="36">
        <v>0.125</v>
      </c>
      <c r="AL1130" t="str">
        <f t="shared" si="248"/>
        <v>Medication Change</v>
      </c>
      <c r="AM1130" t="str">
        <f t="shared" si="249"/>
        <v>No</v>
      </c>
      <c r="AN1130" t="str">
        <f t="shared" si="250"/>
        <v>Elective</v>
      </c>
      <c r="AO1130" t="str">
        <f t="shared" si="251"/>
        <v>HDU</v>
      </c>
    </row>
    <row r="1131" spans="1:41" x14ac:dyDescent="0.3">
      <c r="A1131" s="21" t="str">
        <f t="shared" si="244"/>
        <v>UHID-01130</v>
      </c>
      <c r="B1131" s="18">
        <v>2</v>
      </c>
      <c r="C1131" s="10" t="s">
        <v>18</v>
      </c>
      <c r="D1131" s="13" t="s">
        <v>26</v>
      </c>
      <c r="E1131" s="13" t="s">
        <v>2</v>
      </c>
      <c r="F1131" s="15">
        <v>46175.591162500001</v>
      </c>
      <c r="G1131" s="4">
        <v>46175</v>
      </c>
      <c r="H1131" s="1">
        <v>46177.523064664398</v>
      </c>
      <c r="I1131" s="22">
        <v>46177</v>
      </c>
      <c r="J1131" s="24">
        <f t="shared" si="238"/>
        <v>46177.37157509158</v>
      </c>
      <c r="K1131" s="24">
        <f t="shared" si="239"/>
        <v>0.52306466439767973</v>
      </c>
      <c r="L1131" s="29">
        <f t="shared" si="245"/>
        <v>46176</v>
      </c>
      <c r="M1131" s="27" t="str">
        <f t="shared" si="240"/>
        <v>TPA Approval Delay</v>
      </c>
      <c r="N1131" s="31">
        <f t="shared" si="241"/>
        <v>2</v>
      </c>
      <c r="O1131" s="27"/>
      <c r="Q1131" s="8">
        <v>0.73903936530379211</v>
      </c>
      <c r="R1131" s="8" t="str">
        <f t="shared" si="242"/>
        <v>Major Delay</v>
      </c>
      <c r="S1131" s="33">
        <v>3.6357497475796809</v>
      </c>
      <c r="T1131" t="s">
        <v>31</v>
      </c>
      <c r="U1131" s="3">
        <v>0</v>
      </c>
      <c r="V1131" s="3" t="str">
        <f t="shared" si="246"/>
        <v>Normal</v>
      </c>
      <c r="W1131" s="3" t="s">
        <v>51</v>
      </c>
      <c r="X1131" s="32">
        <f t="shared" si="243"/>
        <v>0.15148957281780895</v>
      </c>
      <c r="Z1131" s="38">
        <f t="shared" si="247"/>
        <v>2.6489572817808948E-2</v>
      </c>
      <c r="AC1131" s="36">
        <v>0.125</v>
      </c>
      <c r="AL1131" t="str">
        <f t="shared" si="248"/>
        <v>TPA Approval Delay</v>
      </c>
      <c r="AM1131" t="str">
        <f t="shared" si="249"/>
        <v>No</v>
      </c>
      <c r="AN1131" t="str">
        <f t="shared" si="250"/>
        <v>Elective</v>
      </c>
      <c r="AO1131" t="str">
        <f t="shared" si="251"/>
        <v>General Ward</v>
      </c>
    </row>
    <row r="1132" spans="1:41" x14ac:dyDescent="0.3">
      <c r="A1132" s="21" t="str">
        <f t="shared" si="244"/>
        <v>UHID-01131</v>
      </c>
      <c r="B1132" s="18">
        <v>7</v>
      </c>
      <c r="C1132" s="10" t="s">
        <v>18</v>
      </c>
      <c r="D1132" s="13" t="s">
        <v>26</v>
      </c>
      <c r="E1132" s="13" t="s">
        <v>2</v>
      </c>
      <c r="F1132" s="15">
        <v>46172.949386724496</v>
      </c>
      <c r="G1132" s="4">
        <v>46172</v>
      </c>
      <c r="H1132" s="1">
        <v>46177.5167187384</v>
      </c>
      <c r="I1132" s="22">
        <v>46177</v>
      </c>
      <c r="J1132" s="24">
        <f t="shared" si="238"/>
        <v>46177.382709377853</v>
      </c>
      <c r="K1132" s="24">
        <f t="shared" si="239"/>
        <v>0.51671873839950422</v>
      </c>
      <c r="L1132" s="29">
        <f t="shared" si="245"/>
        <v>46176</v>
      </c>
      <c r="M1132" s="27" t="str">
        <f t="shared" si="240"/>
        <v>TPA Approval Delay</v>
      </c>
      <c r="N1132" s="31">
        <f t="shared" si="241"/>
        <v>5</v>
      </c>
      <c r="O1132" s="27"/>
      <c r="Q1132" s="8">
        <v>0.68724049433610079</v>
      </c>
      <c r="R1132" s="8" t="str">
        <f t="shared" si="242"/>
        <v>Major Delay</v>
      </c>
      <c r="S1132" s="33">
        <v>3.216224653116508</v>
      </c>
      <c r="T1132" t="s">
        <v>31</v>
      </c>
      <c r="U1132" s="3">
        <v>0</v>
      </c>
      <c r="V1132" s="3" t="str">
        <f t="shared" si="246"/>
        <v>Normal</v>
      </c>
      <c r="W1132" s="3" t="s">
        <v>51</v>
      </c>
      <c r="X1132" s="32">
        <f t="shared" si="243"/>
        <v>0.13400936054677004</v>
      </c>
      <c r="Z1132" s="38">
        <f t="shared" si="247"/>
        <v>9.0093605467700399E-3</v>
      </c>
      <c r="AC1132" s="36">
        <v>0.125</v>
      </c>
      <c r="AL1132" t="str">
        <f t="shared" si="248"/>
        <v>TPA Approval Delay</v>
      </c>
      <c r="AM1132" t="str">
        <f t="shared" si="249"/>
        <v>No</v>
      </c>
      <c r="AN1132" t="str">
        <f t="shared" si="250"/>
        <v>Elective</v>
      </c>
      <c r="AO1132" t="str">
        <f t="shared" si="251"/>
        <v>HDU</v>
      </c>
    </row>
    <row r="1133" spans="1:41" x14ac:dyDescent="0.3">
      <c r="A1133" s="21" t="str">
        <f t="shared" si="244"/>
        <v>UHID-01132</v>
      </c>
      <c r="B1133" s="18">
        <v>4</v>
      </c>
      <c r="C1133" s="10" t="s">
        <v>17</v>
      </c>
      <c r="D1133" s="13" t="s">
        <v>27</v>
      </c>
      <c r="E1133" s="13" t="s">
        <v>2</v>
      </c>
      <c r="F1133" s="15">
        <v>46176.524807256901</v>
      </c>
      <c r="G1133" s="4">
        <v>46176</v>
      </c>
      <c r="H1133" s="1">
        <v>46177.6684721528</v>
      </c>
      <c r="I1133" s="22">
        <v>46177</v>
      </c>
      <c r="J1133" s="24">
        <f t="shared" si="238"/>
        <v>46177.610583508438</v>
      </c>
      <c r="K1133" s="24">
        <f t="shared" si="239"/>
        <v>0.66847215279994998</v>
      </c>
      <c r="L1133" s="29">
        <f t="shared" si="245"/>
        <v>46176</v>
      </c>
      <c r="M1133" s="27" t="str">
        <f t="shared" si="240"/>
        <v>Normal</v>
      </c>
      <c r="N1133" s="31">
        <f t="shared" si="241"/>
        <v>1</v>
      </c>
      <c r="O1133" s="27"/>
      <c r="Q1133" s="8">
        <v>0.13924467914399763</v>
      </c>
      <c r="R1133" s="8" t="str">
        <f t="shared" si="242"/>
        <v>On Time</v>
      </c>
      <c r="S1133" s="33">
        <v>1.3893274646983116</v>
      </c>
      <c r="T1133" t="s">
        <v>30</v>
      </c>
      <c r="U1133" s="3">
        <v>0</v>
      </c>
      <c r="V1133" s="3" t="str">
        <f t="shared" si="246"/>
        <v/>
      </c>
      <c r="W1133" s="3" t="s">
        <v>51</v>
      </c>
      <c r="X1133" s="32">
        <f t="shared" si="243"/>
        <v>5.7888644361810293E-2</v>
      </c>
      <c r="Z1133" s="38">
        <f t="shared" si="247"/>
        <v>0</v>
      </c>
      <c r="AC1133" s="36">
        <v>0.125</v>
      </c>
      <c r="AL1133" t="str">
        <f t="shared" si="248"/>
        <v>Normal</v>
      </c>
      <c r="AM1133" t="str">
        <f t="shared" si="249"/>
        <v>No</v>
      </c>
      <c r="AN1133" t="str">
        <f t="shared" si="250"/>
        <v>Elective</v>
      </c>
      <c r="AO1133" t="str">
        <f t="shared" si="251"/>
        <v>General Ward</v>
      </c>
    </row>
    <row r="1134" spans="1:41" x14ac:dyDescent="0.3">
      <c r="A1134" s="21" t="str">
        <f t="shared" si="244"/>
        <v>UHID-01133</v>
      </c>
      <c r="B1134" s="18">
        <v>5</v>
      </c>
      <c r="C1134" s="10" t="s">
        <v>17</v>
      </c>
      <c r="D1134" s="13" t="s">
        <v>26</v>
      </c>
      <c r="E1134" s="13" t="s">
        <v>2</v>
      </c>
      <c r="F1134" s="15">
        <v>46175.684377627302</v>
      </c>
      <c r="G1134" s="4">
        <v>46175</v>
      </c>
      <c r="H1134" s="1">
        <v>46177.670242106498</v>
      </c>
      <c r="I1134" s="22">
        <v>46177</v>
      </c>
      <c r="J1134" s="24">
        <f t="shared" si="238"/>
        <v>46177.503871124922</v>
      </c>
      <c r="K1134" s="24">
        <f t="shared" si="239"/>
        <v>0.67024210649833549</v>
      </c>
      <c r="L1134" s="29">
        <f t="shared" si="245"/>
        <v>46176</v>
      </c>
      <c r="M1134" s="27" t="str">
        <f t="shared" si="240"/>
        <v>TPA Approval Delay</v>
      </c>
      <c r="N1134" s="31">
        <f t="shared" si="241"/>
        <v>2</v>
      </c>
      <c r="O1134" s="27"/>
      <c r="Q1134" s="8">
        <v>0.51008778415161538</v>
      </c>
      <c r="R1134" s="8" t="str">
        <f t="shared" si="242"/>
        <v>Major Delay</v>
      </c>
      <c r="S1134" s="33">
        <v>3.9929035579215806</v>
      </c>
      <c r="T1134" t="s">
        <v>31</v>
      </c>
      <c r="U1134" s="3">
        <v>0</v>
      </c>
      <c r="V1134" s="3" t="str">
        <f t="shared" si="246"/>
        <v>Normal</v>
      </c>
      <c r="W1134" s="3" t="s">
        <v>51</v>
      </c>
      <c r="X1134" s="32">
        <f t="shared" si="243"/>
        <v>0.16637098157661967</v>
      </c>
      <c r="Z1134" s="38">
        <f t="shared" si="247"/>
        <v>4.137098157661967E-2</v>
      </c>
      <c r="AC1134" s="36">
        <v>0.125</v>
      </c>
      <c r="AL1134" t="str">
        <f t="shared" si="248"/>
        <v>TPA Approval Delay</v>
      </c>
      <c r="AM1134" t="str">
        <f t="shared" si="249"/>
        <v>No</v>
      </c>
      <c r="AN1134" t="str">
        <f t="shared" si="250"/>
        <v>Elective</v>
      </c>
      <c r="AO1134" t="str">
        <f t="shared" si="251"/>
        <v>General Ward</v>
      </c>
    </row>
    <row r="1135" spans="1:41" x14ac:dyDescent="0.3">
      <c r="A1135" s="21" t="str">
        <f t="shared" si="244"/>
        <v>UHID-01134</v>
      </c>
      <c r="B1135" s="18">
        <v>10</v>
      </c>
      <c r="C1135" s="10" t="s">
        <v>17</v>
      </c>
      <c r="D1135" s="13" t="s">
        <v>28</v>
      </c>
      <c r="E1135" s="13" t="s">
        <v>2</v>
      </c>
      <c r="F1135" s="15">
        <v>46175.740422731498</v>
      </c>
      <c r="G1135" s="4">
        <v>46175</v>
      </c>
      <c r="H1135" s="1">
        <v>46178.507707222197</v>
      </c>
      <c r="I1135" s="22">
        <v>46178</v>
      </c>
      <c r="J1135" s="24">
        <f t="shared" si="238"/>
        <v>46178.400156475662</v>
      </c>
      <c r="K1135" s="24">
        <f t="shared" si="239"/>
        <v>0.50770722219749587</v>
      </c>
      <c r="L1135" s="29">
        <f t="shared" si="245"/>
        <v>46177</v>
      </c>
      <c r="M1135" s="27" t="str">
        <f t="shared" si="240"/>
        <v>Doctor Round Delay/Report Delay</v>
      </c>
      <c r="N1135" s="31">
        <f t="shared" si="241"/>
        <v>3</v>
      </c>
      <c r="O1135" s="27"/>
      <c r="Q1135" s="8">
        <v>0.96141463523782711</v>
      </c>
      <c r="R1135" s="8" t="str">
        <f t="shared" si="242"/>
        <v>Minor Delay</v>
      </c>
      <c r="S1135" s="33">
        <v>2.5812179169369038</v>
      </c>
      <c r="T1135" t="s">
        <v>31</v>
      </c>
      <c r="U1135" s="3">
        <v>0</v>
      </c>
      <c r="V1135" s="3" t="str">
        <f t="shared" si="246"/>
        <v>Normal</v>
      </c>
      <c r="W1135" s="3" t="s">
        <v>51</v>
      </c>
      <c r="X1135" s="32">
        <f t="shared" si="243"/>
        <v>0.10755074653570773</v>
      </c>
      <c r="Z1135" s="38">
        <f t="shared" si="247"/>
        <v>0</v>
      </c>
      <c r="AC1135" s="36">
        <v>0.125</v>
      </c>
      <c r="AL1135" t="str">
        <f t="shared" si="248"/>
        <v>Doctor Round Delay/Report Delay</v>
      </c>
      <c r="AM1135" t="str">
        <f t="shared" si="249"/>
        <v>No</v>
      </c>
      <c r="AN1135" t="str">
        <f t="shared" si="250"/>
        <v>Elective</v>
      </c>
      <c r="AO1135" t="str">
        <f t="shared" si="251"/>
        <v>General Ward</v>
      </c>
    </row>
    <row r="1136" spans="1:41" x14ac:dyDescent="0.3">
      <c r="A1136" s="21" t="str">
        <f t="shared" si="244"/>
        <v>UHID-01135</v>
      </c>
      <c r="B1136" s="18">
        <v>9</v>
      </c>
      <c r="C1136" s="10" t="s">
        <v>17</v>
      </c>
      <c r="D1136" s="13" t="s">
        <v>27</v>
      </c>
      <c r="E1136" s="13" t="s">
        <v>2</v>
      </c>
      <c r="F1136" s="15">
        <v>46175.606180532399</v>
      </c>
      <c r="G1136" s="4">
        <v>46175</v>
      </c>
      <c r="H1136" s="1">
        <v>46177.614654421297</v>
      </c>
      <c r="I1136" s="22">
        <v>46177</v>
      </c>
      <c r="J1136" s="24">
        <f t="shared" si="238"/>
        <v>46177.124677033411</v>
      </c>
      <c r="K1136" s="24">
        <f t="shared" si="239"/>
        <v>0.61465442129701842</v>
      </c>
      <c r="L1136" s="29">
        <f t="shared" si="245"/>
        <v>46176</v>
      </c>
      <c r="M1136" s="27" t="str">
        <f t="shared" si="240"/>
        <v>Health Deterioration</v>
      </c>
      <c r="N1136" s="31">
        <f t="shared" si="241"/>
        <v>2</v>
      </c>
      <c r="O1136" s="27"/>
      <c r="Q1136" s="8">
        <v>3.1158624467010676E-2</v>
      </c>
      <c r="R1136" s="8" t="str">
        <f t="shared" si="242"/>
        <v>Critical Delay</v>
      </c>
      <c r="S1136" s="33">
        <v>1.7594573092050037</v>
      </c>
      <c r="T1136" t="s">
        <v>30</v>
      </c>
      <c r="U1136" s="3">
        <v>10</v>
      </c>
      <c r="V1136" s="3" t="str">
        <f t="shared" si="246"/>
        <v/>
      </c>
      <c r="W1136" s="3" t="s">
        <v>52</v>
      </c>
      <c r="X1136" s="32">
        <f t="shared" si="243"/>
        <v>0.48997738788602874</v>
      </c>
      <c r="Z1136" s="38">
        <f t="shared" si="247"/>
        <v>0.36497738788602874</v>
      </c>
      <c r="AC1136" s="36">
        <v>0.125</v>
      </c>
      <c r="AL1136" t="str">
        <f t="shared" si="248"/>
        <v>Health Deterioration</v>
      </c>
      <c r="AM1136" t="str">
        <f t="shared" si="249"/>
        <v>No</v>
      </c>
      <c r="AN1136" t="str">
        <f t="shared" si="250"/>
        <v>Emergency</v>
      </c>
      <c r="AO1136" t="str">
        <f t="shared" si="251"/>
        <v>General Ward</v>
      </c>
    </row>
    <row r="1137" spans="1:41" x14ac:dyDescent="0.3">
      <c r="A1137" s="21" t="str">
        <f t="shared" si="244"/>
        <v>UHID-01136</v>
      </c>
      <c r="B1137" s="18">
        <v>0</v>
      </c>
      <c r="C1137" s="10" t="s">
        <v>18</v>
      </c>
      <c r="D1137" s="13" t="s">
        <v>27</v>
      </c>
      <c r="E1137" s="13" t="s">
        <v>2</v>
      </c>
      <c r="F1137" s="15">
        <v>46167.454154131898</v>
      </c>
      <c r="G1137" s="4">
        <v>46167</v>
      </c>
      <c r="H1137" s="1">
        <v>46179.577905312501</v>
      </c>
      <c r="I1137" s="22">
        <v>46179</v>
      </c>
      <c r="J1137" s="24">
        <f t="shared" si="238"/>
        <v>46179.510540108291</v>
      </c>
      <c r="K1137" s="24">
        <f t="shared" si="239"/>
        <v>0.57790531250066124</v>
      </c>
      <c r="L1137" s="29">
        <f t="shared" si="245"/>
        <v>46178</v>
      </c>
      <c r="M1137" s="27" t="str">
        <f t="shared" si="240"/>
        <v>Normal</v>
      </c>
      <c r="N1137" s="31">
        <f t="shared" si="241"/>
        <v>12</v>
      </c>
      <c r="O1137" s="27"/>
      <c r="Q1137" s="8">
        <v>6.9111774550820848E-2</v>
      </c>
      <c r="R1137" s="8" t="str">
        <f t="shared" si="242"/>
        <v>On Time</v>
      </c>
      <c r="S1137" s="33">
        <v>1.6167649009816731</v>
      </c>
      <c r="T1137" t="s">
        <v>30</v>
      </c>
      <c r="U1137" s="3">
        <v>0</v>
      </c>
      <c r="V1137" s="3" t="str">
        <f t="shared" si="246"/>
        <v/>
      </c>
      <c r="W1137" s="3" t="s">
        <v>51</v>
      </c>
      <c r="X1137" s="32">
        <f t="shared" si="243"/>
        <v>6.7365204209636431E-2</v>
      </c>
      <c r="Z1137" s="38">
        <f t="shared" si="247"/>
        <v>0</v>
      </c>
      <c r="AC1137" s="36">
        <v>0.125</v>
      </c>
      <c r="AL1137" t="str">
        <f t="shared" si="248"/>
        <v>Normal</v>
      </c>
      <c r="AM1137" t="str">
        <f t="shared" si="249"/>
        <v>Yes</v>
      </c>
      <c r="AN1137" t="str">
        <f t="shared" si="250"/>
        <v>Emergency</v>
      </c>
      <c r="AO1137" t="str">
        <f t="shared" si="251"/>
        <v>ICU</v>
      </c>
    </row>
    <row r="1138" spans="1:41" x14ac:dyDescent="0.3">
      <c r="A1138" s="21" t="str">
        <f t="shared" si="244"/>
        <v>UHID-01137</v>
      </c>
      <c r="B1138" s="18">
        <v>26</v>
      </c>
      <c r="C1138" s="10" t="s">
        <v>17</v>
      </c>
      <c r="D1138" s="13" t="s">
        <v>27</v>
      </c>
      <c r="E1138" s="13" t="s">
        <v>2</v>
      </c>
      <c r="F1138" s="15">
        <v>46180.482397314801</v>
      </c>
      <c r="G1138" s="4">
        <v>46180</v>
      </c>
      <c r="H1138" s="1">
        <v>46180.8549041898</v>
      </c>
      <c r="I1138" s="22">
        <v>46180</v>
      </c>
      <c r="J1138" s="24">
        <f t="shared" si="238"/>
        <v>46180.790175069531</v>
      </c>
      <c r="K1138" s="24">
        <f t="shared" si="239"/>
        <v>0.85490418980043614</v>
      </c>
      <c r="L1138" s="29">
        <f t="shared" si="245"/>
        <v>46179</v>
      </c>
      <c r="M1138" s="27" t="str">
        <f t="shared" si="240"/>
        <v>Normal</v>
      </c>
      <c r="N1138" s="31">
        <f t="shared" si="241"/>
        <v>0</v>
      </c>
      <c r="O1138" s="27"/>
      <c r="Q1138" s="8">
        <v>0.29388461796871368</v>
      </c>
      <c r="R1138" s="8" t="str">
        <f t="shared" si="242"/>
        <v>On Time</v>
      </c>
      <c r="S1138" s="33">
        <v>1.5534988864458734</v>
      </c>
      <c r="T1138" t="s">
        <v>30</v>
      </c>
      <c r="U1138" s="3">
        <v>0</v>
      </c>
      <c r="V1138" s="3" t="str">
        <f t="shared" si="246"/>
        <v/>
      </c>
      <c r="W1138" s="3" t="s">
        <v>51</v>
      </c>
      <c r="X1138" s="32">
        <f t="shared" si="243"/>
        <v>6.472912026947597E-2</v>
      </c>
      <c r="Z1138" s="38">
        <f t="shared" si="247"/>
        <v>0</v>
      </c>
      <c r="AC1138" s="36">
        <v>0.125</v>
      </c>
      <c r="AL1138" t="str">
        <f t="shared" si="248"/>
        <v>Normal</v>
      </c>
      <c r="AM1138" t="str">
        <f t="shared" si="249"/>
        <v>No</v>
      </c>
      <c r="AN1138" t="str">
        <f t="shared" si="250"/>
        <v>Elective</v>
      </c>
      <c r="AO1138" t="str">
        <f t="shared" si="251"/>
        <v>General Ward</v>
      </c>
    </row>
    <row r="1139" spans="1:41" x14ac:dyDescent="0.3">
      <c r="A1139" s="21" t="str">
        <f t="shared" si="244"/>
        <v>UHID-01138</v>
      </c>
      <c r="B1139" s="18">
        <v>0</v>
      </c>
      <c r="C1139" s="10" t="s">
        <v>17</v>
      </c>
      <c r="D1139" s="13" t="s">
        <v>27</v>
      </c>
      <c r="E1139" s="13" t="s">
        <v>2</v>
      </c>
      <c r="F1139" s="15">
        <v>46178.756473692098</v>
      </c>
      <c r="G1139" s="4">
        <v>46178</v>
      </c>
      <c r="H1139" s="1">
        <v>46181.200277928197</v>
      </c>
      <c r="I1139" s="22">
        <v>46181</v>
      </c>
      <c r="J1139" s="24">
        <f t="shared" si="238"/>
        <v>46181.12862434546</v>
      </c>
      <c r="K1139" s="24">
        <f t="shared" si="239"/>
        <v>0.20027792819746537</v>
      </c>
      <c r="L1139" s="29">
        <f t="shared" si="245"/>
        <v>46180</v>
      </c>
      <c r="M1139" s="27" t="str">
        <f t="shared" si="240"/>
        <v>Normal</v>
      </c>
      <c r="N1139" s="31">
        <f t="shared" si="241"/>
        <v>3</v>
      </c>
      <c r="O1139" s="27"/>
      <c r="Q1139" s="8">
        <v>0.12988866887012129</v>
      </c>
      <c r="R1139" s="8" t="str">
        <f t="shared" si="242"/>
        <v>On Time</v>
      </c>
      <c r="S1139" s="33">
        <v>1.7196859857400755</v>
      </c>
      <c r="T1139" t="s">
        <v>30</v>
      </c>
      <c r="U1139" s="3">
        <v>0</v>
      </c>
      <c r="V1139" s="3" t="str">
        <f t="shared" si="246"/>
        <v/>
      </c>
      <c r="W1139" s="3" t="s">
        <v>51</v>
      </c>
      <c r="X1139" s="32">
        <f t="shared" si="243"/>
        <v>7.1653582737781107E-2</v>
      </c>
      <c r="Z1139" s="38">
        <f t="shared" si="247"/>
        <v>0</v>
      </c>
      <c r="AC1139" s="36">
        <v>0.125</v>
      </c>
      <c r="AL1139" t="str">
        <f t="shared" si="248"/>
        <v>Normal</v>
      </c>
      <c r="AM1139" t="str">
        <f t="shared" si="249"/>
        <v>No</v>
      </c>
      <c r="AN1139" t="str">
        <f t="shared" si="250"/>
        <v>Elective</v>
      </c>
      <c r="AO1139" t="str">
        <f t="shared" si="251"/>
        <v>General Ward</v>
      </c>
    </row>
    <row r="1140" spans="1:41" x14ac:dyDescent="0.3">
      <c r="A1140" s="21" t="str">
        <f t="shared" si="244"/>
        <v>UHID-01139</v>
      </c>
      <c r="B1140" s="18">
        <v>6</v>
      </c>
      <c r="C1140" s="10" t="s">
        <v>18</v>
      </c>
      <c r="D1140" s="13" t="s">
        <v>26</v>
      </c>
      <c r="E1140" s="13" t="s">
        <v>2</v>
      </c>
      <c r="F1140" s="15">
        <v>46181.575423113398</v>
      </c>
      <c r="G1140" s="4">
        <v>46181</v>
      </c>
      <c r="H1140" s="1">
        <v>46182.586203472201</v>
      </c>
      <c r="I1140" s="22">
        <v>46182</v>
      </c>
      <c r="J1140" s="24">
        <f t="shared" si="238"/>
        <v>46182.331149844482</v>
      </c>
      <c r="K1140" s="24">
        <f t="shared" si="239"/>
        <v>0.58620347220130498</v>
      </c>
      <c r="L1140" s="29">
        <f t="shared" si="245"/>
        <v>46181</v>
      </c>
      <c r="M1140" s="27" t="str">
        <f t="shared" si="240"/>
        <v>Health Deterioration/TPA Approval Delay</v>
      </c>
      <c r="N1140" s="31">
        <f t="shared" si="241"/>
        <v>1</v>
      </c>
      <c r="O1140" s="27"/>
      <c r="Q1140" s="8">
        <v>0.78278642866000592</v>
      </c>
      <c r="R1140" s="8" t="str">
        <f t="shared" si="242"/>
        <v>Critical Delay</v>
      </c>
      <c r="S1140" s="33">
        <v>3.1212870652072802</v>
      </c>
      <c r="T1140" t="s">
        <v>31</v>
      </c>
      <c r="U1140" s="3">
        <v>3</v>
      </c>
      <c r="V1140" s="3" t="str">
        <f t="shared" si="246"/>
        <v>Normal</v>
      </c>
      <c r="W1140" s="3" t="s">
        <v>50</v>
      </c>
      <c r="X1140" s="32">
        <f t="shared" si="243"/>
        <v>0.25505362771946238</v>
      </c>
      <c r="Z1140" s="38">
        <f t="shared" si="247"/>
        <v>0.13005362771946238</v>
      </c>
      <c r="AC1140" s="36">
        <v>0.125</v>
      </c>
      <c r="AL1140" t="str">
        <f t="shared" si="248"/>
        <v>Health Deterioration/TPA Approval Delay</v>
      </c>
      <c r="AM1140" t="str">
        <f t="shared" si="249"/>
        <v>No</v>
      </c>
      <c r="AN1140" t="str">
        <f t="shared" si="250"/>
        <v>Emergency</v>
      </c>
      <c r="AO1140" t="str">
        <f t="shared" si="251"/>
        <v>General Ward</v>
      </c>
    </row>
    <row r="1141" spans="1:41" x14ac:dyDescent="0.3">
      <c r="A1141" s="21" t="str">
        <f t="shared" si="244"/>
        <v>UHID-01140</v>
      </c>
      <c r="B1141" s="18">
        <v>1</v>
      </c>
      <c r="C1141" s="10" t="s">
        <v>18</v>
      </c>
      <c r="D1141" s="13" t="s">
        <v>26</v>
      </c>
      <c r="E1141" s="13" t="s">
        <v>2</v>
      </c>
      <c r="F1141" s="15">
        <v>46182.579937280098</v>
      </c>
      <c r="G1141" s="4">
        <v>46182</v>
      </c>
      <c r="H1141" s="1">
        <v>46182.898327164403</v>
      </c>
      <c r="I1141" s="22">
        <v>46182</v>
      </c>
      <c r="J1141" s="24">
        <f t="shared" si="238"/>
        <v>46182.672761849077</v>
      </c>
      <c r="K1141" s="24">
        <f t="shared" si="239"/>
        <v>0.89832716440287186</v>
      </c>
      <c r="L1141" s="29">
        <f t="shared" si="245"/>
        <v>46181</v>
      </c>
      <c r="M1141" s="27" t="str">
        <f t="shared" si="240"/>
        <v>Health Deterioration/TPA Approval Delay</v>
      </c>
      <c r="N1141" s="31">
        <f t="shared" si="241"/>
        <v>0</v>
      </c>
      <c r="O1141" s="27"/>
      <c r="Q1141" s="8">
        <v>0.74751491567704831</v>
      </c>
      <c r="R1141" s="8" t="str">
        <f t="shared" si="242"/>
        <v>Critical Delay</v>
      </c>
      <c r="S1141" s="33">
        <v>3.4135675677940696</v>
      </c>
      <c r="T1141" t="s">
        <v>31</v>
      </c>
      <c r="U1141" s="3">
        <v>2</v>
      </c>
      <c r="V1141" s="3" t="str">
        <f t="shared" si="246"/>
        <v>Normal</v>
      </c>
      <c r="W1141" s="3" t="s">
        <v>50</v>
      </c>
      <c r="X1141" s="32">
        <f t="shared" si="243"/>
        <v>0.2255653153260937</v>
      </c>
      <c r="Z1141" s="38">
        <f t="shared" si="247"/>
        <v>0.1005653153260937</v>
      </c>
      <c r="AC1141" s="36">
        <v>0.125</v>
      </c>
      <c r="AL1141" t="str">
        <f t="shared" si="248"/>
        <v>Health Deterioration/TPA Approval Delay</v>
      </c>
      <c r="AM1141" t="str">
        <f t="shared" si="249"/>
        <v>No</v>
      </c>
      <c r="AN1141" t="str">
        <f t="shared" si="250"/>
        <v>Emergency</v>
      </c>
      <c r="AO1141" t="str">
        <f t="shared" si="251"/>
        <v>General Ward</v>
      </c>
    </row>
    <row r="1142" spans="1:41" x14ac:dyDescent="0.3">
      <c r="A1142" s="21" t="str">
        <f t="shared" si="244"/>
        <v>UHID-01141</v>
      </c>
      <c r="B1142" s="18">
        <v>0</v>
      </c>
      <c r="C1142" s="10" t="s">
        <v>18</v>
      </c>
      <c r="D1142" s="13" t="s">
        <v>28</v>
      </c>
      <c r="E1142" s="13" t="s">
        <v>2</v>
      </c>
      <c r="F1142" s="15">
        <v>46179.706418900503</v>
      </c>
      <c r="G1142" s="4">
        <v>46179</v>
      </c>
      <c r="H1142" s="1">
        <v>46183.545177268497</v>
      </c>
      <c r="I1142" s="22">
        <v>46183</v>
      </c>
      <c r="J1142" s="24">
        <f t="shared" si="238"/>
        <v>46183.253798020211</v>
      </c>
      <c r="K1142" s="24">
        <f t="shared" si="239"/>
        <v>0.54517726849735482</v>
      </c>
      <c r="L1142" s="29">
        <f t="shared" si="245"/>
        <v>46182</v>
      </c>
      <c r="M1142" s="27" t="str">
        <f t="shared" si="240"/>
        <v>Health Deterioration</v>
      </c>
      <c r="N1142" s="31">
        <f t="shared" si="241"/>
        <v>4</v>
      </c>
      <c r="O1142" s="27"/>
      <c r="Q1142" s="8">
        <v>0.87303616897974679</v>
      </c>
      <c r="R1142" s="8" t="str">
        <f t="shared" si="242"/>
        <v>Critical Delay</v>
      </c>
      <c r="S1142" s="33">
        <v>2.9931019588514154</v>
      </c>
      <c r="T1142" t="s">
        <v>31</v>
      </c>
      <c r="U1142" s="3">
        <v>4</v>
      </c>
      <c r="V1142" s="3" t="str">
        <f t="shared" si="246"/>
        <v>Normal</v>
      </c>
      <c r="W1142" s="3" t="s">
        <v>50</v>
      </c>
      <c r="X1142" s="32">
        <f t="shared" si="243"/>
        <v>0.29137924828683026</v>
      </c>
      <c r="Z1142" s="38">
        <f t="shared" si="247"/>
        <v>0.16637924828683026</v>
      </c>
      <c r="AC1142" s="36">
        <v>0.125</v>
      </c>
      <c r="AL1142" t="str">
        <f t="shared" si="248"/>
        <v>Health Deterioration</v>
      </c>
      <c r="AM1142" t="str">
        <f t="shared" si="249"/>
        <v>No</v>
      </c>
      <c r="AN1142" t="str">
        <f t="shared" si="250"/>
        <v>Emergency</v>
      </c>
      <c r="AO1142" t="str">
        <f t="shared" si="251"/>
        <v>HDU</v>
      </c>
    </row>
    <row r="1143" spans="1:41" x14ac:dyDescent="0.3">
      <c r="A1143" s="21" t="str">
        <f t="shared" si="244"/>
        <v>UHID-01142</v>
      </c>
      <c r="B1143" s="18">
        <v>0</v>
      </c>
      <c r="C1143" s="10" t="s">
        <v>17</v>
      </c>
      <c r="D1143" s="13" t="s">
        <v>27</v>
      </c>
      <c r="E1143" s="13" t="s">
        <v>2</v>
      </c>
      <c r="F1143" s="15">
        <v>46178.443871979202</v>
      </c>
      <c r="G1143" s="4">
        <v>46178</v>
      </c>
      <c r="H1143" s="1">
        <v>46183.6042548611</v>
      </c>
      <c r="I1143" s="22">
        <v>46183</v>
      </c>
      <c r="J1143" s="24">
        <f t="shared" si="238"/>
        <v>46183.407590054019</v>
      </c>
      <c r="K1143" s="24">
        <f t="shared" si="239"/>
        <v>0.60425486110034399</v>
      </c>
      <c r="L1143" s="29">
        <f t="shared" si="245"/>
        <v>46182</v>
      </c>
      <c r="M1143" s="27" t="str">
        <f t="shared" si="240"/>
        <v>Medication Change</v>
      </c>
      <c r="N1143" s="31">
        <f t="shared" si="241"/>
        <v>5</v>
      </c>
      <c r="O1143" s="27"/>
      <c r="Q1143" s="8">
        <v>0.3828385504797619</v>
      </c>
      <c r="R1143" s="8" t="str">
        <f t="shared" si="242"/>
        <v>Major Delay</v>
      </c>
      <c r="S1143" s="33">
        <v>1.7199553699884138</v>
      </c>
      <c r="T1143" t="s">
        <v>31</v>
      </c>
      <c r="U1143" s="3">
        <v>3</v>
      </c>
      <c r="V1143" s="3" t="str">
        <f t="shared" si="246"/>
        <v>Normal</v>
      </c>
      <c r="W1143" s="3" t="s">
        <v>50</v>
      </c>
      <c r="X1143" s="32">
        <f t="shared" si="243"/>
        <v>0.19666480708110612</v>
      </c>
      <c r="Z1143" s="38">
        <f t="shared" si="247"/>
        <v>7.1664807081106119E-2</v>
      </c>
      <c r="AC1143" s="36">
        <v>0.125</v>
      </c>
      <c r="AL1143" t="str">
        <f t="shared" si="248"/>
        <v>Medication Change</v>
      </c>
      <c r="AM1143" t="str">
        <f t="shared" si="249"/>
        <v>No</v>
      </c>
      <c r="AN1143" t="str">
        <f t="shared" si="250"/>
        <v>Elective</v>
      </c>
      <c r="AO1143" t="str">
        <f t="shared" si="251"/>
        <v>HDU</v>
      </c>
    </row>
    <row r="1144" spans="1:41" x14ac:dyDescent="0.3">
      <c r="A1144" s="21" t="str">
        <f t="shared" si="244"/>
        <v>UHID-01143</v>
      </c>
      <c r="B1144" s="18">
        <v>1</v>
      </c>
      <c r="C1144" s="10" t="s">
        <v>18</v>
      </c>
      <c r="D1144" s="13" t="s">
        <v>27</v>
      </c>
      <c r="E1144" s="13" t="s">
        <v>2</v>
      </c>
      <c r="F1144" s="15">
        <v>46183.499705463</v>
      </c>
      <c r="G1144" s="4">
        <v>46183</v>
      </c>
      <c r="H1144" s="1">
        <v>46184.543997175897</v>
      </c>
      <c r="I1144" s="22">
        <v>46184</v>
      </c>
      <c r="J1144" s="24">
        <f t="shared" si="238"/>
        <v>46184.498556987652</v>
      </c>
      <c r="K1144" s="24">
        <f t="shared" si="239"/>
        <v>0.54399717589694774</v>
      </c>
      <c r="L1144" s="29">
        <f t="shared" si="245"/>
        <v>46183</v>
      </c>
      <c r="M1144" s="27" t="str">
        <f t="shared" si="240"/>
        <v>Normal</v>
      </c>
      <c r="N1144" s="31">
        <f t="shared" si="241"/>
        <v>1</v>
      </c>
      <c r="O1144" s="27"/>
      <c r="Q1144" s="8">
        <v>2.2421473286548199E-2</v>
      </c>
      <c r="R1144" s="8" t="str">
        <f t="shared" si="242"/>
        <v>On Time</v>
      </c>
      <c r="S1144" s="33">
        <v>1.090564517844375</v>
      </c>
      <c r="T1144" t="s">
        <v>30</v>
      </c>
      <c r="U1144" s="3">
        <v>0</v>
      </c>
      <c r="V1144" s="3" t="str">
        <f t="shared" si="246"/>
        <v/>
      </c>
      <c r="W1144" s="3" t="s">
        <v>51</v>
      </c>
      <c r="X1144" s="32">
        <f t="shared" si="243"/>
        <v>4.5440188245265745E-2</v>
      </c>
      <c r="Z1144" s="38">
        <f t="shared" si="247"/>
        <v>0</v>
      </c>
      <c r="AC1144" s="36">
        <v>0.125</v>
      </c>
      <c r="AL1144" t="str">
        <f t="shared" si="248"/>
        <v>Normal</v>
      </c>
      <c r="AM1144" t="str">
        <f t="shared" si="249"/>
        <v>No</v>
      </c>
      <c r="AN1144" t="str">
        <f t="shared" si="250"/>
        <v>Elective</v>
      </c>
      <c r="AO1144" t="str">
        <f t="shared" si="251"/>
        <v>General Ward</v>
      </c>
    </row>
    <row r="1145" spans="1:41" x14ac:dyDescent="0.3">
      <c r="A1145" s="21" t="str">
        <f t="shared" si="244"/>
        <v>UHID-01144</v>
      </c>
      <c r="B1145" s="18">
        <v>0</v>
      </c>
      <c r="C1145" s="10" t="s">
        <v>18</v>
      </c>
      <c r="D1145" s="13" t="s">
        <v>26</v>
      </c>
      <c r="E1145" s="13" t="s">
        <v>2</v>
      </c>
      <c r="F1145" s="15">
        <v>46182.419045706003</v>
      </c>
      <c r="G1145" s="4">
        <v>46182</v>
      </c>
      <c r="H1145" s="1">
        <v>46185.715367974502</v>
      </c>
      <c r="I1145" s="22">
        <v>46185</v>
      </c>
      <c r="J1145" s="24">
        <f t="shared" si="238"/>
        <v>46185.584987824179</v>
      </c>
      <c r="K1145" s="24">
        <f t="shared" si="239"/>
        <v>0.71536797450244194</v>
      </c>
      <c r="L1145" s="29">
        <f t="shared" si="245"/>
        <v>46184</v>
      </c>
      <c r="M1145" s="27" t="str">
        <f t="shared" si="240"/>
        <v>TPA Approval Delay</v>
      </c>
      <c r="N1145" s="31">
        <f t="shared" si="241"/>
        <v>3</v>
      </c>
      <c r="O1145" s="27"/>
      <c r="Q1145" s="8">
        <v>0.55400469717613199</v>
      </c>
      <c r="R1145" s="8" t="str">
        <f t="shared" si="242"/>
        <v>Major Delay</v>
      </c>
      <c r="S1145" s="33">
        <v>3.1291236077463744</v>
      </c>
      <c r="T1145" t="s">
        <v>31</v>
      </c>
      <c r="U1145" s="3">
        <v>0</v>
      </c>
      <c r="V1145" s="3" t="str">
        <f t="shared" si="246"/>
        <v>Normal</v>
      </c>
      <c r="W1145" s="3" t="s">
        <v>51</v>
      </c>
      <c r="X1145" s="32">
        <f t="shared" si="243"/>
        <v>0.13038015032361727</v>
      </c>
      <c r="Z1145" s="38">
        <f t="shared" si="247"/>
        <v>5.3801503236172721E-3</v>
      </c>
      <c r="AC1145" s="36">
        <v>0.125</v>
      </c>
      <c r="AL1145" t="str">
        <f t="shared" si="248"/>
        <v>TPA Approval Delay</v>
      </c>
      <c r="AM1145" t="str">
        <f t="shared" si="249"/>
        <v>No</v>
      </c>
      <c r="AN1145" t="str">
        <f t="shared" si="250"/>
        <v>Elective</v>
      </c>
      <c r="AO1145" t="str">
        <f t="shared" si="251"/>
        <v>General Ward</v>
      </c>
    </row>
    <row r="1146" spans="1:41" x14ac:dyDescent="0.3">
      <c r="A1146" s="21" t="str">
        <f t="shared" si="244"/>
        <v>UHID-01145</v>
      </c>
      <c r="B1146" s="18">
        <v>0</v>
      </c>
      <c r="C1146" s="10" t="s">
        <v>18</v>
      </c>
      <c r="D1146" s="13" t="s">
        <v>27</v>
      </c>
      <c r="E1146" s="13" t="s">
        <v>2</v>
      </c>
      <c r="F1146" s="15">
        <v>46181.536225092597</v>
      </c>
      <c r="G1146" s="4">
        <v>46181</v>
      </c>
      <c r="H1146" s="1">
        <v>46185.579459016197</v>
      </c>
      <c r="I1146" s="22">
        <v>46185</v>
      </c>
      <c r="J1146" s="24">
        <f t="shared" si="238"/>
        <v>46185.274704468611</v>
      </c>
      <c r="K1146" s="24">
        <f t="shared" si="239"/>
        <v>0.57945901619677898</v>
      </c>
      <c r="L1146" s="29">
        <f t="shared" si="245"/>
        <v>46184</v>
      </c>
      <c r="M1146" s="27" t="str">
        <f t="shared" si="240"/>
        <v>Health Deterioration</v>
      </c>
      <c r="N1146" s="31">
        <f t="shared" si="241"/>
        <v>4</v>
      </c>
      <c r="O1146" s="27"/>
      <c r="Q1146" s="8">
        <v>0.48355414080260506</v>
      </c>
      <c r="R1146" s="8" t="str">
        <f t="shared" si="242"/>
        <v>Critical Delay</v>
      </c>
      <c r="S1146" s="33">
        <v>1.314109142132756</v>
      </c>
      <c r="T1146" t="s">
        <v>31</v>
      </c>
      <c r="U1146" s="3">
        <v>6</v>
      </c>
      <c r="V1146" s="3" t="str">
        <f t="shared" si="246"/>
        <v>Normal</v>
      </c>
      <c r="W1146" s="3" t="s">
        <v>52</v>
      </c>
      <c r="X1146" s="32">
        <f t="shared" si="243"/>
        <v>0.30475454758561682</v>
      </c>
      <c r="Z1146" s="38">
        <f t="shared" si="247"/>
        <v>0.17975454758561682</v>
      </c>
      <c r="AC1146" s="36">
        <v>0.125</v>
      </c>
      <c r="AL1146" t="str">
        <f t="shared" si="248"/>
        <v>Health Deterioration</v>
      </c>
      <c r="AM1146" t="str">
        <f t="shared" si="249"/>
        <v>No</v>
      </c>
      <c r="AN1146" t="str">
        <f t="shared" si="250"/>
        <v>Emergency</v>
      </c>
      <c r="AO1146" t="str">
        <f t="shared" si="251"/>
        <v>HDU</v>
      </c>
    </row>
    <row r="1147" spans="1:41" x14ac:dyDescent="0.3">
      <c r="A1147" s="21" t="str">
        <f t="shared" si="244"/>
        <v>UHID-01146</v>
      </c>
      <c r="B1147" s="18">
        <v>7</v>
      </c>
      <c r="C1147" s="10" t="s">
        <v>18</v>
      </c>
      <c r="D1147" s="13" t="s">
        <v>27</v>
      </c>
      <c r="E1147" s="13" t="s">
        <v>2</v>
      </c>
      <c r="F1147" s="15">
        <v>46184.578552094899</v>
      </c>
      <c r="G1147" s="4">
        <v>46184</v>
      </c>
      <c r="H1147" s="1">
        <v>46185.622940266199</v>
      </c>
      <c r="I1147" s="22">
        <v>46185</v>
      </c>
      <c r="J1147" s="24">
        <f t="shared" si="238"/>
        <v>46185.473995571258</v>
      </c>
      <c r="K1147" s="24">
        <f t="shared" si="239"/>
        <v>0.62294026619929355</v>
      </c>
      <c r="L1147" s="29">
        <f t="shared" si="245"/>
        <v>46184</v>
      </c>
      <c r="M1147" s="27" t="str">
        <f t="shared" si="240"/>
        <v>Medication Change</v>
      </c>
      <c r="N1147" s="31">
        <f t="shared" si="241"/>
        <v>1</v>
      </c>
      <c r="O1147" s="27"/>
      <c r="Q1147" s="8">
        <v>0.10400548784698205</v>
      </c>
      <c r="R1147" s="8" t="str">
        <f t="shared" si="242"/>
        <v>Major Delay</v>
      </c>
      <c r="S1147" s="33">
        <v>1.5746726786736134</v>
      </c>
      <c r="T1147" t="s">
        <v>30</v>
      </c>
      <c r="U1147" s="3">
        <v>2</v>
      </c>
      <c r="V1147" s="3" t="str">
        <f t="shared" si="246"/>
        <v/>
      </c>
      <c r="W1147" s="3" t="s">
        <v>50</v>
      </c>
      <c r="X1147" s="32">
        <f t="shared" si="243"/>
        <v>0.148944694941747</v>
      </c>
      <c r="Z1147" s="38">
        <f t="shared" si="247"/>
        <v>2.3944694941747002E-2</v>
      </c>
      <c r="AC1147" s="36">
        <v>0.125</v>
      </c>
      <c r="AL1147" t="str">
        <f t="shared" si="248"/>
        <v>Medication Change</v>
      </c>
      <c r="AM1147" t="str">
        <f t="shared" si="249"/>
        <v>No</v>
      </c>
      <c r="AN1147" t="str">
        <f t="shared" si="250"/>
        <v>Elective</v>
      </c>
      <c r="AO1147" t="str">
        <f t="shared" si="251"/>
        <v>General Ward</v>
      </c>
    </row>
    <row r="1148" spans="1:41" x14ac:dyDescent="0.3">
      <c r="A1148" s="21" t="str">
        <f t="shared" si="244"/>
        <v>UHID-01147</v>
      </c>
      <c r="B1148" s="18">
        <v>2</v>
      </c>
      <c r="C1148" s="10" t="s">
        <v>18</v>
      </c>
      <c r="D1148" s="13" t="s">
        <v>26</v>
      </c>
      <c r="E1148" s="13" t="s">
        <v>2</v>
      </c>
      <c r="F1148" s="15">
        <v>46185.049087488398</v>
      </c>
      <c r="G1148" s="4">
        <v>46185</v>
      </c>
      <c r="H1148" s="1">
        <v>46186.569495798598</v>
      </c>
      <c r="I1148" s="22">
        <v>46186</v>
      </c>
      <c r="J1148" s="24">
        <f t="shared" si="238"/>
        <v>46186.437914541159</v>
      </c>
      <c r="K1148" s="24">
        <f t="shared" si="239"/>
        <v>0.56949579859792721</v>
      </c>
      <c r="L1148" s="29">
        <f t="shared" si="245"/>
        <v>46185</v>
      </c>
      <c r="M1148" s="27" t="str">
        <f t="shared" si="240"/>
        <v>TPA Approval Delay</v>
      </c>
      <c r="N1148" s="31">
        <f t="shared" si="241"/>
        <v>1</v>
      </c>
      <c r="O1148" s="27"/>
      <c r="Q1148" s="8">
        <v>0.74593954975037979</v>
      </c>
      <c r="R1148" s="8" t="str">
        <f t="shared" si="242"/>
        <v>Major Delay</v>
      </c>
      <c r="S1148" s="33">
        <v>3.1579501785486457</v>
      </c>
      <c r="T1148" t="s">
        <v>31</v>
      </c>
      <c r="U1148" s="3">
        <v>0</v>
      </c>
      <c r="V1148" s="3" t="str">
        <f t="shared" si="246"/>
        <v>Normal</v>
      </c>
      <c r="W1148" s="3" t="s">
        <v>51</v>
      </c>
      <c r="X1148" s="32">
        <f t="shared" si="243"/>
        <v>0.13158125743939308</v>
      </c>
      <c r="Z1148" s="38">
        <f t="shared" si="247"/>
        <v>6.5812574393930845E-3</v>
      </c>
      <c r="AC1148" s="36">
        <v>0.125</v>
      </c>
      <c r="AL1148" t="str">
        <f t="shared" si="248"/>
        <v>TPA Approval Delay</v>
      </c>
      <c r="AM1148" t="str">
        <f t="shared" si="249"/>
        <v>No</v>
      </c>
      <c r="AN1148" t="str">
        <f t="shared" si="250"/>
        <v>Elective</v>
      </c>
      <c r="AO1148" t="str">
        <f t="shared" si="251"/>
        <v>General Ward</v>
      </c>
    </row>
    <row r="1149" spans="1:41" x14ac:dyDescent="0.3">
      <c r="A1149" s="21" t="str">
        <f t="shared" si="244"/>
        <v>UHID-01148</v>
      </c>
      <c r="B1149" s="18">
        <v>11</v>
      </c>
      <c r="C1149" s="10" t="s">
        <v>17</v>
      </c>
      <c r="D1149" s="13" t="s">
        <v>27</v>
      </c>
      <c r="E1149" s="13" t="s">
        <v>2</v>
      </c>
      <c r="F1149" s="15">
        <v>46184.582192661997</v>
      </c>
      <c r="G1149" s="4">
        <v>46184</v>
      </c>
      <c r="H1149" s="1">
        <v>46186.590751458301</v>
      </c>
      <c r="I1149" s="22">
        <v>46186</v>
      </c>
      <c r="J1149" s="24">
        <f t="shared" si="238"/>
        <v>46186.413759510455</v>
      </c>
      <c r="K1149" s="24">
        <f t="shared" si="239"/>
        <v>0.59075145830138354</v>
      </c>
      <c r="L1149" s="29">
        <f t="shared" si="245"/>
        <v>46185</v>
      </c>
      <c r="M1149" s="27" t="str">
        <f t="shared" si="240"/>
        <v>Medication Change</v>
      </c>
      <c r="N1149" s="31">
        <f t="shared" si="241"/>
        <v>2</v>
      </c>
      <c r="O1149" s="27"/>
      <c r="Q1149" s="8">
        <v>7.2118708771943263E-2</v>
      </c>
      <c r="R1149" s="8" t="str">
        <f t="shared" si="242"/>
        <v>Major Delay</v>
      </c>
      <c r="S1149" s="33">
        <v>1.2478067483188431</v>
      </c>
      <c r="T1149" t="s">
        <v>30</v>
      </c>
      <c r="U1149" s="3">
        <v>3</v>
      </c>
      <c r="V1149" s="3" t="str">
        <f t="shared" si="246"/>
        <v/>
      </c>
      <c r="W1149" s="3" t="s">
        <v>50</v>
      </c>
      <c r="X1149" s="32">
        <f t="shared" si="243"/>
        <v>0.17699194784654537</v>
      </c>
      <c r="Z1149" s="38">
        <f t="shared" si="247"/>
        <v>5.1991947846545372E-2</v>
      </c>
      <c r="AC1149" s="36">
        <v>0.125</v>
      </c>
      <c r="AL1149" t="str">
        <f t="shared" si="248"/>
        <v>Medication Change</v>
      </c>
      <c r="AM1149" t="str">
        <f t="shared" si="249"/>
        <v>No</v>
      </c>
      <c r="AN1149" t="str">
        <f t="shared" si="250"/>
        <v>Elective</v>
      </c>
      <c r="AO1149" t="str">
        <f t="shared" si="251"/>
        <v>General Ward</v>
      </c>
    </row>
    <row r="1150" spans="1:41" x14ac:dyDescent="0.3">
      <c r="A1150" s="21" t="str">
        <f t="shared" si="244"/>
        <v>UHID-01149</v>
      </c>
      <c r="B1150" s="18">
        <v>9</v>
      </c>
      <c r="C1150" s="10" t="s">
        <v>17</v>
      </c>
      <c r="D1150" s="13" t="s">
        <v>27</v>
      </c>
      <c r="E1150" s="13" t="s">
        <v>2</v>
      </c>
      <c r="F1150" s="15">
        <v>46184.3903094907</v>
      </c>
      <c r="G1150" s="4">
        <v>46184</v>
      </c>
      <c r="H1150" s="1">
        <v>46186.668088692102</v>
      </c>
      <c r="I1150" s="22">
        <v>46186</v>
      </c>
      <c r="J1150" s="24">
        <f t="shared" si="238"/>
        <v>46186.427749974777</v>
      </c>
      <c r="K1150" s="24">
        <f t="shared" si="239"/>
        <v>0.66808869210217381</v>
      </c>
      <c r="L1150" s="29">
        <f t="shared" si="245"/>
        <v>46185</v>
      </c>
      <c r="M1150" s="27" t="str">
        <f t="shared" si="240"/>
        <v>Health Deterioration</v>
      </c>
      <c r="N1150" s="31">
        <f t="shared" si="241"/>
        <v>2</v>
      </c>
      <c r="O1150" s="27"/>
      <c r="Q1150" s="8">
        <v>0.35693555454263948</v>
      </c>
      <c r="R1150" s="8" t="str">
        <f t="shared" si="242"/>
        <v>Critical Delay</v>
      </c>
      <c r="S1150" s="33">
        <v>1.7681292157662116</v>
      </c>
      <c r="T1150" t="s">
        <v>31</v>
      </c>
      <c r="U1150" s="3">
        <v>4</v>
      </c>
      <c r="V1150" s="3" t="str">
        <f t="shared" si="246"/>
        <v>Normal</v>
      </c>
      <c r="W1150" s="3" t="s">
        <v>50</v>
      </c>
      <c r="X1150" s="32">
        <f t="shared" si="243"/>
        <v>0.24033871732535772</v>
      </c>
      <c r="Z1150" s="38">
        <f t="shared" si="247"/>
        <v>0.11533871732535772</v>
      </c>
      <c r="AC1150" s="36">
        <v>0.125</v>
      </c>
      <c r="AL1150" t="str">
        <f t="shared" si="248"/>
        <v>Health Deterioration</v>
      </c>
      <c r="AM1150" t="str">
        <f t="shared" si="249"/>
        <v>No</v>
      </c>
      <c r="AN1150" t="str">
        <f t="shared" si="250"/>
        <v>Emergency</v>
      </c>
      <c r="AO1150" t="str">
        <f t="shared" si="251"/>
        <v>General Ward</v>
      </c>
    </row>
    <row r="1151" spans="1:41" x14ac:dyDescent="0.3">
      <c r="A1151" s="21" t="str">
        <f t="shared" si="244"/>
        <v>UHID-01150</v>
      </c>
      <c r="B1151" s="18">
        <v>8</v>
      </c>
      <c r="C1151" s="10" t="s">
        <v>18</v>
      </c>
      <c r="D1151" s="13" t="s">
        <v>27</v>
      </c>
      <c r="E1151" s="13" t="s">
        <v>2</v>
      </c>
      <c r="F1151" s="15">
        <v>46185.722396921301</v>
      </c>
      <c r="G1151" s="4">
        <v>46185</v>
      </c>
      <c r="H1151" s="1">
        <v>46186.715394687497</v>
      </c>
      <c r="I1151" s="22">
        <v>46186</v>
      </c>
      <c r="J1151" s="24">
        <f t="shared" si="238"/>
        <v>46186.498873651144</v>
      </c>
      <c r="K1151" s="24">
        <f t="shared" si="239"/>
        <v>0.7153946874968824</v>
      </c>
      <c r="L1151" s="29">
        <f t="shared" si="245"/>
        <v>46185</v>
      </c>
      <c r="M1151" s="27" t="str">
        <f t="shared" si="240"/>
        <v>Health Deterioration</v>
      </c>
      <c r="N1151" s="31">
        <f t="shared" si="241"/>
        <v>1</v>
      </c>
      <c r="O1151" s="27"/>
      <c r="Q1151" s="8">
        <v>0.37416526230056801</v>
      </c>
      <c r="R1151" s="8" t="str">
        <f t="shared" si="242"/>
        <v>Critical Delay</v>
      </c>
      <c r="S1151" s="33">
        <v>1.1965048724879659</v>
      </c>
      <c r="T1151" t="s">
        <v>31</v>
      </c>
      <c r="U1151" s="3">
        <v>4</v>
      </c>
      <c r="V1151" s="3" t="str">
        <f t="shared" si="246"/>
        <v>Normal</v>
      </c>
      <c r="W1151" s="3" t="s">
        <v>50</v>
      </c>
      <c r="X1151" s="32">
        <f t="shared" si="243"/>
        <v>0.21652103635278763</v>
      </c>
      <c r="Z1151" s="38">
        <f t="shared" si="247"/>
        <v>9.1521036352787632E-2</v>
      </c>
      <c r="AC1151" s="36">
        <v>0.125</v>
      </c>
      <c r="AL1151" t="str">
        <f t="shared" si="248"/>
        <v>Health Deterioration</v>
      </c>
      <c r="AM1151" t="str">
        <f t="shared" si="249"/>
        <v>No</v>
      </c>
      <c r="AN1151" t="str">
        <f t="shared" si="250"/>
        <v>Emergency</v>
      </c>
      <c r="AO1151" t="str">
        <f t="shared" si="251"/>
        <v>General Ward</v>
      </c>
    </row>
    <row r="1152" spans="1:41" x14ac:dyDescent="0.3">
      <c r="A1152" s="21" t="str">
        <f t="shared" si="244"/>
        <v>UHID-01151</v>
      </c>
      <c r="B1152" s="18">
        <v>5</v>
      </c>
      <c r="C1152" s="10" t="s">
        <v>18</v>
      </c>
      <c r="D1152" s="13" t="s">
        <v>27</v>
      </c>
      <c r="E1152" s="13" t="s">
        <v>2</v>
      </c>
      <c r="F1152" s="15">
        <v>46186.545325601903</v>
      </c>
      <c r="G1152" s="4">
        <v>46186</v>
      </c>
      <c r="H1152" s="1">
        <v>46187.592453206002</v>
      </c>
      <c r="I1152" s="22">
        <v>46187</v>
      </c>
      <c r="J1152" s="24">
        <f t="shared" si="238"/>
        <v>46187.54644674981</v>
      </c>
      <c r="K1152" s="24">
        <f t="shared" si="239"/>
        <v>0.59245320600166451</v>
      </c>
      <c r="L1152" s="29">
        <f t="shared" si="245"/>
        <v>46186</v>
      </c>
      <c r="M1152" s="27" t="str">
        <f t="shared" si="240"/>
        <v>Normal</v>
      </c>
      <c r="N1152" s="31">
        <f t="shared" si="241"/>
        <v>1</v>
      </c>
      <c r="O1152" s="27"/>
      <c r="Q1152" s="8">
        <v>0.25666913481164255</v>
      </c>
      <c r="R1152" s="8" t="str">
        <f t="shared" si="242"/>
        <v>On Time</v>
      </c>
      <c r="S1152" s="33">
        <v>1.1041549486033886</v>
      </c>
      <c r="T1152" t="s">
        <v>30</v>
      </c>
      <c r="U1152" s="3">
        <v>0</v>
      </c>
      <c r="V1152" s="3" t="str">
        <f t="shared" si="246"/>
        <v/>
      </c>
      <c r="W1152" s="3" t="s">
        <v>51</v>
      </c>
      <c r="X1152" s="32">
        <f t="shared" si="243"/>
        <v>4.6006456192117184E-2</v>
      </c>
      <c r="Z1152" s="38">
        <f t="shared" si="247"/>
        <v>0</v>
      </c>
      <c r="AC1152" s="36">
        <v>0.125</v>
      </c>
      <c r="AL1152" t="str">
        <f t="shared" si="248"/>
        <v>Normal</v>
      </c>
      <c r="AM1152" t="str">
        <f t="shared" si="249"/>
        <v>No</v>
      </c>
      <c r="AN1152" t="str">
        <f t="shared" si="250"/>
        <v>Elective</v>
      </c>
      <c r="AO1152" t="str">
        <f t="shared" si="251"/>
        <v>General Ward</v>
      </c>
    </row>
    <row r="1153" spans="1:41" x14ac:dyDescent="0.3">
      <c r="A1153" s="21" t="str">
        <f t="shared" si="244"/>
        <v>UHID-01152</v>
      </c>
      <c r="B1153" s="18">
        <v>0</v>
      </c>
      <c r="C1153" s="10" t="s">
        <v>18</v>
      </c>
      <c r="D1153" s="13" t="s">
        <v>27</v>
      </c>
      <c r="E1153" s="13" t="s">
        <v>2</v>
      </c>
      <c r="F1153" s="15">
        <v>46178.884786307899</v>
      </c>
      <c r="G1153" s="4">
        <v>46178</v>
      </c>
      <c r="H1153" s="1">
        <v>46187.635494294002</v>
      </c>
      <c r="I1153" s="22">
        <v>46187</v>
      </c>
      <c r="J1153" s="24">
        <f t="shared" si="238"/>
        <v>46187.565057479842</v>
      </c>
      <c r="K1153" s="24">
        <f t="shared" si="239"/>
        <v>0.63549429400154622</v>
      </c>
      <c r="L1153" s="29">
        <f t="shared" si="245"/>
        <v>46186</v>
      </c>
      <c r="M1153" s="27" t="str">
        <f t="shared" si="240"/>
        <v>Normal</v>
      </c>
      <c r="N1153" s="31">
        <f t="shared" si="241"/>
        <v>9</v>
      </c>
      <c r="O1153" s="27"/>
      <c r="Q1153" s="8">
        <v>0.37117110359743088</v>
      </c>
      <c r="R1153" s="8" t="str">
        <f t="shared" si="242"/>
        <v>On Time</v>
      </c>
      <c r="S1153" s="33">
        <v>1.6904835399006823</v>
      </c>
      <c r="T1153" t="s">
        <v>31</v>
      </c>
      <c r="U1153" s="3">
        <v>0</v>
      </c>
      <c r="V1153" s="3" t="str">
        <f t="shared" si="246"/>
        <v>Normal</v>
      </c>
      <c r="W1153" s="3" t="s">
        <v>51</v>
      </c>
      <c r="X1153" s="32">
        <f t="shared" si="243"/>
        <v>7.0436814159620553E-2</v>
      </c>
      <c r="Z1153" s="38">
        <f t="shared" si="247"/>
        <v>0</v>
      </c>
      <c r="AC1153" s="36">
        <v>0.125</v>
      </c>
      <c r="AL1153" t="str">
        <f t="shared" si="248"/>
        <v>Normal</v>
      </c>
      <c r="AM1153" t="str">
        <f t="shared" si="249"/>
        <v>No</v>
      </c>
      <c r="AN1153" t="str">
        <f t="shared" si="250"/>
        <v>Emergency</v>
      </c>
      <c r="AO1153" t="str">
        <f t="shared" si="251"/>
        <v>ICU</v>
      </c>
    </row>
    <row r="1154" spans="1:41" x14ac:dyDescent="0.3">
      <c r="A1154" s="21" t="str">
        <f t="shared" si="244"/>
        <v>UHID-01153</v>
      </c>
      <c r="B1154" s="18">
        <v>0</v>
      </c>
      <c r="C1154" s="10" t="s">
        <v>17</v>
      </c>
      <c r="D1154" s="13" t="s">
        <v>27</v>
      </c>
      <c r="E1154" s="13" t="s">
        <v>2</v>
      </c>
      <c r="F1154" s="15">
        <v>46184.553746921301</v>
      </c>
      <c r="G1154" s="4">
        <v>46184</v>
      </c>
      <c r="H1154" s="1">
        <v>46188.511151898201</v>
      </c>
      <c r="I1154" s="22">
        <v>46188</v>
      </c>
      <c r="J1154" s="24">
        <f t="shared" ref="J1154:J1217" si="252">I1154+K1154-((S1154+U1154)/24)</f>
        <v>46188.459777624361</v>
      </c>
      <c r="K1154" s="24">
        <f t="shared" ref="K1154:K1217" si="253">MOD(H1154,1)</f>
        <v>0.51115189820120577</v>
      </c>
      <c r="L1154" s="29">
        <f t="shared" si="245"/>
        <v>46187</v>
      </c>
      <c r="M1154" s="27" t="str">
        <f t="shared" ref="M1154:M1217" si="254">IF(X1154="","",IF(X1154&lt;=TIME(2,0,0),"Normal",IF(X1154&lt;=TIME(3,0,0),IF(D1154="CASH","Bill Settlement Delay","Doctor Round Delay/Report Delay"),IF(X1154&lt;=TIME(5,0,0),IF(D1154="TPA","TPA Approval Delay","Medication Change"),IF(D1154="TPA","Health Deterioration/TPA Approval Delay","Health Deterioration")))))</f>
        <v>Normal</v>
      </c>
      <c r="N1154" s="31">
        <f t="shared" ref="N1154:N1217" si="255">I1154-G1154</f>
        <v>4</v>
      </c>
      <c r="O1154" s="27"/>
      <c r="Q1154" s="8">
        <v>0.12129280484821858</v>
      </c>
      <c r="R1154" s="8" t="str">
        <f t="shared" ref="R1154:R1217" si="256">IF(X1154="","",IF(X1154&lt;=TIME(2,0,0),"On Time",IF(X1154&lt;=TIME(3,0,0),"Minor Delay",IF(X1154&lt;=TIME(5,0,0),"Major Delay","Critical Delay"))))</f>
        <v>On Time</v>
      </c>
      <c r="S1154" s="33">
        <v>1.2329825721017273</v>
      </c>
      <c r="T1154" t="s">
        <v>30</v>
      </c>
      <c r="U1154" s="3">
        <v>0</v>
      </c>
      <c r="V1154" s="3" t="str">
        <f t="shared" si="246"/>
        <v/>
      </c>
      <c r="W1154" s="3" t="s">
        <v>51</v>
      </c>
      <c r="X1154" s="32">
        <f t="shared" ref="X1154:X1217" si="257">MOD(K1154-J1154,1)</f>
        <v>5.1374273840337992E-2</v>
      </c>
      <c r="Z1154" s="38">
        <f t="shared" si="247"/>
        <v>0</v>
      </c>
      <c r="AC1154" s="36">
        <v>0.125</v>
      </c>
      <c r="AL1154" t="str">
        <f t="shared" si="248"/>
        <v>Normal</v>
      </c>
      <c r="AM1154" t="str">
        <f t="shared" si="249"/>
        <v>No</v>
      </c>
      <c r="AN1154" t="str">
        <f t="shared" si="250"/>
        <v>Elective</v>
      </c>
      <c r="AO1154" t="str">
        <f t="shared" si="251"/>
        <v>HDU</v>
      </c>
    </row>
    <row r="1155" spans="1:41" x14ac:dyDescent="0.3">
      <c r="A1155" s="21" t="str">
        <f t="shared" ref="A1155:A1218" si="258">"UHID-"&amp;TEXT(ROW(A1155)-1,"00000")</f>
        <v>UHID-01154</v>
      </c>
      <c r="B1155" s="18">
        <v>3</v>
      </c>
      <c r="C1155" s="10" t="s">
        <v>17</v>
      </c>
      <c r="D1155" s="13" t="s">
        <v>26</v>
      </c>
      <c r="E1155" s="13" t="s">
        <v>2</v>
      </c>
      <c r="F1155" s="15">
        <v>46186.639969837997</v>
      </c>
      <c r="G1155" s="4">
        <v>46186</v>
      </c>
      <c r="H1155" s="1">
        <v>46188.493880532398</v>
      </c>
      <c r="I1155" s="22">
        <v>46188</v>
      </c>
      <c r="J1155" s="24">
        <f t="shared" si="252"/>
        <v>46188.359105763426</v>
      </c>
      <c r="K1155" s="24">
        <f t="shared" si="253"/>
        <v>0.49388053239817964</v>
      </c>
      <c r="L1155" s="29">
        <f t="shared" ref="L1155:L1218" si="259">IF(J1155&gt;MOD(H1155,1),INT(H1155)-1,INT(H1155))</f>
        <v>46187</v>
      </c>
      <c r="M1155" s="27" t="str">
        <f t="shared" si="254"/>
        <v>TPA Approval Delay</v>
      </c>
      <c r="N1155" s="31">
        <f t="shared" si="255"/>
        <v>2</v>
      </c>
      <c r="O1155" s="27"/>
      <c r="Q1155" s="8">
        <v>0.56907202636676713</v>
      </c>
      <c r="R1155" s="8" t="str">
        <f t="shared" si="256"/>
        <v>Major Delay</v>
      </c>
      <c r="S1155" s="33">
        <v>3.2345944554084989</v>
      </c>
      <c r="T1155" t="s">
        <v>31</v>
      </c>
      <c r="U1155" s="3">
        <v>0</v>
      </c>
      <c r="V1155" s="3" t="str">
        <f t="shared" ref="V1155:V1218" si="260">IF(T1155="NO","Normal","")</f>
        <v>Normal</v>
      </c>
      <c r="W1155" s="3" t="s">
        <v>51</v>
      </c>
      <c r="X1155" s="32">
        <f t="shared" si="257"/>
        <v>0.13477476897242013</v>
      </c>
      <c r="Z1155" s="38">
        <f t="shared" ref="Z1155:Z1218" si="261">IF(X1155 &gt; TIME(3,0,0), X1155 - TIME(3,0,0), 0)</f>
        <v>9.7747689724201337E-3</v>
      </c>
      <c r="AC1155" s="36">
        <v>0.125</v>
      </c>
      <c r="AL1155" t="str">
        <f t="shared" ref="AL1155:AL1218" si="262">IF(X1155="","",IF(X1155&lt;=TIME(2,0,0),"Normal",IF(X1155&lt;=TIME(3,0,0),IF(D1155="CASH","Bill Settlement Delay","Doctor Round Delay/Report Delay"),IF(Z1155&lt;=TIME(2,0,0),IF(D1155="TPA","TPA Approval Delay","Medication Change"),IF(D1155="TPA","Health Deterioration/TPA Approval Delay","Health Deterioration")))))</f>
        <v>TPA Approval Delay</v>
      </c>
      <c r="AM1155" t="str">
        <f t="shared" ref="AM1155:AM1218" si="263">IF(OR(AND(B1155&gt;65, R1155="Critical Delay"), N1155&gt;10), "Yes", "No")</f>
        <v>No</v>
      </c>
      <c r="AN1155" t="str">
        <f t="shared" ref="AN1155:AN1218" si="264">IF(E1155="Cardiology &amp; Cardiothoracic", IF(MOD(ROW(),10)&lt;3, "Emergency", "Elective"), IF(E1155="Neurology &amp; Neurosurgery", IF(MOD(ROW(),10)&lt;4, "Emergency", "Elective"), IF(D1155="COR", IF(MOD(ROW(),20)&lt;7, "Emergency", "Elective"), IF(OR(R1155="Critical Delay", N1155&gt;=7), "Emergency", "Elective"))))</f>
        <v>Elective</v>
      </c>
      <c r="AO1155" t="str">
        <f t="shared" ref="AO1155:AO1218" si="265">IF(OR(N1155&gt;6, AND(E1155="Cardiology &amp; Cardiothoracic", MOD(ROW(),10)&lt;4), AND(E1155="Neurology &amp; Neurosurgery", MOD(ROW(),10)&lt;6)), "ICU", IF(OR(N1155&gt;3, AND(E1155="Cardiology &amp; Cardiothoracic", MOD(ROW(),10)&lt;6), E1155="Neurology &amp; Neurosurgery"), "HDU", "General Ward"))</f>
        <v>General Ward</v>
      </c>
    </row>
    <row r="1156" spans="1:41" x14ac:dyDescent="0.3">
      <c r="A1156" s="21" t="str">
        <f t="shared" si="258"/>
        <v>UHID-01155</v>
      </c>
      <c r="B1156" s="18">
        <v>6</v>
      </c>
      <c r="C1156" s="10" t="s">
        <v>17</v>
      </c>
      <c r="D1156" s="13" t="s">
        <v>28</v>
      </c>
      <c r="E1156" s="13" t="s">
        <v>2</v>
      </c>
      <c r="F1156" s="15">
        <v>46185.856138113399</v>
      </c>
      <c r="G1156" s="4">
        <v>46185</v>
      </c>
      <c r="H1156" s="1">
        <v>46188.555706099498</v>
      </c>
      <c r="I1156" s="22">
        <v>46188</v>
      </c>
      <c r="J1156" s="24">
        <f t="shared" si="252"/>
        <v>46188.381653502722</v>
      </c>
      <c r="K1156" s="24">
        <f t="shared" si="253"/>
        <v>0.55570609949791105</v>
      </c>
      <c r="L1156" s="29">
        <f t="shared" si="259"/>
        <v>46187</v>
      </c>
      <c r="M1156" s="27" t="str">
        <f t="shared" si="254"/>
        <v>Medication Change</v>
      </c>
      <c r="N1156" s="31">
        <f t="shared" si="255"/>
        <v>3</v>
      </c>
      <c r="O1156" s="27"/>
      <c r="Q1156" s="8">
        <v>0.86178568373932807</v>
      </c>
      <c r="R1156" s="8" t="str">
        <f t="shared" si="256"/>
        <v>Major Delay</v>
      </c>
      <c r="S1156" s="33">
        <v>2.1772623226858459</v>
      </c>
      <c r="T1156" t="s">
        <v>31</v>
      </c>
      <c r="U1156" s="3">
        <v>2</v>
      </c>
      <c r="V1156" s="3" t="str">
        <f t="shared" si="260"/>
        <v>Normal</v>
      </c>
      <c r="W1156" s="3" t="s">
        <v>50</v>
      </c>
      <c r="X1156" s="32">
        <f t="shared" si="257"/>
        <v>0.17405259677616414</v>
      </c>
      <c r="Z1156" s="38">
        <f t="shared" si="261"/>
        <v>4.9052596776164137E-2</v>
      </c>
      <c r="AC1156" s="36">
        <v>0.125</v>
      </c>
      <c r="AL1156" t="str">
        <f t="shared" si="262"/>
        <v>Medication Change</v>
      </c>
      <c r="AM1156" t="str">
        <f t="shared" si="263"/>
        <v>No</v>
      </c>
      <c r="AN1156" t="str">
        <f t="shared" si="264"/>
        <v>Elective</v>
      </c>
      <c r="AO1156" t="str">
        <f t="shared" si="265"/>
        <v>General Ward</v>
      </c>
    </row>
    <row r="1157" spans="1:41" x14ac:dyDescent="0.3">
      <c r="A1157" s="21" t="str">
        <f t="shared" si="258"/>
        <v>UHID-01156</v>
      </c>
      <c r="B1157" s="18">
        <v>0</v>
      </c>
      <c r="C1157" s="10" t="s">
        <v>17</v>
      </c>
      <c r="D1157" s="13" t="s">
        <v>27</v>
      </c>
      <c r="E1157" s="13" t="s">
        <v>2</v>
      </c>
      <c r="F1157" s="15">
        <v>46188.918901990699</v>
      </c>
      <c r="G1157" s="4">
        <v>46188</v>
      </c>
      <c r="H1157" s="1">
        <v>46189.959790636603</v>
      </c>
      <c r="I1157" s="22">
        <v>46189</v>
      </c>
      <c r="J1157" s="24">
        <f t="shared" si="252"/>
        <v>46189.906396557119</v>
      </c>
      <c r="K1157" s="24">
        <f t="shared" si="253"/>
        <v>0.95979063660342945</v>
      </c>
      <c r="L1157" s="29">
        <f t="shared" si="259"/>
        <v>46188</v>
      </c>
      <c r="M1157" s="27" t="str">
        <f t="shared" si="254"/>
        <v>Normal</v>
      </c>
      <c r="N1157" s="31">
        <f t="shared" si="255"/>
        <v>1</v>
      </c>
      <c r="O1157" s="27"/>
      <c r="Q1157" s="8">
        <v>3.1455420897419706E-2</v>
      </c>
      <c r="R1157" s="8" t="str">
        <f t="shared" si="256"/>
        <v>On Time</v>
      </c>
      <c r="S1157" s="33">
        <v>1.2814579077022332</v>
      </c>
      <c r="T1157" t="s">
        <v>30</v>
      </c>
      <c r="U1157" s="3">
        <v>0</v>
      </c>
      <c r="V1157" s="3" t="str">
        <f t="shared" si="260"/>
        <v/>
      </c>
      <c r="W1157" s="3" t="s">
        <v>51</v>
      </c>
      <c r="X1157" s="32">
        <f t="shared" si="257"/>
        <v>5.3394079484860413E-2</v>
      </c>
      <c r="Z1157" s="38">
        <f t="shared" si="261"/>
        <v>0</v>
      </c>
      <c r="AC1157" s="36">
        <v>0.125</v>
      </c>
      <c r="AL1157" t="str">
        <f t="shared" si="262"/>
        <v>Normal</v>
      </c>
      <c r="AM1157" t="str">
        <f t="shared" si="263"/>
        <v>No</v>
      </c>
      <c r="AN1157" t="str">
        <f t="shared" si="264"/>
        <v>Elective</v>
      </c>
      <c r="AO1157" t="str">
        <f t="shared" si="265"/>
        <v>General Ward</v>
      </c>
    </row>
    <row r="1158" spans="1:41" x14ac:dyDescent="0.3">
      <c r="A1158" s="21" t="str">
        <f t="shared" si="258"/>
        <v>UHID-01157</v>
      </c>
      <c r="B1158" s="18">
        <v>14</v>
      </c>
      <c r="C1158" s="10" t="s">
        <v>17</v>
      </c>
      <c r="D1158" s="13" t="s">
        <v>26</v>
      </c>
      <c r="E1158" s="13" t="s">
        <v>2</v>
      </c>
      <c r="F1158" s="15">
        <v>46188.0078875463</v>
      </c>
      <c r="G1158" s="4">
        <v>46188</v>
      </c>
      <c r="H1158" s="1">
        <v>46190.666719675901</v>
      </c>
      <c r="I1158" s="22">
        <v>46190</v>
      </c>
      <c r="J1158" s="24">
        <f t="shared" si="252"/>
        <v>46190.520787402245</v>
      </c>
      <c r="K1158" s="24">
        <f t="shared" si="253"/>
        <v>0.66671967590082204</v>
      </c>
      <c r="L1158" s="29">
        <f t="shared" si="259"/>
        <v>46189</v>
      </c>
      <c r="M1158" s="27" t="str">
        <f t="shared" si="254"/>
        <v>TPA Approval Delay</v>
      </c>
      <c r="N1158" s="31">
        <f t="shared" si="255"/>
        <v>2</v>
      </c>
      <c r="O1158" s="27"/>
      <c r="Q1158" s="8">
        <v>0.68772279529440528</v>
      </c>
      <c r="R1158" s="8" t="str">
        <f t="shared" si="256"/>
        <v>Major Delay</v>
      </c>
      <c r="S1158" s="33">
        <v>3.5023745677804752</v>
      </c>
      <c r="T1158" t="s">
        <v>31</v>
      </c>
      <c r="U1158" s="3">
        <v>0</v>
      </c>
      <c r="V1158" s="3" t="str">
        <f t="shared" si="260"/>
        <v>Normal</v>
      </c>
      <c r="W1158" s="3" t="s">
        <v>51</v>
      </c>
      <c r="X1158" s="32">
        <f t="shared" si="257"/>
        <v>0.14593227365548955</v>
      </c>
      <c r="Z1158" s="38">
        <f t="shared" si="261"/>
        <v>2.0932273655489553E-2</v>
      </c>
      <c r="AC1158" s="36">
        <v>0.125</v>
      </c>
      <c r="AL1158" t="str">
        <f t="shared" si="262"/>
        <v>TPA Approval Delay</v>
      </c>
      <c r="AM1158" t="str">
        <f t="shared" si="263"/>
        <v>No</v>
      </c>
      <c r="AN1158" t="str">
        <f t="shared" si="264"/>
        <v>Elective</v>
      </c>
      <c r="AO1158" t="str">
        <f t="shared" si="265"/>
        <v>General Ward</v>
      </c>
    </row>
    <row r="1159" spans="1:41" x14ac:dyDescent="0.3">
      <c r="A1159" s="21" t="str">
        <f t="shared" si="258"/>
        <v>UHID-01158</v>
      </c>
      <c r="B1159" s="18">
        <v>13</v>
      </c>
      <c r="C1159" s="10" t="s">
        <v>18</v>
      </c>
      <c r="D1159" s="13" t="s">
        <v>27</v>
      </c>
      <c r="E1159" s="13" t="s">
        <v>2</v>
      </c>
      <c r="F1159" s="15">
        <v>46190.494886643501</v>
      </c>
      <c r="G1159" s="4">
        <v>46190</v>
      </c>
      <c r="H1159" s="1">
        <v>46190.723011307899</v>
      </c>
      <c r="I1159" s="22">
        <v>46190</v>
      </c>
      <c r="J1159" s="24">
        <f t="shared" si="252"/>
        <v>46190.641172137563</v>
      </c>
      <c r="K1159" s="24">
        <f t="shared" si="253"/>
        <v>0.72301130789855961</v>
      </c>
      <c r="L1159" s="29">
        <f t="shared" si="259"/>
        <v>46189</v>
      </c>
      <c r="M1159" s="27" t="str">
        <f t="shared" si="254"/>
        <v>Normal</v>
      </c>
      <c r="N1159" s="31">
        <f t="shared" si="255"/>
        <v>0</v>
      </c>
      <c r="O1159" s="27"/>
      <c r="Q1159" s="8">
        <v>5.1769932438123223E-2</v>
      </c>
      <c r="R1159" s="8" t="str">
        <f t="shared" si="256"/>
        <v>On Time</v>
      </c>
      <c r="S1159" s="33">
        <v>1.9641400881023203</v>
      </c>
      <c r="T1159" t="s">
        <v>30</v>
      </c>
      <c r="U1159" s="3">
        <v>0</v>
      </c>
      <c r="V1159" s="3" t="str">
        <f t="shared" si="260"/>
        <v/>
      </c>
      <c r="W1159" s="3" t="s">
        <v>51</v>
      </c>
      <c r="X1159" s="32">
        <f t="shared" si="257"/>
        <v>8.1839170336024836E-2</v>
      </c>
      <c r="Z1159" s="38">
        <f t="shared" si="261"/>
        <v>0</v>
      </c>
      <c r="AC1159" s="36">
        <v>0.125</v>
      </c>
      <c r="AL1159" t="str">
        <f t="shared" si="262"/>
        <v>Normal</v>
      </c>
      <c r="AM1159" t="str">
        <f t="shared" si="263"/>
        <v>No</v>
      </c>
      <c r="AN1159" t="str">
        <f t="shared" si="264"/>
        <v>Elective</v>
      </c>
      <c r="AO1159" t="str">
        <f t="shared" si="265"/>
        <v>General Ward</v>
      </c>
    </row>
    <row r="1160" spans="1:41" x14ac:dyDescent="0.3">
      <c r="A1160" s="21" t="str">
        <f t="shared" si="258"/>
        <v>UHID-01159</v>
      </c>
      <c r="B1160" s="18">
        <v>5</v>
      </c>
      <c r="C1160" s="10" t="s">
        <v>17</v>
      </c>
      <c r="D1160" s="13" t="s">
        <v>27</v>
      </c>
      <c r="E1160" s="13" t="s">
        <v>2</v>
      </c>
      <c r="F1160" s="15">
        <v>46190.5073175</v>
      </c>
      <c r="G1160" s="4">
        <v>46190</v>
      </c>
      <c r="H1160" s="1">
        <v>46191.775062118097</v>
      </c>
      <c r="I1160" s="22">
        <v>46191</v>
      </c>
      <c r="J1160" s="24">
        <f t="shared" si="252"/>
        <v>46191.572420858356</v>
      </c>
      <c r="K1160" s="24">
        <f t="shared" si="253"/>
        <v>0.77506211809668457</v>
      </c>
      <c r="L1160" s="29">
        <f t="shared" si="259"/>
        <v>46190</v>
      </c>
      <c r="M1160" s="27" t="str">
        <f t="shared" si="254"/>
        <v>Medication Change</v>
      </c>
      <c r="N1160" s="31">
        <f t="shared" si="255"/>
        <v>1</v>
      </c>
      <c r="O1160" s="27"/>
      <c r="Q1160" s="8">
        <v>9.67936998802571E-2</v>
      </c>
      <c r="R1160" s="8" t="str">
        <f t="shared" si="256"/>
        <v>Major Delay</v>
      </c>
      <c r="S1160" s="33">
        <v>1.8633902338160326</v>
      </c>
      <c r="T1160" t="s">
        <v>30</v>
      </c>
      <c r="U1160" s="3">
        <v>3</v>
      </c>
      <c r="V1160" s="3" t="str">
        <f t="shared" si="260"/>
        <v/>
      </c>
      <c r="W1160" s="3" t="s">
        <v>50</v>
      </c>
      <c r="X1160" s="32">
        <f t="shared" si="257"/>
        <v>0.20264125974063063</v>
      </c>
      <c r="Z1160" s="38">
        <f t="shared" si="261"/>
        <v>7.764125974063063E-2</v>
      </c>
      <c r="AC1160" s="36">
        <v>0.125</v>
      </c>
      <c r="AL1160" t="str">
        <f t="shared" si="262"/>
        <v>Medication Change</v>
      </c>
      <c r="AM1160" t="str">
        <f t="shared" si="263"/>
        <v>No</v>
      </c>
      <c r="AN1160" t="str">
        <f t="shared" si="264"/>
        <v>Elective</v>
      </c>
      <c r="AO1160" t="str">
        <f t="shared" si="265"/>
        <v>General Ward</v>
      </c>
    </row>
    <row r="1161" spans="1:41" x14ac:dyDescent="0.3">
      <c r="A1161" s="21" t="str">
        <f t="shared" si="258"/>
        <v>UHID-01160</v>
      </c>
      <c r="B1161" s="18">
        <v>12</v>
      </c>
      <c r="C1161" s="10" t="s">
        <v>18</v>
      </c>
      <c r="D1161" s="13" t="s">
        <v>26</v>
      </c>
      <c r="E1161" s="13" t="s">
        <v>2</v>
      </c>
      <c r="F1161" s="15">
        <v>46165.130015613402</v>
      </c>
      <c r="G1161" s="4">
        <v>46165</v>
      </c>
      <c r="H1161" s="1">
        <v>46192.550310752304</v>
      </c>
      <c r="I1161" s="22">
        <v>46192</v>
      </c>
      <c r="J1161" s="24">
        <f t="shared" si="252"/>
        <v>46192.276087502745</v>
      </c>
      <c r="K1161" s="24">
        <f t="shared" si="253"/>
        <v>0.55031075230363058</v>
      </c>
      <c r="L1161" s="29">
        <f t="shared" si="259"/>
        <v>46191</v>
      </c>
      <c r="M1161" s="27" t="str">
        <f t="shared" si="254"/>
        <v>Health Deterioration/TPA Approval Delay</v>
      </c>
      <c r="N1161" s="31">
        <f t="shared" si="255"/>
        <v>27</v>
      </c>
      <c r="O1161" s="27"/>
      <c r="Q1161" s="8">
        <v>0.77554048526837127</v>
      </c>
      <c r="R1161" s="8" t="str">
        <f t="shared" si="256"/>
        <v>Critical Delay</v>
      </c>
      <c r="S1161" s="33">
        <v>3.5813579894641183</v>
      </c>
      <c r="T1161" t="s">
        <v>31</v>
      </c>
      <c r="U1161" s="3">
        <v>3</v>
      </c>
      <c r="V1161" s="3" t="str">
        <f t="shared" si="260"/>
        <v>Normal</v>
      </c>
      <c r="W1161" s="3" t="s">
        <v>50</v>
      </c>
      <c r="X1161" s="32">
        <f t="shared" si="257"/>
        <v>0.27422324955841759</v>
      </c>
      <c r="Z1161" s="38">
        <f t="shared" si="261"/>
        <v>0.14922324955841759</v>
      </c>
      <c r="AC1161" s="36">
        <v>0.125</v>
      </c>
      <c r="AL1161" t="str">
        <f t="shared" si="262"/>
        <v>Health Deterioration/TPA Approval Delay</v>
      </c>
      <c r="AM1161" t="str">
        <f t="shared" si="263"/>
        <v>Yes</v>
      </c>
      <c r="AN1161" t="str">
        <f t="shared" si="264"/>
        <v>Emergency</v>
      </c>
      <c r="AO1161" t="str">
        <f t="shared" si="265"/>
        <v>ICU</v>
      </c>
    </row>
    <row r="1162" spans="1:41" x14ac:dyDescent="0.3">
      <c r="A1162" s="21" t="str">
        <f t="shared" si="258"/>
        <v>UHID-01161</v>
      </c>
      <c r="B1162" s="18">
        <v>14</v>
      </c>
      <c r="C1162" s="10" t="s">
        <v>18</v>
      </c>
      <c r="D1162" s="13" t="s">
        <v>26</v>
      </c>
      <c r="E1162" s="13" t="s">
        <v>2</v>
      </c>
      <c r="F1162" s="15">
        <v>46188.633680046303</v>
      </c>
      <c r="G1162" s="4">
        <v>46188</v>
      </c>
      <c r="H1162" s="1">
        <v>46192.779927893498</v>
      </c>
      <c r="I1162" s="22">
        <v>46192</v>
      </c>
      <c r="J1162" s="24">
        <f t="shared" si="252"/>
        <v>46192.504751048</v>
      </c>
      <c r="K1162" s="24">
        <f t="shared" si="253"/>
        <v>0.77992789349809755</v>
      </c>
      <c r="L1162" s="29">
        <f t="shared" si="259"/>
        <v>46191</v>
      </c>
      <c r="M1162" s="27" t="str">
        <f t="shared" si="254"/>
        <v>Health Deterioration/TPA Approval Delay</v>
      </c>
      <c r="N1162" s="31">
        <f t="shared" si="255"/>
        <v>4</v>
      </c>
      <c r="O1162" s="27"/>
      <c r="Q1162" s="8">
        <v>0.57471087948184396</v>
      </c>
      <c r="R1162" s="8" t="str">
        <f t="shared" si="256"/>
        <v>Critical Delay</v>
      </c>
      <c r="S1162" s="33">
        <v>3.6042442920136422</v>
      </c>
      <c r="T1162" t="s">
        <v>31</v>
      </c>
      <c r="U1162" s="3">
        <v>3</v>
      </c>
      <c r="V1162" s="3" t="str">
        <f t="shared" si="260"/>
        <v>Normal</v>
      </c>
      <c r="W1162" s="3" t="s">
        <v>50</v>
      </c>
      <c r="X1162" s="32">
        <f t="shared" si="257"/>
        <v>0.27517684549820842</v>
      </c>
      <c r="Z1162" s="38">
        <f t="shared" si="261"/>
        <v>0.15017684549820842</v>
      </c>
      <c r="AC1162" s="36">
        <v>0.125</v>
      </c>
      <c r="AL1162" t="str">
        <f t="shared" si="262"/>
        <v>Health Deterioration/TPA Approval Delay</v>
      </c>
      <c r="AM1162" t="str">
        <f t="shared" si="263"/>
        <v>No</v>
      </c>
      <c r="AN1162" t="str">
        <f t="shared" si="264"/>
        <v>Emergency</v>
      </c>
      <c r="AO1162" t="str">
        <f t="shared" si="265"/>
        <v>HDU</v>
      </c>
    </row>
    <row r="1163" spans="1:41" x14ac:dyDescent="0.3">
      <c r="A1163" s="21" t="str">
        <f t="shared" si="258"/>
        <v>UHID-01162</v>
      </c>
      <c r="B1163" s="18">
        <v>12</v>
      </c>
      <c r="C1163" s="10" t="s">
        <v>17</v>
      </c>
      <c r="D1163" s="13" t="s">
        <v>26</v>
      </c>
      <c r="E1163" s="13" t="s">
        <v>2</v>
      </c>
      <c r="F1163" s="15">
        <v>46193.354706400503</v>
      </c>
      <c r="G1163" s="4">
        <v>46193</v>
      </c>
      <c r="H1163" s="1">
        <v>46193.702843333303</v>
      </c>
      <c r="I1163" s="22">
        <v>46193</v>
      </c>
      <c r="J1163" s="24">
        <f t="shared" si="252"/>
        <v>46193.556588360931</v>
      </c>
      <c r="K1163" s="24">
        <f t="shared" si="253"/>
        <v>0.70284333330346271</v>
      </c>
      <c r="L1163" s="29">
        <f t="shared" si="259"/>
        <v>46192</v>
      </c>
      <c r="M1163" s="27" t="str">
        <f t="shared" si="254"/>
        <v>TPA Approval Delay</v>
      </c>
      <c r="N1163" s="31">
        <f t="shared" si="255"/>
        <v>0</v>
      </c>
      <c r="O1163" s="27"/>
      <c r="Q1163" s="8">
        <v>0.77552177977998082</v>
      </c>
      <c r="R1163" s="8" t="str">
        <f t="shared" si="256"/>
        <v>Major Delay</v>
      </c>
      <c r="S1163" s="33">
        <v>3.510119336890928</v>
      </c>
      <c r="T1163" t="s">
        <v>31</v>
      </c>
      <c r="U1163" s="3">
        <v>0</v>
      </c>
      <c r="V1163" s="3" t="str">
        <f t="shared" si="260"/>
        <v>Normal</v>
      </c>
      <c r="W1163" s="3" t="s">
        <v>51</v>
      </c>
      <c r="X1163" s="32">
        <f t="shared" si="257"/>
        <v>0.14625497237284435</v>
      </c>
      <c r="Z1163" s="38">
        <f t="shared" si="261"/>
        <v>2.125497237284435E-2</v>
      </c>
      <c r="AC1163" s="36">
        <v>0.125</v>
      </c>
      <c r="AL1163" t="str">
        <f t="shared" si="262"/>
        <v>TPA Approval Delay</v>
      </c>
      <c r="AM1163" t="str">
        <f t="shared" si="263"/>
        <v>No</v>
      </c>
      <c r="AN1163" t="str">
        <f t="shared" si="264"/>
        <v>Elective</v>
      </c>
      <c r="AO1163" t="str">
        <f t="shared" si="265"/>
        <v>General Ward</v>
      </c>
    </row>
    <row r="1164" spans="1:41" x14ac:dyDescent="0.3">
      <c r="A1164" s="21" t="str">
        <f t="shared" si="258"/>
        <v>UHID-01163</v>
      </c>
      <c r="B1164" s="18">
        <v>2</v>
      </c>
      <c r="C1164" s="10" t="s">
        <v>17</v>
      </c>
      <c r="D1164" s="13" t="s">
        <v>26</v>
      </c>
      <c r="E1164" s="13" t="s">
        <v>2</v>
      </c>
      <c r="F1164" s="15">
        <v>46190.207757384298</v>
      </c>
      <c r="G1164" s="4">
        <v>46190</v>
      </c>
      <c r="H1164" s="1">
        <v>46193.708424213</v>
      </c>
      <c r="I1164" s="22">
        <v>46193</v>
      </c>
      <c r="J1164" s="24">
        <f t="shared" si="252"/>
        <v>46193.556611868742</v>
      </c>
      <c r="K1164" s="24">
        <f t="shared" si="253"/>
        <v>0.70842421300039859</v>
      </c>
      <c r="L1164" s="29">
        <f t="shared" si="259"/>
        <v>46192</v>
      </c>
      <c r="M1164" s="27" t="str">
        <f t="shared" si="254"/>
        <v>TPA Approval Delay</v>
      </c>
      <c r="N1164" s="31">
        <f t="shared" si="255"/>
        <v>3</v>
      </c>
      <c r="O1164" s="27"/>
      <c r="Q1164" s="8">
        <v>0.7556197163694397</v>
      </c>
      <c r="R1164" s="8" t="str">
        <f t="shared" si="256"/>
        <v>Major Delay</v>
      </c>
      <c r="S1164" s="33">
        <v>3.6434962622524858</v>
      </c>
      <c r="T1164" t="s">
        <v>31</v>
      </c>
      <c r="U1164" s="3">
        <v>0</v>
      </c>
      <c r="V1164" s="3" t="str">
        <f t="shared" si="260"/>
        <v>Normal</v>
      </c>
      <c r="W1164" s="3" t="s">
        <v>51</v>
      </c>
      <c r="X1164" s="32">
        <f t="shared" si="257"/>
        <v>0.1518123442583601</v>
      </c>
      <c r="Z1164" s="38">
        <f t="shared" si="261"/>
        <v>2.6812344258360099E-2</v>
      </c>
      <c r="AC1164" s="36">
        <v>0.125</v>
      </c>
      <c r="AL1164" t="str">
        <f t="shared" si="262"/>
        <v>TPA Approval Delay</v>
      </c>
      <c r="AM1164" t="str">
        <f t="shared" si="263"/>
        <v>No</v>
      </c>
      <c r="AN1164" t="str">
        <f t="shared" si="264"/>
        <v>Elective</v>
      </c>
      <c r="AO1164" t="str">
        <f t="shared" si="265"/>
        <v>General Ward</v>
      </c>
    </row>
    <row r="1165" spans="1:41" x14ac:dyDescent="0.3">
      <c r="A1165" s="21" t="str">
        <f t="shared" si="258"/>
        <v>UHID-01164</v>
      </c>
      <c r="B1165" s="18">
        <v>9</v>
      </c>
      <c r="C1165" s="10" t="s">
        <v>18</v>
      </c>
      <c r="D1165" s="13" t="s">
        <v>27</v>
      </c>
      <c r="E1165" s="13" t="s">
        <v>2</v>
      </c>
      <c r="F1165" s="15">
        <v>46193.407966562503</v>
      </c>
      <c r="G1165" s="4">
        <v>46193</v>
      </c>
      <c r="H1165" s="1">
        <v>46193.766017870403</v>
      </c>
      <c r="I1165" s="22">
        <v>46193</v>
      </c>
      <c r="J1165" s="24">
        <f t="shared" si="252"/>
        <v>46193.697986361549</v>
      </c>
      <c r="K1165" s="24">
        <f t="shared" si="253"/>
        <v>0.76601787040272029</v>
      </c>
      <c r="L1165" s="29">
        <f t="shared" si="259"/>
        <v>46192</v>
      </c>
      <c r="M1165" s="27" t="str">
        <f t="shared" si="254"/>
        <v>Normal</v>
      </c>
      <c r="N1165" s="31">
        <f t="shared" si="255"/>
        <v>0</v>
      </c>
      <c r="O1165" s="27"/>
      <c r="Q1165" s="8">
        <v>0.10504200879894943</v>
      </c>
      <c r="R1165" s="8" t="str">
        <f t="shared" si="256"/>
        <v>On Time</v>
      </c>
      <c r="S1165" s="33">
        <v>1.632756212521953</v>
      </c>
      <c r="T1165" t="s">
        <v>30</v>
      </c>
      <c r="U1165" s="3">
        <v>0</v>
      </c>
      <c r="V1165" s="3" t="str">
        <f t="shared" si="260"/>
        <v/>
      </c>
      <c r="W1165" s="3" t="s">
        <v>51</v>
      </c>
      <c r="X1165" s="32">
        <f t="shared" si="257"/>
        <v>6.8031508853891864E-2</v>
      </c>
      <c r="Z1165" s="38">
        <f t="shared" si="261"/>
        <v>0</v>
      </c>
      <c r="AC1165" s="36">
        <v>0.125</v>
      </c>
      <c r="AL1165" t="str">
        <f t="shared" si="262"/>
        <v>Normal</v>
      </c>
      <c r="AM1165" t="str">
        <f t="shared" si="263"/>
        <v>No</v>
      </c>
      <c r="AN1165" t="str">
        <f t="shared" si="264"/>
        <v>Elective</v>
      </c>
      <c r="AO1165" t="str">
        <f t="shared" si="265"/>
        <v>General Ward</v>
      </c>
    </row>
    <row r="1166" spans="1:41" x14ac:dyDescent="0.3">
      <c r="A1166" s="21" t="str">
        <f t="shared" si="258"/>
        <v>UHID-01165</v>
      </c>
      <c r="B1166" s="18">
        <v>5</v>
      </c>
      <c r="C1166" s="10" t="s">
        <v>17</v>
      </c>
      <c r="D1166" s="13" t="s">
        <v>28</v>
      </c>
      <c r="E1166" s="13" t="s">
        <v>2</v>
      </c>
      <c r="F1166" s="15">
        <v>46191.859401597198</v>
      </c>
      <c r="G1166" s="4">
        <v>46191</v>
      </c>
      <c r="H1166" s="1">
        <v>46193.820168564802</v>
      </c>
      <c r="I1166" s="22">
        <v>46193</v>
      </c>
      <c r="J1166" s="24">
        <f t="shared" si="252"/>
        <v>46193.729940646284</v>
      </c>
      <c r="K1166" s="24">
        <f t="shared" si="253"/>
        <v>0.82016856480186107</v>
      </c>
      <c r="L1166" s="29">
        <f t="shared" si="259"/>
        <v>46192</v>
      </c>
      <c r="M1166" s="27" t="str">
        <f t="shared" si="254"/>
        <v>Doctor Round Delay/Report Delay</v>
      </c>
      <c r="N1166" s="31">
        <f t="shared" si="255"/>
        <v>2</v>
      </c>
      <c r="O1166" s="27"/>
      <c r="Q1166" s="8">
        <v>0.92690850438249084</v>
      </c>
      <c r="R1166" s="8" t="str">
        <f t="shared" si="256"/>
        <v>Minor Delay</v>
      </c>
      <c r="S1166" s="33">
        <v>2.1654700444328077</v>
      </c>
      <c r="T1166" t="s">
        <v>31</v>
      </c>
      <c r="U1166" s="3">
        <v>0</v>
      </c>
      <c r="V1166" s="3" t="str">
        <f t="shared" si="260"/>
        <v>Normal</v>
      </c>
      <c r="W1166" s="3" t="s">
        <v>51</v>
      </c>
      <c r="X1166" s="32">
        <f t="shared" si="257"/>
        <v>9.0227918517484795E-2</v>
      </c>
      <c r="Z1166" s="38">
        <f t="shared" si="261"/>
        <v>0</v>
      </c>
      <c r="AC1166" s="36">
        <v>0.125</v>
      </c>
      <c r="AL1166" t="str">
        <f t="shared" si="262"/>
        <v>Doctor Round Delay/Report Delay</v>
      </c>
      <c r="AM1166" t="str">
        <f t="shared" si="263"/>
        <v>No</v>
      </c>
      <c r="AN1166" t="str">
        <f t="shared" si="264"/>
        <v>Emergency</v>
      </c>
      <c r="AO1166" t="str">
        <f t="shared" si="265"/>
        <v>General Ward</v>
      </c>
    </row>
    <row r="1167" spans="1:41" x14ac:dyDescent="0.3">
      <c r="A1167" s="21" t="str">
        <f t="shared" si="258"/>
        <v>UHID-01166</v>
      </c>
      <c r="B1167" s="18">
        <v>1</v>
      </c>
      <c r="C1167" s="10" t="s">
        <v>17</v>
      </c>
      <c r="D1167" s="13" t="s">
        <v>28</v>
      </c>
      <c r="E1167" s="13" t="s">
        <v>2</v>
      </c>
      <c r="F1167" s="15">
        <v>46193.993647743097</v>
      </c>
      <c r="G1167" s="4">
        <v>46193</v>
      </c>
      <c r="H1167" s="1">
        <v>46194.573746597198</v>
      </c>
      <c r="I1167" s="22">
        <v>46194</v>
      </c>
      <c r="J1167" s="24">
        <f t="shared" si="252"/>
        <v>46194.454328900028</v>
      </c>
      <c r="K1167" s="24">
        <f t="shared" si="253"/>
        <v>0.57374659719789634</v>
      </c>
      <c r="L1167" s="29">
        <f t="shared" si="259"/>
        <v>46193</v>
      </c>
      <c r="M1167" s="27" t="str">
        <f t="shared" si="254"/>
        <v>Doctor Round Delay/Report Delay</v>
      </c>
      <c r="N1167" s="31">
        <f t="shared" si="255"/>
        <v>1</v>
      </c>
      <c r="O1167" s="27"/>
      <c r="Q1167" s="8">
        <v>0.88760968759663939</v>
      </c>
      <c r="R1167" s="8" t="str">
        <f t="shared" si="256"/>
        <v>Minor Delay</v>
      </c>
      <c r="S1167" s="33">
        <v>2.8660247319931136</v>
      </c>
      <c r="T1167" t="s">
        <v>31</v>
      </c>
      <c r="U1167" s="3">
        <v>0</v>
      </c>
      <c r="V1167" s="3" t="str">
        <f t="shared" si="260"/>
        <v>Normal</v>
      </c>
      <c r="W1167" s="3" t="s">
        <v>51</v>
      </c>
      <c r="X1167" s="32">
        <f t="shared" si="257"/>
        <v>0.11941769716941053</v>
      </c>
      <c r="Z1167" s="38">
        <f t="shared" si="261"/>
        <v>0</v>
      </c>
      <c r="AC1167" s="36">
        <v>0.125</v>
      </c>
      <c r="AL1167" t="str">
        <f t="shared" si="262"/>
        <v>Doctor Round Delay/Report Delay</v>
      </c>
      <c r="AM1167" t="str">
        <f t="shared" si="263"/>
        <v>No</v>
      </c>
      <c r="AN1167" t="str">
        <f t="shared" si="264"/>
        <v>Elective</v>
      </c>
      <c r="AO1167" t="str">
        <f t="shared" si="265"/>
        <v>General Ward</v>
      </c>
    </row>
    <row r="1168" spans="1:41" x14ac:dyDescent="0.3">
      <c r="A1168" s="21" t="str">
        <f t="shared" si="258"/>
        <v>UHID-01167</v>
      </c>
      <c r="B1168" s="18">
        <v>6</v>
      </c>
      <c r="C1168" s="10" t="s">
        <v>17</v>
      </c>
      <c r="D1168" s="13" t="s">
        <v>27</v>
      </c>
      <c r="E1168" s="13" t="s">
        <v>2</v>
      </c>
      <c r="F1168" s="15">
        <v>46193.533906562501</v>
      </c>
      <c r="G1168" s="4">
        <v>46193</v>
      </c>
      <c r="H1168" s="1">
        <v>46194.608400705998</v>
      </c>
      <c r="I1168" s="22">
        <v>46194</v>
      </c>
      <c r="J1168" s="24">
        <f t="shared" si="252"/>
        <v>46194.533754108706</v>
      </c>
      <c r="K1168" s="24">
        <f t="shared" si="253"/>
        <v>0.60840070599806495</v>
      </c>
      <c r="L1168" s="29">
        <f t="shared" si="259"/>
        <v>46193</v>
      </c>
      <c r="M1168" s="27" t="str">
        <f t="shared" si="254"/>
        <v>Normal</v>
      </c>
      <c r="N1168" s="31">
        <f t="shared" si="255"/>
        <v>1</v>
      </c>
      <c r="O1168" s="27"/>
      <c r="Q1168" s="8">
        <v>0.39852478829395421</v>
      </c>
      <c r="R1168" s="8" t="str">
        <f t="shared" si="256"/>
        <v>On Time</v>
      </c>
      <c r="S1168" s="33">
        <v>1.7915183349541564</v>
      </c>
      <c r="T1168" t="s">
        <v>31</v>
      </c>
      <c r="U1168" s="3">
        <v>0</v>
      </c>
      <c r="V1168" s="3" t="str">
        <f t="shared" si="260"/>
        <v>Normal</v>
      </c>
      <c r="W1168" s="3" t="s">
        <v>51</v>
      </c>
      <c r="X1168" s="32">
        <f t="shared" si="257"/>
        <v>7.4646597291575745E-2</v>
      </c>
      <c r="Z1168" s="38">
        <f t="shared" si="261"/>
        <v>0</v>
      </c>
      <c r="AC1168" s="36">
        <v>0.125</v>
      </c>
      <c r="AL1168" t="str">
        <f t="shared" si="262"/>
        <v>Normal</v>
      </c>
      <c r="AM1168" t="str">
        <f t="shared" si="263"/>
        <v>No</v>
      </c>
      <c r="AN1168" t="str">
        <f t="shared" si="264"/>
        <v>Elective</v>
      </c>
      <c r="AO1168" t="str">
        <f t="shared" si="265"/>
        <v>General Ward</v>
      </c>
    </row>
    <row r="1169" spans="1:41" x14ac:dyDescent="0.3">
      <c r="A1169" s="21" t="str">
        <f t="shared" si="258"/>
        <v>UHID-01168</v>
      </c>
      <c r="B1169" s="18">
        <v>0</v>
      </c>
      <c r="C1169" s="10" t="s">
        <v>17</v>
      </c>
      <c r="D1169" s="13" t="s">
        <v>26</v>
      </c>
      <c r="E1169" s="13" t="s">
        <v>2</v>
      </c>
      <c r="F1169" s="15">
        <v>46192.703054895799</v>
      </c>
      <c r="G1169" s="4">
        <v>46192</v>
      </c>
      <c r="H1169" s="1">
        <v>46195.616868900499</v>
      </c>
      <c r="I1169" s="22">
        <v>46195</v>
      </c>
      <c r="J1169" s="24">
        <f t="shared" si="252"/>
        <v>46195.06932833996</v>
      </c>
      <c r="K1169" s="24">
        <f t="shared" si="253"/>
        <v>0.61686890049895737</v>
      </c>
      <c r="L1169" s="29">
        <f t="shared" si="259"/>
        <v>46194</v>
      </c>
      <c r="M1169" s="27" t="str">
        <f t="shared" si="254"/>
        <v>Health Deterioration/TPA Approval Delay</v>
      </c>
      <c r="N1169" s="31">
        <f t="shared" si="255"/>
        <v>3</v>
      </c>
      <c r="O1169" s="27"/>
      <c r="Q1169" s="8">
        <v>0.54115346180446322</v>
      </c>
      <c r="R1169" s="8" t="str">
        <f t="shared" si="256"/>
        <v>Critical Delay</v>
      </c>
      <c r="S1169" s="33">
        <v>3.1409734530121978</v>
      </c>
      <c r="T1169" t="s">
        <v>31</v>
      </c>
      <c r="U1169" s="3">
        <v>10</v>
      </c>
      <c r="V1169" s="3" t="str">
        <f t="shared" si="260"/>
        <v>Normal</v>
      </c>
      <c r="W1169" s="3" t="s">
        <v>52</v>
      </c>
      <c r="X1169" s="32">
        <f t="shared" si="257"/>
        <v>0.54754056053934619</v>
      </c>
      <c r="Z1169" s="38">
        <f t="shared" si="261"/>
        <v>0.42254056053934619</v>
      </c>
      <c r="AC1169" s="36">
        <v>0.125</v>
      </c>
      <c r="AL1169" t="str">
        <f t="shared" si="262"/>
        <v>Health Deterioration/TPA Approval Delay</v>
      </c>
      <c r="AM1169" t="str">
        <f t="shared" si="263"/>
        <v>No</v>
      </c>
      <c r="AN1169" t="str">
        <f t="shared" si="264"/>
        <v>Emergency</v>
      </c>
      <c r="AO1169" t="str">
        <f t="shared" si="265"/>
        <v>General Ward</v>
      </c>
    </row>
    <row r="1170" spans="1:41" x14ac:dyDescent="0.3">
      <c r="A1170" s="21" t="str">
        <f t="shared" si="258"/>
        <v>UHID-01169</v>
      </c>
      <c r="B1170" s="18">
        <v>0</v>
      </c>
      <c r="C1170" s="10" t="s">
        <v>17</v>
      </c>
      <c r="D1170" s="13" t="s">
        <v>27</v>
      </c>
      <c r="E1170" s="13" t="s">
        <v>2</v>
      </c>
      <c r="F1170" s="15">
        <v>46195.048563588003</v>
      </c>
      <c r="G1170" s="4">
        <v>46195</v>
      </c>
      <c r="H1170" s="1">
        <v>46196.5778745602</v>
      </c>
      <c r="I1170" s="22">
        <v>46196</v>
      </c>
      <c r="J1170" s="24">
        <f t="shared" si="252"/>
        <v>46196.408781044753</v>
      </c>
      <c r="K1170" s="24">
        <f t="shared" si="253"/>
        <v>0.57787456020014361</v>
      </c>
      <c r="L1170" s="29">
        <f t="shared" si="259"/>
        <v>46195</v>
      </c>
      <c r="M1170" s="27" t="str">
        <f t="shared" si="254"/>
        <v>Medication Change</v>
      </c>
      <c r="N1170" s="31">
        <f t="shared" si="255"/>
        <v>1</v>
      </c>
      <c r="O1170" s="27"/>
      <c r="Q1170" s="8">
        <v>3.0388833470785359E-2</v>
      </c>
      <c r="R1170" s="8" t="str">
        <f t="shared" si="256"/>
        <v>Major Delay</v>
      </c>
      <c r="S1170" s="33">
        <v>1.0582443708035707</v>
      </c>
      <c r="T1170" t="s">
        <v>30</v>
      </c>
      <c r="U1170" s="3">
        <v>3</v>
      </c>
      <c r="V1170" s="3" t="str">
        <f t="shared" si="260"/>
        <v/>
      </c>
      <c r="W1170" s="3" t="s">
        <v>50</v>
      </c>
      <c r="X1170" s="32">
        <f t="shared" si="257"/>
        <v>0.16909351544745732</v>
      </c>
      <c r="Z1170" s="38">
        <f t="shared" si="261"/>
        <v>4.4093515447457321E-2</v>
      </c>
      <c r="AC1170" s="36">
        <v>0.125</v>
      </c>
      <c r="AL1170" t="str">
        <f t="shared" si="262"/>
        <v>Medication Change</v>
      </c>
      <c r="AM1170" t="str">
        <f t="shared" si="263"/>
        <v>No</v>
      </c>
      <c r="AN1170" t="str">
        <f t="shared" si="264"/>
        <v>Elective</v>
      </c>
      <c r="AO1170" t="str">
        <f t="shared" si="265"/>
        <v>General Ward</v>
      </c>
    </row>
    <row r="1171" spans="1:41" x14ac:dyDescent="0.3">
      <c r="A1171" s="21" t="str">
        <f t="shared" si="258"/>
        <v>UHID-01170</v>
      </c>
      <c r="B1171" s="18">
        <v>0</v>
      </c>
      <c r="C1171" s="10" t="s">
        <v>17</v>
      </c>
      <c r="D1171" s="13" t="s">
        <v>26</v>
      </c>
      <c r="E1171" s="13" t="s">
        <v>2</v>
      </c>
      <c r="F1171" s="15">
        <v>46193.439461828697</v>
      </c>
      <c r="G1171" s="4">
        <v>46193</v>
      </c>
      <c r="H1171" s="1">
        <v>46196.6089253588</v>
      </c>
      <c r="I1171" s="22">
        <v>46196</v>
      </c>
      <c r="J1171" s="24">
        <f t="shared" si="252"/>
        <v>46196.276056215866</v>
      </c>
      <c r="K1171" s="24">
        <f t="shared" si="253"/>
        <v>0.60892535879975185</v>
      </c>
      <c r="L1171" s="29">
        <f t="shared" si="259"/>
        <v>46195</v>
      </c>
      <c r="M1171" s="27" t="str">
        <f t="shared" si="254"/>
        <v>Health Deterioration/TPA Approval Delay</v>
      </c>
      <c r="N1171" s="31">
        <f t="shared" si="255"/>
        <v>3</v>
      </c>
      <c r="O1171" s="27"/>
      <c r="Q1171" s="8">
        <v>0.76485603303386562</v>
      </c>
      <c r="R1171" s="8" t="str">
        <f t="shared" si="256"/>
        <v>Critical Delay</v>
      </c>
      <c r="S1171" s="33">
        <v>3.988859430391464</v>
      </c>
      <c r="T1171" t="s">
        <v>31</v>
      </c>
      <c r="U1171" s="3">
        <v>4</v>
      </c>
      <c r="V1171" s="3" t="str">
        <f t="shared" si="260"/>
        <v>Normal</v>
      </c>
      <c r="W1171" s="3" t="s">
        <v>50</v>
      </c>
      <c r="X1171" s="32">
        <f t="shared" si="257"/>
        <v>0.33286914293421432</v>
      </c>
      <c r="Z1171" s="38">
        <f t="shared" si="261"/>
        <v>0.20786914293421432</v>
      </c>
      <c r="AC1171" s="36">
        <v>0.125</v>
      </c>
      <c r="AL1171" t="str">
        <f t="shared" si="262"/>
        <v>Health Deterioration/TPA Approval Delay</v>
      </c>
      <c r="AM1171" t="str">
        <f t="shared" si="263"/>
        <v>No</v>
      </c>
      <c r="AN1171" t="str">
        <f t="shared" si="264"/>
        <v>Emergency</v>
      </c>
      <c r="AO1171" t="str">
        <f t="shared" si="265"/>
        <v>General Ward</v>
      </c>
    </row>
    <row r="1172" spans="1:41" x14ac:dyDescent="0.3">
      <c r="A1172" s="21" t="str">
        <f t="shared" si="258"/>
        <v>UHID-01171</v>
      </c>
      <c r="B1172" s="18">
        <v>14</v>
      </c>
      <c r="C1172" s="10" t="s">
        <v>17</v>
      </c>
      <c r="D1172" s="13" t="s">
        <v>26</v>
      </c>
      <c r="E1172" s="13" t="s">
        <v>2</v>
      </c>
      <c r="F1172" s="15">
        <v>46195.917230995401</v>
      </c>
      <c r="G1172" s="4">
        <v>46195</v>
      </c>
      <c r="H1172" s="1">
        <v>46197.637000254603</v>
      </c>
      <c r="I1172" s="22">
        <v>46197</v>
      </c>
      <c r="J1172" s="24">
        <f t="shared" si="252"/>
        <v>46197.317830574008</v>
      </c>
      <c r="K1172" s="24">
        <f t="shared" si="253"/>
        <v>0.63700025460275356</v>
      </c>
      <c r="L1172" s="29">
        <f t="shared" si="259"/>
        <v>46196</v>
      </c>
      <c r="M1172" s="27" t="str">
        <f t="shared" si="254"/>
        <v>Health Deterioration/TPA Approval Delay</v>
      </c>
      <c r="N1172" s="31">
        <f t="shared" si="255"/>
        <v>2</v>
      </c>
      <c r="O1172" s="27"/>
      <c r="Q1172" s="8">
        <v>0.57738601841809478</v>
      </c>
      <c r="R1172" s="8" t="str">
        <f t="shared" si="256"/>
        <v>Critical Delay</v>
      </c>
      <c r="S1172" s="33">
        <v>3.6600723342789023</v>
      </c>
      <c r="T1172" t="s">
        <v>31</v>
      </c>
      <c r="U1172" s="3">
        <v>4</v>
      </c>
      <c r="V1172" s="3" t="str">
        <f t="shared" si="260"/>
        <v>Normal</v>
      </c>
      <c r="W1172" s="3" t="s">
        <v>50</v>
      </c>
      <c r="X1172" s="32">
        <f t="shared" si="257"/>
        <v>0.31916968059522333</v>
      </c>
      <c r="Z1172" s="38">
        <f t="shared" si="261"/>
        <v>0.19416968059522333</v>
      </c>
      <c r="AC1172" s="36">
        <v>0.125</v>
      </c>
      <c r="AL1172" t="str">
        <f t="shared" si="262"/>
        <v>Health Deterioration/TPA Approval Delay</v>
      </c>
      <c r="AM1172" t="str">
        <f t="shared" si="263"/>
        <v>No</v>
      </c>
      <c r="AN1172" t="str">
        <f t="shared" si="264"/>
        <v>Emergency</v>
      </c>
      <c r="AO1172" t="str">
        <f t="shared" si="265"/>
        <v>General Ward</v>
      </c>
    </row>
    <row r="1173" spans="1:41" x14ac:dyDescent="0.3">
      <c r="A1173" s="21" t="str">
        <f t="shared" si="258"/>
        <v>UHID-01172</v>
      </c>
      <c r="B1173" s="18">
        <v>5</v>
      </c>
      <c r="C1173" s="10" t="s">
        <v>17</v>
      </c>
      <c r="D1173" s="13" t="s">
        <v>27</v>
      </c>
      <c r="E1173" s="13" t="s">
        <v>2</v>
      </c>
      <c r="F1173" s="15">
        <v>46196.585410879597</v>
      </c>
      <c r="G1173" s="4">
        <v>46196</v>
      </c>
      <c r="H1173" s="1">
        <v>46198.627869837997</v>
      </c>
      <c r="I1173" s="22">
        <v>46198</v>
      </c>
      <c r="J1173" s="24">
        <f t="shared" si="252"/>
        <v>46198.560156025007</v>
      </c>
      <c r="K1173" s="24">
        <f t="shared" si="253"/>
        <v>0.62786983799742302</v>
      </c>
      <c r="L1173" s="29">
        <f t="shared" si="259"/>
        <v>46197</v>
      </c>
      <c r="M1173" s="27" t="str">
        <f t="shared" si="254"/>
        <v>Normal</v>
      </c>
      <c r="N1173" s="31">
        <f t="shared" si="255"/>
        <v>2</v>
      </c>
      <c r="O1173" s="27"/>
      <c r="Q1173" s="8">
        <v>0.41163427044838574</v>
      </c>
      <c r="R1173" s="8" t="str">
        <f t="shared" si="256"/>
        <v>On Time</v>
      </c>
      <c r="S1173" s="33">
        <v>1.6251315116900042</v>
      </c>
      <c r="T1173" t="s">
        <v>31</v>
      </c>
      <c r="U1173" s="3">
        <v>0</v>
      </c>
      <c r="V1173" s="3" t="str">
        <f t="shared" si="260"/>
        <v>Normal</v>
      </c>
      <c r="W1173" s="3" t="s">
        <v>51</v>
      </c>
      <c r="X1173" s="32">
        <f t="shared" si="257"/>
        <v>6.7713812990405131E-2</v>
      </c>
      <c r="Z1173" s="38">
        <f t="shared" si="261"/>
        <v>0</v>
      </c>
      <c r="AC1173" s="36">
        <v>0.125</v>
      </c>
      <c r="AL1173" t="str">
        <f t="shared" si="262"/>
        <v>Normal</v>
      </c>
      <c r="AM1173" t="str">
        <f t="shared" si="263"/>
        <v>No</v>
      </c>
      <c r="AN1173" t="str">
        <f t="shared" si="264"/>
        <v>Elective</v>
      </c>
      <c r="AO1173" t="str">
        <f t="shared" si="265"/>
        <v>General Ward</v>
      </c>
    </row>
    <row r="1174" spans="1:41" x14ac:dyDescent="0.3">
      <c r="A1174" s="21" t="str">
        <f t="shared" si="258"/>
        <v>UHID-01173</v>
      </c>
      <c r="B1174" s="19">
        <v>0</v>
      </c>
      <c r="C1174" s="11" t="s">
        <v>17</v>
      </c>
      <c r="D1174" s="13" t="s">
        <v>26</v>
      </c>
      <c r="E1174" s="13" t="s">
        <v>2</v>
      </c>
      <c r="F1174" s="16">
        <v>46197.742389213003</v>
      </c>
      <c r="G1174" s="5">
        <v>46197</v>
      </c>
      <c r="H1174" s="2">
        <v>46199.6237249306</v>
      </c>
      <c r="I1174" s="23">
        <v>46199</v>
      </c>
      <c r="J1174" s="24">
        <f t="shared" si="252"/>
        <v>46199.369779560453</v>
      </c>
      <c r="K1174" s="24">
        <f t="shared" si="253"/>
        <v>0.62372493059956469</v>
      </c>
      <c r="L1174" s="29">
        <f t="shared" si="259"/>
        <v>46198</v>
      </c>
      <c r="M1174" s="27" t="str">
        <f t="shared" si="254"/>
        <v>Health Deterioration/TPA Approval Delay</v>
      </c>
      <c r="N1174" s="31">
        <f t="shared" si="255"/>
        <v>2</v>
      </c>
      <c r="O1174" s="27"/>
      <c r="Q1174" s="8">
        <v>0.66171439427701817</v>
      </c>
      <c r="R1174" s="8" t="str">
        <f t="shared" si="256"/>
        <v>Critical Delay</v>
      </c>
      <c r="S1174" s="33">
        <v>3.0946888834403228</v>
      </c>
      <c r="T1174" t="s">
        <v>31</v>
      </c>
      <c r="U1174" s="3">
        <v>3</v>
      </c>
      <c r="V1174" s="3" t="str">
        <f t="shared" si="260"/>
        <v>Normal</v>
      </c>
      <c r="W1174" s="3" t="s">
        <v>50</v>
      </c>
      <c r="X1174" s="32">
        <f t="shared" si="257"/>
        <v>0.25394537014653906</v>
      </c>
      <c r="Z1174" s="38">
        <f t="shared" si="261"/>
        <v>0.12894537014653906</v>
      </c>
      <c r="AC1174" s="36">
        <v>0.125</v>
      </c>
      <c r="AL1174" t="str">
        <f t="shared" si="262"/>
        <v>Health Deterioration/TPA Approval Delay</v>
      </c>
      <c r="AM1174" t="str">
        <f t="shared" si="263"/>
        <v>No</v>
      </c>
      <c r="AN1174" t="str">
        <f t="shared" si="264"/>
        <v>Emergency</v>
      </c>
      <c r="AO1174" t="str">
        <f t="shared" si="265"/>
        <v>General Ward</v>
      </c>
    </row>
    <row r="1175" spans="1:41" x14ac:dyDescent="0.3">
      <c r="A1175" s="21" t="str">
        <f t="shared" si="258"/>
        <v>UHID-01174</v>
      </c>
      <c r="B1175" s="19">
        <v>15</v>
      </c>
      <c r="C1175" s="11" t="s">
        <v>18</v>
      </c>
      <c r="D1175" s="13" t="s">
        <v>26</v>
      </c>
      <c r="E1175" s="13" t="s">
        <v>2</v>
      </c>
      <c r="F1175" s="16">
        <v>46195.1245368171</v>
      </c>
      <c r="G1175" s="5">
        <v>46195</v>
      </c>
      <c r="H1175" s="2">
        <v>46200.527865844902</v>
      </c>
      <c r="I1175" s="23">
        <v>46200</v>
      </c>
      <c r="J1175" s="24">
        <f t="shared" si="252"/>
        <v>46200.386980646137</v>
      </c>
      <c r="K1175" s="24">
        <f t="shared" si="253"/>
        <v>0.52786584490240784</v>
      </c>
      <c r="L1175" s="29">
        <f t="shared" si="259"/>
        <v>46199</v>
      </c>
      <c r="M1175" s="27" t="str">
        <f t="shared" si="254"/>
        <v>TPA Approval Delay</v>
      </c>
      <c r="N1175" s="31">
        <f t="shared" si="255"/>
        <v>5</v>
      </c>
      <c r="O1175" s="27"/>
      <c r="Q1175" s="8">
        <v>0.50896691506220226</v>
      </c>
      <c r="R1175" s="8" t="str">
        <f t="shared" si="256"/>
        <v>Major Delay</v>
      </c>
      <c r="S1175" s="33">
        <v>3.3812447703351292</v>
      </c>
      <c r="T1175" t="s">
        <v>31</v>
      </c>
      <c r="U1175" s="3">
        <v>0</v>
      </c>
      <c r="V1175" s="3" t="str">
        <f t="shared" si="260"/>
        <v>Normal</v>
      </c>
      <c r="W1175" s="3" t="s">
        <v>51</v>
      </c>
      <c r="X1175" s="32">
        <f t="shared" si="257"/>
        <v>0.14088519876531791</v>
      </c>
      <c r="Z1175" s="38">
        <f t="shared" si="261"/>
        <v>1.5885198765317909E-2</v>
      </c>
      <c r="AC1175" s="36">
        <v>0.125</v>
      </c>
      <c r="AL1175" t="str">
        <f t="shared" si="262"/>
        <v>TPA Approval Delay</v>
      </c>
      <c r="AM1175" t="str">
        <f t="shared" si="263"/>
        <v>No</v>
      </c>
      <c r="AN1175" t="str">
        <f t="shared" si="264"/>
        <v>Elective</v>
      </c>
      <c r="AO1175" t="str">
        <f t="shared" si="265"/>
        <v>HDU</v>
      </c>
    </row>
    <row r="1176" spans="1:41" x14ac:dyDescent="0.3">
      <c r="A1176" s="21" t="str">
        <f t="shared" si="258"/>
        <v>UHID-01175</v>
      </c>
      <c r="B1176" s="19">
        <v>8</v>
      </c>
      <c r="C1176" s="11" t="s">
        <v>18</v>
      </c>
      <c r="D1176" s="13" t="s">
        <v>27</v>
      </c>
      <c r="E1176" s="13" t="s">
        <v>2</v>
      </c>
      <c r="F1176" s="16">
        <v>46199.5058564352</v>
      </c>
      <c r="G1176" s="5">
        <v>46199</v>
      </c>
      <c r="H1176" s="2">
        <v>46200.584080115703</v>
      </c>
      <c r="I1176" s="23">
        <v>46200</v>
      </c>
      <c r="J1176" s="24">
        <f t="shared" si="252"/>
        <v>46200.403427930243</v>
      </c>
      <c r="K1176" s="24">
        <f t="shared" si="253"/>
        <v>0.58408011570281815</v>
      </c>
      <c r="L1176" s="29">
        <f t="shared" si="259"/>
        <v>46199</v>
      </c>
      <c r="M1176" s="27" t="str">
        <f t="shared" si="254"/>
        <v>Medication Change</v>
      </c>
      <c r="N1176" s="31">
        <f t="shared" si="255"/>
        <v>1</v>
      </c>
      <c r="O1176" s="27"/>
      <c r="Q1176" s="8">
        <v>0.21878346877887844</v>
      </c>
      <c r="R1176" s="8" t="str">
        <f t="shared" si="256"/>
        <v>Major Delay</v>
      </c>
      <c r="S1176" s="33">
        <v>1.3356524509542651</v>
      </c>
      <c r="T1176" t="s">
        <v>30</v>
      </c>
      <c r="U1176" s="3">
        <v>3</v>
      </c>
      <c r="V1176" s="3" t="str">
        <f t="shared" si="260"/>
        <v/>
      </c>
      <c r="W1176" s="3" t="s">
        <v>50</v>
      </c>
      <c r="X1176" s="32">
        <f t="shared" si="257"/>
        <v>0.18065218545962125</v>
      </c>
      <c r="Z1176" s="38">
        <f t="shared" si="261"/>
        <v>5.5652185459621251E-2</v>
      </c>
      <c r="AC1176" s="36">
        <v>0.125</v>
      </c>
      <c r="AL1176" t="str">
        <f t="shared" si="262"/>
        <v>Medication Change</v>
      </c>
      <c r="AM1176" t="str">
        <f t="shared" si="263"/>
        <v>No</v>
      </c>
      <c r="AN1176" t="str">
        <f t="shared" si="264"/>
        <v>Elective</v>
      </c>
      <c r="AO1176" t="str">
        <f t="shared" si="265"/>
        <v>General Ward</v>
      </c>
    </row>
    <row r="1177" spans="1:41" x14ac:dyDescent="0.3">
      <c r="A1177" s="21" t="str">
        <f t="shared" si="258"/>
        <v>UHID-01176</v>
      </c>
      <c r="B1177" s="19">
        <v>0</v>
      </c>
      <c r="C1177" s="11" t="s">
        <v>18</v>
      </c>
      <c r="D1177" s="13" t="s">
        <v>26</v>
      </c>
      <c r="E1177" s="13" t="s">
        <v>2</v>
      </c>
      <c r="F1177" s="16">
        <v>46197.518829571804</v>
      </c>
      <c r="G1177" s="5">
        <v>46197</v>
      </c>
      <c r="H1177" s="2">
        <v>46200.750198911999</v>
      </c>
      <c r="I1177" s="23">
        <v>46200</v>
      </c>
      <c r="J1177" s="24">
        <f t="shared" si="252"/>
        <v>46200.435857029683</v>
      </c>
      <c r="K1177" s="24">
        <f t="shared" si="253"/>
        <v>0.75019891199917765</v>
      </c>
      <c r="L1177" s="29">
        <f t="shared" si="259"/>
        <v>46199</v>
      </c>
      <c r="M1177" s="27" t="str">
        <f t="shared" si="254"/>
        <v>Health Deterioration/TPA Approval Delay</v>
      </c>
      <c r="N1177" s="31">
        <f t="shared" si="255"/>
        <v>3</v>
      </c>
      <c r="O1177" s="27"/>
      <c r="Q1177" s="8">
        <v>0.56618339924325911</v>
      </c>
      <c r="R1177" s="8" t="str">
        <f t="shared" si="256"/>
        <v>Critical Delay</v>
      </c>
      <c r="S1177" s="33">
        <v>3.5442051756585804</v>
      </c>
      <c r="T1177" t="s">
        <v>31</v>
      </c>
      <c r="U1177" s="3">
        <v>4</v>
      </c>
      <c r="V1177" s="3" t="str">
        <f t="shared" si="260"/>
        <v>Normal</v>
      </c>
      <c r="W1177" s="3" t="s">
        <v>50</v>
      </c>
      <c r="X1177" s="32">
        <f t="shared" si="257"/>
        <v>0.31434188231651206</v>
      </c>
      <c r="Z1177" s="38">
        <f t="shared" si="261"/>
        <v>0.18934188231651206</v>
      </c>
      <c r="AC1177" s="36">
        <v>0.125</v>
      </c>
      <c r="AL1177" t="str">
        <f t="shared" si="262"/>
        <v>Health Deterioration/TPA Approval Delay</v>
      </c>
      <c r="AM1177" t="str">
        <f t="shared" si="263"/>
        <v>No</v>
      </c>
      <c r="AN1177" t="str">
        <f t="shared" si="264"/>
        <v>Emergency</v>
      </c>
      <c r="AO1177" t="str">
        <f t="shared" si="265"/>
        <v>General Ward</v>
      </c>
    </row>
    <row r="1178" spans="1:41" x14ac:dyDescent="0.3">
      <c r="A1178" s="21" t="str">
        <f t="shared" si="258"/>
        <v>UHID-01177</v>
      </c>
      <c r="B1178" s="19">
        <v>2</v>
      </c>
      <c r="C1178" s="11" t="s">
        <v>18</v>
      </c>
      <c r="D1178" s="13" t="s">
        <v>27</v>
      </c>
      <c r="E1178" s="13" t="s">
        <v>2</v>
      </c>
      <c r="F1178" s="16">
        <v>46195.9368752546</v>
      </c>
      <c r="G1178" s="5">
        <v>46195</v>
      </c>
      <c r="H1178" s="2">
        <v>46201.6528948958</v>
      </c>
      <c r="I1178" s="23">
        <v>46201</v>
      </c>
      <c r="J1178" s="24">
        <f t="shared" si="252"/>
        <v>46201.452393701788</v>
      </c>
      <c r="K1178" s="24">
        <f t="shared" si="253"/>
        <v>0.65289489580027293</v>
      </c>
      <c r="L1178" s="29">
        <f t="shared" si="259"/>
        <v>46200</v>
      </c>
      <c r="M1178" s="27" t="str">
        <f t="shared" si="254"/>
        <v>Medication Change</v>
      </c>
      <c r="N1178" s="31">
        <f t="shared" si="255"/>
        <v>6</v>
      </c>
      <c r="O1178" s="27"/>
      <c r="Q1178" s="8">
        <v>0.32154314203360634</v>
      </c>
      <c r="R1178" s="8" t="str">
        <f t="shared" si="256"/>
        <v>Major Delay</v>
      </c>
      <c r="S1178" s="33">
        <v>1.8120286562410692</v>
      </c>
      <c r="T1178" t="s">
        <v>30</v>
      </c>
      <c r="U1178" s="3">
        <v>3</v>
      </c>
      <c r="V1178" s="3" t="str">
        <f t="shared" si="260"/>
        <v/>
      </c>
      <c r="W1178" s="3" t="s">
        <v>50</v>
      </c>
      <c r="X1178" s="32">
        <f t="shared" si="257"/>
        <v>0.20050119401275879</v>
      </c>
      <c r="Z1178" s="38">
        <f t="shared" si="261"/>
        <v>7.5501194012758788E-2</v>
      </c>
      <c r="AC1178" s="36">
        <v>0.125</v>
      </c>
      <c r="AL1178" t="str">
        <f t="shared" si="262"/>
        <v>Medication Change</v>
      </c>
      <c r="AM1178" t="str">
        <f t="shared" si="263"/>
        <v>No</v>
      </c>
      <c r="AN1178" t="str">
        <f t="shared" si="264"/>
        <v>Elective</v>
      </c>
      <c r="AO1178" t="str">
        <f t="shared" si="265"/>
        <v>HDU</v>
      </c>
    </row>
    <row r="1179" spans="1:41" x14ac:dyDescent="0.3">
      <c r="A1179" s="21" t="str">
        <f t="shared" si="258"/>
        <v>UHID-01178</v>
      </c>
      <c r="B1179" s="19">
        <v>10</v>
      </c>
      <c r="C1179" s="11" t="s">
        <v>18</v>
      </c>
      <c r="D1179" s="13" t="s">
        <v>27</v>
      </c>
      <c r="E1179" s="13" t="s">
        <v>2</v>
      </c>
      <c r="F1179" s="16">
        <v>46200.403552719901</v>
      </c>
      <c r="G1179" s="5">
        <v>46200</v>
      </c>
      <c r="H1179" s="2">
        <v>46202.678534502302</v>
      </c>
      <c r="I1179" s="23">
        <v>46202</v>
      </c>
      <c r="J1179" s="24">
        <f t="shared" si="252"/>
        <v>46202.601435001059</v>
      </c>
      <c r="K1179" s="24">
        <f t="shared" si="253"/>
        <v>0.67853450230177259</v>
      </c>
      <c r="L1179" s="29">
        <f t="shared" si="259"/>
        <v>46201</v>
      </c>
      <c r="M1179" s="27" t="str">
        <f t="shared" si="254"/>
        <v>Normal</v>
      </c>
      <c r="N1179" s="31">
        <f t="shared" si="255"/>
        <v>2</v>
      </c>
      <c r="O1179" s="27"/>
      <c r="Q1179" s="8">
        <v>7.5435524864316483E-2</v>
      </c>
      <c r="R1179" s="8" t="str">
        <f t="shared" si="256"/>
        <v>On Time</v>
      </c>
      <c r="S1179" s="33">
        <v>1.8503880297727193</v>
      </c>
      <c r="T1179" t="s">
        <v>30</v>
      </c>
      <c r="U1179" s="3">
        <v>0</v>
      </c>
      <c r="V1179" s="3" t="str">
        <f t="shared" si="260"/>
        <v/>
      </c>
      <c r="W1179" s="3" t="s">
        <v>51</v>
      </c>
      <c r="X1179" s="32">
        <f t="shared" si="257"/>
        <v>7.7099501242628321E-2</v>
      </c>
      <c r="Z1179" s="38">
        <f t="shared" si="261"/>
        <v>0</v>
      </c>
      <c r="AC1179" s="36">
        <v>0.125</v>
      </c>
      <c r="AL1179" t="str">
        <f t="shared" si="262"/>
        <v>Normal</v>
      </c>
      <c r="AM1179" t="str">
        <f t="shared" si="263"/>
        <v>No</v>
      </c>
      <c r="AN1179" t="str">
        <f t="shared" si="264"/>
        <v>Elective</v>
      </c>
      <c r="AO1179" t="str">
        <f t="shared" si="265"/>
        <v>General Ward</v>
      </c>
    </row>
    <row r="1180" spans="1:41" x14ac:dyDescent="0.3">
      <c r="A1180" s="21" t="str">
        <f t="shared" si="258"/>
        <v>UHID-01179</v>
      </c>
      <c r="B1180" s="19">
        <v>17</v>
      </c>
      <c r="C1180" s="11" t="s">
        <v>18</v>
      </c>
      <c r="D1180" s="13" t="s">
        <v>26</v>
      </c>
      <c r="E1180" s="13" t="s">
        <v>2</v>
      </c>
      <c r="F1180" s="16">
        <v>46201.140442280099</v>
      </c>
      <c r="G1180" s="5">
        <v>46201</v>
      </c>
      <c r="H1180" s="2">
        <v>46203.677760995401</v>
      </c>
      <c r="I1180" s="23">
        <v>46203</v>
      </c>
      <c r="J1180" s="24">
        <f t="shared" si="252"/>
        <v>46203.241298315166</v>
      </c>
      <c r="K1180" s="24">
        <f t="shared" si="253"/>
        <v>0.67776099540060386</v>
      </c>
      <c r="L1180" s="29">
        <f t="shared" si="259"/>
        <v>46202</v>
      </c>
      <c r="M1180" s="27" t="str">
        <f t="shared" si="254"/>
        <v>Health Deterioration/TPA Approval Delay</v>
      </c>
      <c r="N1180" s="31">
        <f t="shared" si="255"/>
        <v>2</v>
      </c>
      <c r="O1180" s="27"/>
      <c r="Q1180" s="8">
        <v>0.74723113888616244</v>
      </c>
      <c r="R1180" s="8" t="str">
        <f t="shared" si="256"/>
        <v>Critical Delay</v>
      </c>
      <c r="S1180" s="33">
        <v>3.4751043256614338</v>
      </c>
      <c r="T1180" t="s">
        <v>31</v>
      </c>
      <c r="U1180" s="3">
        <v>7</v>
      </c>
      <c r="V1180" s="3" t="str">
        <f t="shared" si="260"/>
        <v>Normal</v>
      </c>
      <c r="W1180" s="3" t="s">
        <v>52</v>
      </c>
      <c r="X1180" s="32">
        <f t="shared" si="257"/>
        <v>0.43646268023439916</v>
      </c>
      <c r="Z1180" s="38">
        <f t="shared" si="261"/>
        <v>0.31146268023439916</v>
      </c>
      <c r="AC1180" s="36">
        <v>0.125</v>
      </c>
      <c r="AL1180" t="str">
        <f t="shared" si="262"/>
        <v>Health Deterioration/TPA Approval Delay</v>
      </c>
      <c r="AM1180" t="str">
        <f t="shared" si="263"/>
        <v>No</v>
      </c>
      <c r="AN1180" t="str">
        <f t="shared" si="264"/>
        <v>Emergency</v>
      </c>
      <c r="AO1180" t="str">
        <f t="shared" si="265"/>
        <v>General Ward</v>
      </c>
    </row>
    <row r="1181" spans="1:41" x14ac:dyDescent="0.3">
      <c r="A1181" s="21" t="str">
        <f t="shared" si="258"/>
        <v>UHID-01180</v>
      </c>
      <c r="B1181" s="19">
        <v>12</v>
      </c>
      <c r="C1181" s="11" t="s">
        <v>18</v>
      </c>
      <c r="D1181" s="13" t="s">
        <v>27</v>
      </c>
      <c r="E1181" s="13" t="s">
        <v>2</v>
      </c>
      <c r="F1181" s="16">
        <v>46200.060453773098</v>
      </c>
      <c r="G1181" s="5">
        <v>46200</v>
      </c>
      <c r="H1181" s="2">
        <v>46203.7542507986</v>
      </c>
      <c r="I1181" s="23">
        <v>46203</v>
      </c>
      <c r="J1181" s="24">
        <f t="shared" si="252"/>
        <v>46203.69983309933</v>
      </c>
      <c r="K1181" s="24">
        <f t="shared" si="253"/>
        <v>0.75425079859996913</v>
      </c>
      <c r="L1181" s="29">
        <f t="shared" si="259"/>
        <v>46202</v>
      </c>
      <c r="M1181" s="27" t="str">
        <f t="shared" si="254"/>
        <v>Normal</v>
      </c>
      <c r="N1181" s="31">
        <f t="shared" si="255"/>
        <v>3</v>
      </c>
      <c r="O1181" s="27"/>
      <c r="Q1181" s="8">
        <v>1.0677126375651991E-2</v>
      </c>
      <c r="R1181" s="8" t="str">
        <f t="shared" si="256"/>
        <v>On Time</v>
      </c>
      <c r="S1181" s="33">
        <v>1.3060247825035805</v>
      </c>
      <c r="T1181" t="s">
        <v>30</v>
      </c>
      <c r="U1181" s="3">
        <v>0</v>
      </c>
      <c r="V1181" s="3" t="str">
        <f t="shared" si="260"/>
        <v/>
      </c>
      <c r="W1181" s="3" t="s">
        <v>51</v>
      </c>
      <c r="X1181" s="32">
        <f t="shared" si="257"/>
        <v>5.4417699269833975E-2</v>
      </c>
      <c r="Z1181" s="38">
        <f t="shared" si="261"/>
        <v>0</v>
      </c>
      <c r="AC1181" s="36">
        <v>0.125</v>
      </c>
      <c r="AL1181" t="str">
        <f t="shared" si="262"/>
        <v>Normal</v>
      </c>
      <c r="AM1181" t="str">
        <f t="shared" si="263"/>
        <v>No</v>
      </c>
      <c r="AN1181" t="str">
        <f t="shared" si="264"/>
        <v>Elective</v>
      </c>
      <c r="AO1181" t="str">
        <f t="shared" si="265"/>
        <v>General Ward</v>
      </c>
    </row>
    <row r="1182" spans="1:41" x14ac:dyDescent="0.3">
      <c r="A1182" s="21" t="str">
        <f t="shared" si="258"/>
        <v>UHID-01181</v>
      </c>
      <c r="B1182" s="18">
        <v>27</v>
      </c>
      <c r="C1182" s="10" t="s">
        <v>18</v>
      </c>
      <c r="D1182" s="13" t="s">
        <v>27</v>
      </c>
      <c r="E1182" s="13" t="s">
        <v>12</v>
      </c>
      <c r="F1182" s="15">
        <v>46173.796646979201</v>
      </c>
      <c r="G1182" s="4">
        <v>46173</v>
      </c>
      <c r="H1182" s="1">
        <v>46176.729230300902</v>
      </c>
      <c r="I1182" s="22">
        <v>46176</v>
      </c>
      <c r="J1182" s="24">
        <f t="shared" si="252"/>
        <v>46176.50330284013</v>
      </c>
      <c r="K1182" s="24">
        <f t="shared" si="253"/>
        <v>0.7292303009016905</v>
      </c>
      <c r="L1182" s="29">
        <f t="shared" si="259"/>
        <v>46175</v>
      </c>
      <c r="M1182" s="27" t="str">
        <f t="shared" si="254"/>
        <v>Health Deterioration</v>
      </c>
      <c r="N1182" s="31">
        <f t="shared" si="255"/>
        <v>3</v>
      </c>
      <c r="O1182" s="27"/>
      <c r="Q1182" s="8">
        <v>0.28258940780496389</v>
      </c>
      <c r="R1182" s="8" t="str">
        <f t="shared" si="256"/>
        <v>Critical Delay</v>
      </c>
      <c r="S1182" s="33">
        <v>1.4222590584362544</v>
      </c>
      <c r="T1182" t="s">
        <v>30</v>
      </c>
      <c r="U1182" s="3">
        <v>4</v>
      </c>
      <c r="V1182" s="3" t="str">
        <f t="shared" si="260"/>
        <v/>
      </c>
      <c r="W1182" s="3" t="s">
        <v>50</v>
      </c>
      <c r="X1182" s="32">
        <f t="shared" si="257"/>
        <v>0.22592746077134507</v>
      </c>
      <c r="Z1182" s="38">
        <f t="shared" si="261"/>
        <v>0.10092746077134507</v>
      </c>
      <c r="AC1182" s="36">
        <v>0.125</v>
      </c>
      <c r="AL1182" t="str">
        <f t="shared" si="262"/>
        <v>Health Deterioration</v>
      </c>
      <c r="AM1182" t="str">
        <f t="shared" si="263"/>
        <v>No</v>
      </c>
      <c r="AN1182" t="str">
        <f t="shared" si="264"/>
        <v>Emergency</v>
      </c>
      <c r="AO1182" t="str">
        <f t="shared" si="265"/>
        <v>General Ward</v>
      </c>
    </row>
    <row r="1183" spans="1:41" x14ac:dyDescent="0.3">
      <c r="A1183" s="21" t="str">
        <f t="shared" si="258"/>
        <v>UHID-01182</v>
      </c>
      <c r="B1183" s="18">
        <v>33</v>
      </c>
      <c r="C1183" s="10" t="s">
        <v>18</v>
      </c>
      <c r="D1183" s="13" t="s">
        <v>28</v>
      </c>
      <c r="E1183" s="13" t="s">
        <v>12</v>
      </c>
      <c r="F1183" s="15">
        <v>46171.6530379861</v>
      </c>
      <c r="G1183" s="4">
        <v>46171</v>
      </c>
      <c r="H1183" s="1">
        <v>46179.612029976903</v>
      </c>
      <c r="I1183" s="22">
        <v>46179</v>
      </c>
      <c r="J1183" s="24">
        <f t="shared" si="252"/>
        <v>46179.49393123138</v>
      </c>
      <c r="K1183" s="24">
        <f t="shared" si="253"/>
        <v>0.61202997690270422</v>
      </c>
      <c r="L1183" s="29">
        <f t="shared" si="259"/>
        <v>46178</v>
      </c>
      <c r="M1183" s="27" t="str">
        <f t="shared" si="254"/>
        <v>Doctor Round Delay/Report Delay</v>
      </c>
      <c r="N1183" s="31">
        <f t="shared" si="255"/>
        <v>8</v>
      </c>
      <c r="O1183" s="27"/>
      <c r="Q1183" s="8">
        <v>0.96272316753499598</v>
      </c>
      <c r="R1183" s="8" t="str">
        <f t="shared" si="256"/>
        <v>Minor Delay</v>
      </c>
      <c r="S1183" s="33">
        <v>2.8343698926213778</v>
      </c>
      <c r="T1183" t="s">
        <v>31</v>
      </c>
      <c r="U1183" s="3">
        <v>0</v>
      </c>
      <c r="V1183" s="3" t="str">
        <f t="shared" si="260"/>
        <v>Normal</v>
      </c>
      <c r="W1183" s="3" t="s">
        <v>51</v>
      </c>
      <c r="X1183" s="32">
        <f t="shared" si="257"/>
        <v>0.11809874552272959</v>
      </c>
      <c r="Z1183" s="38">
        <f t="shared" si="261"/>
        <v>0</v>
      </c>
      <c r="AC1183" s="36">
        <v>0.125</v>
      </c>
      <c r="AL1183" t="str">
        <f t="shared" si="262"/>
        <v>Doctor Round Delay/Report Delay</v>
      </c>
      <c r="AM1183" t="str">
        <f t="shared" si="263"/>
        <v>No</v>
      </c>
      <c r="AN1183" t="str">
        <f t="shared" si="264"/>
        <v>Emergency</v>
      </c>
      <c r="AO1183" t="str">
        <f t="shared" si="265"/>
        <v>ICU</v>
      </c>
    </row>
    <row r="1184" spans="1:41" x14ac:dyDescent="0.3">
      <c r="A1184" s="21" t="str">
        <f t="shared" si="258"/>
        <v>UHID-01183</v>
      </c>
      <c r="B1184" s="18">
        <v>23</v>
      </c>
      <c r="C1184" s="10" t="s">
        <v>18</v>
      </c>
      <c r="D1184" s="13" t="s">
        <v>26</v>
      </c>
      <c r="E1184" s="13" t="s">
        <v>12</v>
      </c>
      <c r="F1184" s="15">
        <v>46181.323614988403</v>
      </c>
      <c r="G1184" s="4">
        <v>46181</v>
      </c>
      <c r="H1184" s="1">
        <v>46181.700897789298</v>
      </c>
      <c r="I1184" s="22">
        <v>46181</v>
      </c>
      <c r="J1184" s="24">
        <f t="shared" si="252"/>
        <v>46181.575148760756</v>
      </c>
      <c r="K1184" s="24">
        <f t="shared" si="253"/>
        <v>0.70089778929832391</v>
      </c>
      <c r="L1184" s="29">
        <f t="shared" si="259"/>
        <v>46180</v>
      </c>
      <c r="M1184" s="27" t="str">
        <f t="shared" si="254"/>
        <v>TPA Approval Delay</v>
      </c>
      <c r="N1184" s="31">
        <f t="shared" si="255"/>
        <v>0</v>
      </c>
      <c r="O1184" s="27"/>
      <c r="Q1184" s="8">
        <v>0.57251129775901355</v>
      </c>
      <c r="R1184" s="8" t="str">
        <f t="shared" si="256"/>
        <v>Major Delay</v>
      </c>
      <c r="S1184" s="33">
        <v>3.0179766850840513</v>
      </c>
      <c r="T1184" t="s">
        <v>31</v>
      </c>
      <c r="U1184" s="3">
        <v>0</v>
      </c>
      <c r="V1184" s="3" t="str">
        <f t="shared" si="260"/>
        <v>Normal</v>
      </c>
      <c r="W1184" s="3" t="s">
        <v>51</v>
      </c>
      <c r="X1184" s="32">
        <f t="shared" si="257"/>
        <v>0.12574902854248649</v>
      </c>
      <c r="Z1184" s="38">
        <f t="shared" si="261"/>
        <v>7.4902854248648509E-4</v>
      </c>
      <c r="AC1184" s="36">
        <v>0.125</v>
      </c>
      <c r="AL1184" t="str">
        <f t="shared" si="262"/>
        <v>TPA Approval Delay</v>
      </c>
      <c r="AM1184" t="str">
        <f t="shared" si="263"/>
        <v>No</v>
      </c>
      <c r="AN1184" t="str">
        <f t="shared" si="264"/>
        <v>Elective</v>
      </c>
      <c r="AO1184" t="str">
        <f t="shared" si="265"/>
        <v>General Ward</v>
      </c>
    </row>
    <row r="1185" spans="1:41" x14ac:dyDescent="0.3">
      <c r="A1185" s="21" t="str">
        <f t="shared" si="258"/>
        <v>UHID-01184</v>
      </c>
      <c r="B1185" s="18">
        <v>63</v>
      </c>
      <c r="C1185" s="10" t="s">
        <v>18</v>
      </c>
      <c r="D1185" s="13" t="s">
        <v>26</v>
      </c>
      <c r="E1185" s="13" t="s">
        <v>12</v>
      </c>
      <c r="F1185" s="15">
        <v>46181.459109456002</v>
      </c>
      <c r="G1185" s="4">
        <v>46181</v>
      </c>
      <c r="H1185" s="1">
        <v>46181.7932763426</v>
      </c>
      <c r="I1185" s="22">
        <v>46181</v>
      </c>
      <c r="J1185" s="24">
        <f t="shared" si="252"/>
        <v>46181.647761385342</v>
      </c>
      <c r="K1185" s="24">
        <f t="shared" si="253"/>
        <v>0.79327634259971092</v>
      </c>
      <c r="L1185" s="29">
        <f t="shared" si="259"/>
        <v>46180</v>
      </c>
      <c r="M1185" s="27" t="str">
        <f t="shared" si="254"/>
        <v>TPA Approval Delay</v>
      </c>
      <c r="N1185" s="31">
        <f t="shared" si="255"/>
        <v>0</v>
      </c>
      <c r="O1185" s="27"/>
      <c r="Q1185" s="8">
        <v>0.70349412210615248</v>
      </c>
      <c r="R1185" s="8" t="str">
        <f t="shared" si="256"/>
        <v>Major Delay</v>
      </c>
      <c r="S1185" s="33">
        <v>3.4923589742501617</v>
      </c>
      <c r="T1185" t="s">
        <v>31</v>
      </c>
      <c r="U1185" s="3">
        <v>0</v>
      </c>
      <c r="V1185" s="3" t="str">
        <f t="shared" si="260"/>
        <v>Normal</v>
      </c>
      <c r="W1185" s="3" t="s">
        <v>51</v>
      </c>
      <c r="X1185" s="32">
        <f t="shared" si="257"/>
        <v>0.14551495725754648</v>
      </c>
      <c r="Z1185" s="38">
        <f t="shared" si="261"/>
        <v>2.0514957257546484E-2</v>
      </c>
      <c r="AC1185" s="36">
        <v>0.125</v>
      </c>
      <c r="AL1185" t="str">
        <f t="shared" si="262"/>
        <v>TPA Approval Delay</v>
      </c>
      <c r="AM1185" t="str">
        <f t="shared" si="263"/>
        <v>No</v>
      </c>
      <c r="AN1185" t="str">
        <f t="shared" si="264"/>
        <v>Elective</v>
      </c>
      <c r="AO1185" t="str">
        <f t="shared" si="265"/>
        <v>General Ward</v>
      </c>
    </row>
    <row r="1186" spans="1:41" x14ac:dyDescent="0.3">
      <c r="A1186" s="21" t="str">
        <f t="shared" si="258"/>
        <v>UHID-01185</v>
      </c>
      <c r="B1186" s="18">
        <v>2</v>
      </c>
      <c r="C1186" s="10" t="s">
        <v>17</v>
      </c>
      <c r="D1186" s="13" t="s">
        <v>27</v>
      </c>
      <c r="E1186" s="13" t="s">
        <v>12</v>
      </c>
      <c r="F1186" s="15">
        <v>46183.356352094903</v>
      </c>
      <c r="G1186" s="4">
        <v>46183</v>
      </c>
      <c r="H1186" s="1">
        <v>46183.801467743098</v>
      </c>
      <c r="I1186" s="22">
        <v>46183</v>
      </c>
      <c r="J1186" s="24">
        <f t="shared" si="252"/>
        <v>46183.742417901682</v>
      </c>
      <c r="K1186" s="24">
        <f t="shared" si="253"/>
        <v>0.80146774309832836</v>
      </c>
      <c r="L1186" s="29">
        <f t="shared" si="259"/>
        <v>46182</v>
      </c>
      <c r="M1186" s="27" t="str">
        <f t="shared" si="254"/>
        <v>Normal</v>
      </c>
      <c r="N1186" s="31">
        <f t="shared" si="255"/>
        <v>0</v>
      </c>
      <c r="O1186" s="27"/>
      <c r="Q1186" s="8">
        <v>0.17315895587252672</v>
      </c>
      <c r="R1186" s="8" t="str">
        <f t="shared" si="256"/>
        <v>On Time</v>
      </c>
      <c r="S1186" s="33">
        <v>1.417196194048544</v>
      </c>
      <c r="T1186" t="s">
        <v>30</v>
      </c>
      <c r="U1186" s="3">
        <v>0</v>
      </c>
      <c r="V1186" s="3" t="str">
        <f t="shared" si="260"/>
        <v/>
      </c>
      <c r="W1186" s="3" t="s">
        <v>51</v>
      </c>
      <c r="X1186" s="32">
        <f t="shared" si="257"/>
        <v>5.9049841416708659E-2</v>
      </c>
      <c r="Z1186" s="38">
        <f t="shared" si="261"/>
        <v>0</v>
      </c>
      <c r="AC1186" s="36">
        <v>0.125</v>
      </c>
      <c r="AL1186" t="str">
        <f t="shared" si="262"/>
        <v>Normal</v>
      </c>
      <c r="AM1186" t="str">
        <f t="shared" si="263"/>
        <v>No</v>
      </c>
      <c r="AN1186" t="str">
        <f t="shared" si="264"/>
        <v>Elective</v>
      </c>
      <c r="AO1186" t="str">
        <f t="shared" si="265"/>
        <v>General Ward</v>
      </c>
    </row>
    <row r="1187" spans="1:41" x14ac:dyDescent="0.3">
      <c r="A1187" s="21" t="str">
        <f t="shared" si="258"/>
        <v>UHID-01186</v>
      </c>
      <c r="B1187" s="18">
        <v>27</v>
      </c>
      <c r="C1187" s="10" t="s">
        <v>18</v>
      </c>
      <c r="D1187" s="13" t="s">
        <v>27</v>
      </c>
      <c r="E1187" s="13" t="s">
        <v>12</v>
      </c>
      <c r="F1187" s="15">
        <v>46195.447133784699</v>
      </c>
      <c r="G1187" s="4">
        <v>46195</v>
      </c>
      <c r="H1187" s="1">
        <v>46195.659345358799</v>
      </c>
      <c r="I1187" s="22">
        <v>46195</v>
      </c>
      <c r="J1187" s="24">
        <f t="shared" si="252"/>
        <v>46195.591833129263</v>
      </c>
      <c r="K1187" s="24">
        <f t="shared" si="253"/>
        <v>0.6593453587993281</v>
      </c>
      <c r="L1187" s="29">
        <f t="shared" si="259"/>
        <v>46194</v>
      </c>
      <c r="M1187" s="27" t="str">
        <f t="shared" si="254"/>
        <v>Normal</v>
      </c>
      <c r="N1187" s="31">
        <f t="shared" si="255"/>
        <v>0</v>
      </c>
      <c r="O1187" s="27"/>
      <c r="Q1187" s="8">
        <v>0.40854651308778822</v>
      </c>
      <c r="R1187" s="8" t="str">
        <f t="shared" si="256"/>
        <v>On Time</v>
      </c>
      <c r="S1187" s="33">
        <v>1.620293508932229</v>
      </c>
      <c r="T1187" t="s">
        <v>31</v>
      </c>
      <c r="U1187" s="3">
        <v>0</v>
      </c>
      <c r="V1187" s="3" t="str">
        <f t="shared" si="260"/>
        <v>Normal</v>
      </c>
      <c r="W1187" s="3" t="s">
        <v>51</v>
      </c>
      <c r="X1187" s="32">
        <f t="shared" si="257"/>
        <v>6.7512229536077939E-2</v>
      </c>
      <c r="Z1187" s="38">
        <f t="shared" si="261"/>
        <v>0</v>
      </c>
      <c r="AC1187" s="36">
        <v>0.125</v>
      </c>
      <c r="AL1187" t="str">
        <f t="shared" si="262"/>
        <v>Normal</v>
      </c>
      <c r="AM1187" t="str">
        <f t="shared" si="263"/>
        <v>No</v>
      </c>
      <c r="AN1187" t="str">
        <f t="shared" si="264"/>
        <v>Elective</v>
      </c>
      <c r="AO1187" t="str">
        <f t="shared" si="265"/>
        <v>General Ward</v>
      </c>
    </row>
    <row r="1188" spans="1:41" x14ac:dyDescent="0.3">
      <c r="A1188" s="21" t="str">
        <f t="shared" si="258"/>
        <v>UHID-01187</v>
      </c>
      <c r="B1188" s="19">
        <v>60</v>
      </c>
      <c r="C1188" s="11" t="s">
        <v>18</v>
      </c>
      <c r="D1188" s="13" t="s">
        <v>27</v>
      </c>
      <c r="E1188" s="13" t="s">
        <v>12</v>
      </c>
      <c r="F1188" s="16">
        <v>46200.370520879602</v>
      </c>
      <c r="G1188" s="5">
        <v>46200</v>
      </c>
      <c r="H1188" s="2">
        <v>46200.6563147454</v>
      </c>
      <c r="I1188" s="23">
        <v>46200</v>
      </c>
      <c r="J1188" s="24">
        <f t="shared" si="252"/>
        <v>46200.505069576007</v>
      </c>
      <c r="K1188" s="24">
        <f t="shared" si="253"/>
        <v>0.65631474539986812</v>
      </c>
      <c r="L1188" s="29">
        <f t="shared" si="259"/>
        <v>46199</v>
      </c>
      <c r="M1188" s="27" t="str">
        <f t="shared" si="254"/>
        <v>Medication Change</v>
      </c>
      <c r="N1188" s="31">
        <f t="shared" si="255"/>
        <v>0</v>
      </c>
      <c r="O1188" s="27"/>
      <c r="Q1188" s="8">
        <v>0.36157236837005058</v>
      </c>
      <c r="R1188" s="8" t="str">
        <f t="shared" si="256"/>
        <v>Major Delay</v>
      </c>
      <c r="S1188" s="33">
        <v>1.6298840653779636</v>
      </c>
      <c r="T1188" t="s">
        <v>31</v>
      </c>
      <c r="U1188" s="3">
        <v>2</v>
      </c>
      <c r="V1188" s="3" t="str">
        <f t="shared" si="260"/>
        <v>Normal</v>
      </c>
      <c r="W1188" s="3" t="s">
        <v>50</v>
      </c>
      <c r="X1188" s="32">
        <f t="shared" si="257"/>
        <v>0.15124516939249588</v>
      </c>
      <c r="Z1188" s="38">
        <f t="shared" si="261"/>
        <v>2.6245169392495882E-2</v>
      </c>
      <c r="AC1188" s="36">
        <v>0.125</v>
      </c>
      <c r="AL1188" t="str">
        <f t="shared" si="262"/>
        <v>Medication Change</v>
      </c>
      <c r="AM1188" t="str">
        <f t="shared" si="263"/>
        <v>No</v>
      </c>
      <c r="AN1188" t="str">
        <f t="shared" si="264"/>
        <v>Elective</v>
      </c>
      <c r="AO1188" t="str">
        <f t="shared" si="265"/>
        <v>General Ward</v>
      </c>
    </row>
    <row r="1189" spans="1:41" x14ac:dyDescent="0.3">
      <c r="A1189" s="21" t="str">
        <f t="shared" si="258"/>
        <v>UHID-01188</v>
      </c>
      <c r="B1189" s="18">
        <v>49</v>
      </c>
      <c r="C1189" s="10" t="s">
        <v>18</v>
      </c>
      <c r="D1189" s="13" t="s">
        <v>28</v>
      </c>
      <c r="E1189" s="13" t="s">
        <v>11</v>
      </c>
      <c r="F1189" s="15">
        <v>46173.662012465298</v>
      </c>
      <c r="G1189" s="4">
        <v>46173</v>
      </c>
      <c r="H1189" s="1">
        <v>46174.771570023098</v>
      </c>
      <c r="I1189" s="22">
        <v>46174</v>
      </c>
      <c r="J1189" s="24">
        <f t="shared" si="252"/>
        <v>46174.672307111308</v>
      </c>
      <c r="K1189" s="24">
        <f t="shared" si="253"/>
        <v>0.77157002309832023</v>
      </c>
      <c r="L1189" s="29">
        <f t="shared" si="259"/>
        <v>46173</v>
      </c>
      <c r="M1189" s="27" t="str">
        <f t="shared" si="254"/>
        <v>Doctor Round Delay/Report Delay</v>
      </c>
      <c r="N1189" s="31">
        <f t="shared" si="255"/>
        <v>1</v>
      </c>
      <c r="O1189" s="27"/>
      <c r="Q1189" s="8">
        <v>0.89000138941674656</v>
      </c>
      <c r="R1189" s="8" t="str">
        <f t="shared" si="256"/>
        <v>Minor Delay</v>
      </c>
      <c r="S1189" s="33">
        <v>2.3823098828814038</v>
      </c>
      <c r="T1189" t="s">
        <v>31</v>
      </c>
      <c r="U1189" s="3">
        <v>0</v>
      </c>
      <c r="V1189" s="3" t="str">
        <f t="shared" si="260"/>
        <v>Normal</v>
      </c>
      <c r="W1189" s="3" t="s">
        <v>51</v>
      </c>
      <c r="X1189" s="32">
        <f t="shared" si="257"/>
        <v>9.9262911789992359E-2</v>
      </c>
      <c r="Z1189" s="38">
        <f t="shared" si="261"/>
        <v>0</v>
      </c>
      <c r="AC1189" s="36">
        <v>0.125</v>
      </c>
      <c r="AL1189" t="str">
        <f t="shared" si="262"/>
        <v>Doctor Round Delay/Report Delay</v>
      </c>
      <c r="AM1189" t="str">
        <f t="shared" si="263"/>
        <v>No</v>
      </c>
      <c r="AN1189" t="str">
        <f t="shared" si="264"/>
        <v>Elective</v>
      </c>
      <c r="AO1189" t="str">
        <f t="shared" si="265"/>
        <v>General Ward</v>
      </c>
    </row>
    <row r="1190" spans="1:41" x14ac:dyDescent="0.3">
      <c r="A1190" s="21" t="str">
        <f t="shared" si="258"/>
        <v>UHID-01189</v>
      </c>
      <c r="B1190" s="18">
        <v>80</v>
      </c>
      <c r="C1190" s="10" t="s">
        <v>18</v>
      </c>
      <c r="D1190" s="13" t="s">
        <v>27</v>
      </c>
      <c r="E1190" s="13" t="s">
        <v>11</v>
      </c>
      <c r="F1190" s="15">
        <v>46175.376140416702</v>
      </c>
      <c r="G1190" s="4">
        <v>46175</v>
      </c>
      <c r="H1190" s="1">
        <v>46175.679896458299</v>
      </c>
      <c r="I1190" s="22">
        <v>46175</v>
      </c>
      <c r="J1190" s="24">
        <f t="shared" si="252"/>
        <v>46175.471992074592</v>
      </c>
      <c r="K1190" s="24">
        <f t="shared" si="253"/>
        <v>0.67989645829948131</v>
      </c>
      <c r="L1190" s="29">
        <f t="shared" si="259"/>
        <v>46174</v>
      </c>
      <c r="M1190" s="27" t="str">
        <f t="shared" si="254"/>
        <v>Medication Change</v>
      </c>
      <c r="N1190" s="31">
        <f t="shared" si="255"/>
        <v>0</v>
      </c>
      <c r="O1190" s="27"/>
      <c r="Q1190" s="8">
        <v>6.5743178339784936E-2</v>
      </c>
      <c r="R1190" s="8" t="str">
        <f t="shared" si="256"/>
        <v>Major Delay</v>
      </c>
      <c r="S1190" s="33">
        <v>1.9897052089453195</v>
      </c>
      <c r="T1190" t="s">
        <v>30</v>
      </c>
      <c r="U1190" s="3">
        <v>3</v>
      </c>
      <c r="V1190" s="3" t="str">
        <f t="shared" si="260"/>
        <v/>
      </c>
      <c r="W1190" s="3" t="s">
        <v>50</v>
      </c>
      <c r="X1190" s="32">
        <f t="shared" si="257"/>
        <v>0.20790438370750053</v>
      </c>
      <c r="Z1190" s="38">
        <f t="shared" si="261"/>
        <v>8.2904383707500529E-2</v>
      </c>
      <c r="AC1190" s="36">
        <v>0.125</v>
      </c>
      <c r="AL1190" t="str">
        <f t="shared" si="262"/>
        <v>Medication Change</v>
      </c>
      <c r="AM1190" t="str">
        <f t="shared" si="263"/>
        <v>No</v>
      </c>
      <c r="AN1190" t="str">
        <f t="shared" si="264"/>
        <v>Elective</v>
      </c>
      <c r="AO1190" t="str">
        <f t="shared" si="265"/>
        <v>General Ward</v>
      </c>
    </row>
    <row r="1191" spans="1:41" x14ac:dyDescent="0.3">
      <c r="A1191" s="21" t="str">
        <f t="shared" si="258"/>
        <v>UHID-01190</v>
      </c>
      <c r="B1191" s="18">
        <v>30</v>
      </c>
      <c r="C1191" s="10" t="s">
        <v>18</v>
      </c>
      <c r="D1191" s="13" t="s">
        <v>28</v>
      </c>
      <c r="E1191" s="13" t="s">
        <v>11</v>
      </c>
      <c r="F1191" s="15">
        <v>46173.711602395801</v>
      </c>
      <c r="G1191" s="4">
        <v>46173</v>
      </c>
      <c r="H1191" s="1">
        <v>46175.532034490701</v>
      </c>
      <c r="I1191" s="22">
        <v>46175</v>
      </c>
      <c r="J1191" s="24">
        <f t="shared" si="252"/>
        <v>46175.438500644108</v>
      </c>
      <c r="K1191" s="24">
        <f t="shared" si="253"/>
        <v>0.53203449070133502</v>
      </c>
      <c r="L1191" s="29">
        <f t="shared" si="259"/>
        <v>46174</v>
      </c>
      <c r="M1191" s="27" t="str">
        <f t="shared" si="254"/>
        <v>Doctor Round Delay/Report Delay</v>
      </c>
      <c r="N1191" s="31">
        <f t="shared" si="255"/>
        <v>2</v>
      </c>
      <c r="O1191" s="27"/>
      <c r="Q1191" s="8">
        <v>0.97121767052178076</v>
      </c>
      <c r="R1191" s="8" t="str">
        <f t="shared" si="256"/>
        <v>Minor Delay</v>
      </c>
      <c r="S1191" s="33">
        <v>2.2448123182653617</v>
      </c>
      <c r="T1191" t="s">
        <v>31</v>
      </c>
      <c r="U1191" s="3">
        <v>0</v>
      </c>
      <c r="V1191" s="3" t="str">
        <f t="shared" si="260"/>
        <v>Normal</v>
      </c>
      <c r="W1191" s="3" t="s">
        <v>51</v>
      </c>
      <c r="X1191" s="32">
        <f t="shared" si="257"/>
        <v>9.3533846593345515E-2</v>
      </c>
      <c r="Z1191" s="38">
        <f t="shared" si="261"/>
        <v>0</v>
      </c>
      <c r="AC1191" s="36">
        <v>0.125</v>
      </c>
      <c r="AL1191" t="str">
        <f t="shared" si="262"/>
        <v>Doctor Round Delay/Report Delay</v>
      </c>
      <c r="AM1191" t="str">
        <f t="shared" si="263"/>
        <v>No</v>
      </c>
      <c r="AN1191" t="str">
        <f t="shared" si="264"/>
        <v>Elective</v>
      </c>
      <c r="AO1191" t="str">
        <f t="shared" si="265"/>
        <v>General Ward</v>
      </c>
    </row>
    <row r="1192" spans="1:41" x14ac:dyDescent="0.3">
      <c r="A1192" s="21" t="str">
        <f t="shared" si="258"/>
        <v>UHID-01191</v>
      </c>
      <c r="B1192" s="18">
        <v>61</v>
      </c>
      <c r="C1192" s="10" t="s">
        <v>17</v>
      </c>
      <c r="D1192" s="13" t="s">
        <v>27</v>
      </c>
      <c r="E1192" s="13" t="s">
        <v>11</v>
      </c>
      <c r="F1192" s="15">
        <v>46173.789960358801</v>
      </c>
      <c r="G1192" s="4">
        <v>46173</v>
      </c>
      <c r="H1192" s="1">
        <v>46175.610112384296</v>
      </c>
      <c r="I1192" s="22">
        <v>46175</v>
      </c>
      <c r="J1192" s="24">
        <f t="shared" si="252"/>
        <v>46175.453277424822</v>
      </c>
      <c r="K1192" s="24">
        <f t="shared" si="253"/>
        <v>0.6101123842963716</v>
      </c>
      <c r="L1192" s="29">
        <f t="shared" si="259"/>
        <v>46174</v>
      </c>
      <c r="M1192" s="27" t="str">
        <f t="shared" si="254"/>
        <v>Medication Change</v>
      </c>
      <c r="N1192" s="31">
        <f t="shared" si="255"/>
        <v>2</v>
      </c>
      <c r="O1192" s="27"/>
      <c r="Q1192" s="8">
        <v>0.37438690697802413</v>
      </c>
      <c r="R1192" s="8" t="str">
        <f t="shared" si="256"/>
        <v>Major Delay</v>
      </c>
      <c r="S1192" s="33">
        <v>1.7640390273655611</v>
      </c>
      <c r="T1192" t="s">
        <v>31</v>
      </c>
      <c r="U1192" s="3">
        <v>2</v>
      </c>
      <c r="V1192" s="3" t="str">
        <f t="shared" si="260"/>
        <v>Normal</v>
      </c>
      <c r="W1192" s="3" t="s">
        <v>50</v>
      </c>
      <c r="X1192" s="32">
        <f t="shared" si="257"/>
        <v>0.15683495947450865</v>
      </c>
      <c r="Z1192" s="38">
        <f t="shared" si="261"/>
        <v>3.1834959474508651E-2</v>
      </c>
      <c r="AC1192" s="36">
        <v>0.125</v>
      </c>
      <c r="AL1192" t="str">
        <f t="shared" si="262"/>
        <v>Medication Change</v>
      </c>
      <c r="AM1192" t="str">
        <f t="shared" si="263"/>
        <v>No</v>
      </c>
      <c r="AN1192" t="str">
        <f t="shared" si="264"/>
        <v>Elective</v>
      </c>
      <c r="AO1192" t="str">
        <f t="shared" si="265"/>
        <v>General Ward</v>
      </c>
    </row>
    <row r="1193" spans="1:41" x14ac:dyDescent="0.3">
      <c r="A1193" s="21" t="str">
        <f t="shared" si="258"/>
        <v>UHID-01192</v>
      </c>
      <c r="B1193" s="18">
        <v>57</v>
      </c>
      <c r="C1193" s="10" t="s">
        <v>17</v>
      </c>
      <c r="D1193" s="13" t="s">
        <v>28</v>
      </c>
      <c r="E1193" s="13" t="s">
        <v>11</v>
      </c>
      <c r="F1193" s="15">
        <v>46175.412589074098</v>
      </c>
      <c r="G1193" s="4">
        <v>46175</v>
      </c>
      <c r="H1193" s="1">
        <v>46175.680666273103</v>
      </c>
      <c r="I1193" s="22">
        <v>46175</v>
      </c>
      <c r="J1193" s="24">
        <f t="shared" si="252"/>
        <v>46175.487709531604</v>
      </c>
      <c r="K1193" s="24">
        <f t="shared" si="253"/>
        <v>0.68066627310327021</v>
      </c>
      <c r="L1193" s="29">
        <f t="shared" si="259"/>
        <v>46174</v>
      </c>
      <c r="M1193" s="27" t="str">
        <f t="shared" si="254"/>
        <v>Medication Change</v>
      </c>
      <c r="N1193" s="31">
        <f t="shared" si="255"/>
        <v>0</v>
      </c>
      <c r="O1193" s="27"/>
      <c r="Q1193" s="8">
        <v>0.87531962667080065</v>
      </c>
      <c r="R1193" s="8" t="str">
        <f t="shared" si="256"/>
        <v>Major Delay</v>
      </c>
      <c r="S1193" s="33">
        <v>2.6309617959288643</v>
      </c>
      <c r="T1193" t="s">
        <v>31</v>
      </c>
      <c r="U1193" s="3">
        <v>2</v>
      </c>
      <c r="V1193" s="3" t="str">
        <f t="shared" si="260"/>
        <v>Normal</v>
      </c>
      <c r="W1193" s="3" t="s">
        <v>50</v>
      </c>
      <c r="X1193" s="32">
        <f t="shared" si="257"/>
        <v>0.19295674149907427</v>
      </c>
      <c r="Z1193" s="38">
        <f t="shared" si="261"/>
        <v>6.7956741499074269E-2</v>
      </c>
      <c r="AC1193" s="36">
        <v>0.125</v>
      </c>
      <c r="AL1193" t="str">
        <f t="shared" si="262"/>
        <v>Medication Change</v>
      </c>
      <c r="AM1193" t="str">
        <f t="shared" si="263"/>
        <v>No</v>
      </c>
      <c r="AN1193" t="str">
        <f t="shared" si="264"/>
        <v>Elective</v>
      </c>
      <c r="AO1193" t="str">
        <f t="shared" si="265"/>
        <v>General Ward</v>
      </c>
    </row>
    <row r="1194" spans="1:41" x14ac:dyDescent="0.3">
      <c r="A1194" s="21" t="str">
        <f t="shared" si="258"/>
        <v>UHID-01193</v>
      </c>
      <c r="B1194" s="18">
        <v>43</v>
      </c>
      <c r="C1194" s="10" t="s">
        <v>18</v>
      </c>
      <c r="D1194" s="13" t="s">
        <v>26</v>
      </c>
      <c r="E1194" s="13" t="s">
        <v>11</v>
      </c>
      <c r="F1194" s="15">
        <v>46174.435687384299</v>
      </c>
      <c r="G1194" s="4">
        <v>46174</v>
      </c>
      <c r="H1194" s="1">
        <v>46175.727814849502</v>
      </c>
      <c r="I1194" s="22">
        <v>46175</v>
      </c>
      <c r="J1194" s="24">
        <f t="shared" si="252"/>
        <v>46175.582103792345</v>
      </c>
      <c r="K1194" s="24">
        <f t="shared" si="253"/>
        <v>0.72781484950246522</v>
      </c>
      <c r="L1194" s="29">
        <f t="shared" si="259"/>
        <v>46174</v>
      </c>
      <c r="M1194" s="27" t="str">
        <f t="shared" si="254"/>
        <v>TPA Approval Delay</v>
      </c>
      <c r="N1194" s="31">
        <f t="shared" si="255"/>
        <v>1</v>
      </c>
      <c r="O1194" s="27"/>
      <c r="Q1194" s="8">
        <v>0.74229132447407675</v>
      </c>
      <c r="R1194" s="8" t="str">
        <f t="shared" si="256"/>
        <v>Major Delay</v>
      </c>
      <c r="S1194" s="33">
        <v>3.4970653717140223</v>
      </c>
      <c r="T1194" t="s">
        <v>31</v>
      </c>
      <c r="U1194" s="3">
        <v>0</v>
      </c>
      <c r="V1194" s="3" t="str">
        <f t="shared" si="260"/>
        <v>Normal</v>
      </c>
      <c r="W1194" s="3" t="s">
        <v>51</v>
      </c>
      <c r="X1194" s="32">
        <f t="shared" si="257"/>
        <v>0.14571105715731392</v>
      </c>
      <c r="Z1194" s="38">
        <f t="shared" si="261"/>
        <v>2.0711057157313917E-2</v>
      </c>
      <c r="AC1194" s="36">
        <v>0.125</v>
      </c>
      <c r="AL1194" t="str">
        <f t="shared" si="262"/>
        <v>TPA Approval Delay</v>
      </c>
      <c r="AM1194" t="str">
        <f t="shared" si="263"/>
        <v>No</v>
      </c>
      <c r="AN1194" t="str">
        <f t="shared" si="264"/>
        <v>Elective</v>
      </c>
      <c r="AO1194" t="str">
        <f t="shared" si="265"/>
        <v>General Ward</v>
      </c>
    </row>
    <row r="1195" spans="1:41" x14ac:dyDescent="0.3">
      <c r="A1195" s="21" t="str">
        <f t="shared" si="258"/>
        <v>UHID-01194</v>
      </c>
      <c r="B1195" s="18">
        <v>64</v>
      </c>
      <c r="C1195" s="10" t="s">
        <v>17</v>
      </c>
      <c r="D1195" s="13" t="s">
        <v>27</v>
      </c>
      <c r="E1195" s="13" t="s">
        <v>11</v>
      </c>
      <c r="F1195" s="15">
        <v>46172.519653460702</v>
      </c>
      <c r="G1195" s="4">
        <v>46172</v>
      </c>
      <c r="H1195" s="1">
        <v>46176.598826446803</v>
      </c>
      <c r="I1195" s="22">
        <v>46176</v>
      </c>
      <c r="J1195" s="24">
        <f t="shared" si="252"/>
        <v>46176.552731691707</v>
      </c>
      <c r="K1195" s="24">
        <f t="shared" si="253"/>
        <v>0.59882644680328667</v>
      </c>
      <c r="L1195" s="29">
        <f t="shared" si="259"/>
        <v>46175</v>
      </c>
      <c r="M1195" s="27" t="str">
        <f t="shared" si="254"/>
        <v>Normal</v>
      </c>
      <c r="N1195" s="31">
        <f t="shared" si="255"/>
        <v>4</v>
      </c>
      <c r="O1195" s="27"/>
      <c r="Q1195" s="8">
        <v>3.9201545813459804E-3</v>
      </c>
      <c r="R1195" s="8" t="str">
        <f t="shared" si="256"/>
        <v>On Time</v>
      </c>
      <c r="S1195" s="33">
        <v>1.1062741222871466</v>
      </c>
      <c r="T1195" t="s">
        <v>30</v>
      </c>
      <c r="U1195" s="3">
        <v>0</v>
      </c>
      <c r="V1195" s="3" t="str">
        <f t="shared" si="260"/>
        <v/>
      </c>
      <c r="W1195" s="3" t="s">
        <v>51</v>
      </c>
      <c r="X1195" s="32">
        <f t="shared" si="257"/>
        <v>4.6094755096419249E-2</v>
      </c>
      <c r="Z1195" s="38">
        <f t="shared" si="261"/>
        <v>0</v>
      </c>
      <c r="AC1195" s="36">
        <v>0.125</v>
      </c>
      <c r="AL1195" t="str">
        <f t="shared" si="262"/>
        <v>Normal</v>
      </c>
      <c r="AM1195" t="str">
        <f t="shared" si="263"/>
        <v>No</v>
      </c>
      <c r="AN1195" t="str">
        <f t="shared" si="264"/>
        <v>Elective</v>
      </c>
      <c r="AO1195" t="str">
        <f t="shared" si="265"/>
        <v>HDU</v>
      </c>
    </row>
    <row r="1196" spans="1:41" x14ac:dyDescent="0.3">
      <c r="A1196" s="21" t="str">
        <f t="shared" si="258"/>
        <v>UHID-01195</v>
      </c>
      <c r="B1196" s="18">
        <v>66</v>
      </c>
      <c r="C1196" s="10" t="s">
        <v>18</v>
      </c>
      <c r="D1196" s="13" t="s">
        <v>27</v>
      </c>
      <c r="E1196" s="13" t="s">
        <v>11</v>
      </c>
      <c r="F1196" s="15">
        <v>46173.979687280102</v>
      </c>
      <c r="G1196" s="4">
        <v>46173</v>
      </c>
      <c r="H1196" s="1">
        <v>46177.448658738402</v>
      </c>
      <c r="I1196" s="22">
        <v>46177</v>
      </c>
      <c r="J1196" s="24">
        <f t="shared" si="252"/>
        <v>46177.269579415646</v>
      </c>
      <c r="K1196" s="24">
        <f t="shared" si="253"/>
        <v>0.44865873840171844</v>
      </c>
      <c r="L1196" s="29">
        <f t="shared" si="259"/>
        <v>46176</v>
      </c>
      <c r="M1196" s="27" t="str">
        <f t="shared" si="254"/>
        <v>Medication Change</v>
      </c>
      <c r="N1196" s="31">
        <f t="shared" si="255"/>
        <v>4</v>
      </c>
      <c r="O1196" s="27"/>
      <c r="Q1196" s="8">
        <v>8.6546029809408065E-2</v>
      </c>
      <c r="R1196" s="8" t="str">
        <f t="shared" si="256"/>
        <v>Major Delay</v>
      </c>
      <c r="S1196" s="33">
        <v>1.2979037461734459</v>
      </c>
      <c r="T1196" t="s">
        <v>30</v>
      </c>
      <c r="U1196" s="3">
        <v>3</v>
      </c>
      <c r="V1196" s="3" t="str">
        <f t="shared" si="260"/>
        <v/>
      </c>
      <c r="W1196" s="3" t="s">
        <v>50</v>
      </c>
      <c r="X1196" s="32">
        <f t="shared" si="257"/>
        <v>0.17907932275556959</v>
      </c>
      <c r="Z1196" s="38">
        <f t="shared" si="261"/>
        <v>5.4079322755569592E-2</v>
      </c>
      <c r="AC1196" s="36">
        <v>0.125</v>
      </c>
      <c r="AL1196" t="str">
        <f t="shared" si="262"/>
        <v>Medication Change</v>
      </c>
      <c r="AM1196" t="str">
        <f t="shared" si="263"/>
        <v>No</v>
      </c>
      <c r="AN1196" t="str">
        <f t="shared" si="264"/>
        <v>Elective</v>
      </c>
      <c r="AO1196" t="str">
        <f t="shared" si="265"/>
        <v>HDU</v>
      </c>
    </row>
    <row r="1197" spans="1:41" x14ac:dyDescent="0.3">
      <c r="A1197" s="21" t="str">
        <f t="shared" si="258"/>
        <v>UHID-01196</v>
      </c>
      <c r="B1197" s="18">
        <v>41</v>
      </c>
      <c r="C1197" s="10" t="s">
        <v>18</v>
      </c>
      <c r="D1197" s="13" t="s">
        <v>26</v>
      </c>
      <c r="E1197" s="13" t="s">
        <v>11</v>
      </c>
      <c r="F1197" s="15">
        <v>46174.864546493103</v>
      </c>
      <c r="G1197" s="4">
        <v>46174</v>
      </c>
      <c r="H1197" s="1">
        <v>46177.621644097198</v>
      </c>
      <c r="I1197" s="22">
        <v>46177</v>
      </c>
      <c r="J1197" s="24">
        <f t="shared" si="252"/>
        <v>46177.368758740704</v>
      </c>
      <c r="K1197" s="24">
        <f t="shared" si="253"/>
        <v>0.62164409719844116</v>
      </c>
      <c r="L1197" s="29">
        <f t="shared" si="259"/>
        <v>46176</v>
      </c>
      <c r="M1197" s="27" t="str">
        <f t="shared" si="254"/>
        <v>Health Deterioration/TPA Approval Delay</v>
      </c>
      <c r="N1197" s="31">
        <f t="shared" si="255"/>
        <v>3</v>
      </c>
      <c r="O1197" s="27"/>
      <c r="Q1197" s="8">
        <v>0.66130666508812541</v>
      </c>
      <c r="R1197" s="8" t="str">
        <f t="shared" si="256"/>
        <v>Critical Delay</v>
      </c>
      <c r="S1197" s="33">
        <v>3.0692485559372065</v>
      </c>
      <c r="T1197" t="s">
        <v>31</v>
      </c>
      <c r="U1197" s="3">
        <v>3</v>
      </c>
      <c r="V1197" s="3" t="str">
        <f t="shared" si="260"/>
        <v>Normal</v>
      </c>
      <c r="W1197" s="3" t="s">
        <v>50</v>
      </c>
      <c r="X1197" s="32">
        <f t="shared" si="257"/>
        <v>0.2528853564945166</v>
      </c>
      <c r="Z1197" s="38">
        <f t="shared" si="261"/>
        <v>0.1278853564945166</v>
      </c>
      <c r="AC1197" s="36">
        <v>0.125</v>
      </c>
      <c r="AL1197" t="str">
        <f t="shared" si="262"/>
        <v>Health Deterioration/TPA Approval Delay</v>
      </c>
      <c r="AM1197" t="str">
        <f t="shared" si="263"/>
        <v>No</v>
      </c>
      <c r="AN1197" t="str">
        <f t="shared" si="264"/>
        <v>Emergency</v>
      </c>
      <c r="AO1197" t="str">
        <f t="shared" si="265"/>
        <v>General Ward</v>
      </c>
    </row>
    <row r="1198" spans="1:41" x14ac:dyDescent="0.3">
      <c r="A1198" s="21" t="str">
        <f t="shared" si="258"/>
        <v>UHID-01197</v>
      </c>
      <c r="B1198" s="18">
        <v>67</v>
      </c>
      <c r="C1198" s="10" t="s">
        <v>18</v>
      </c>
      <c r="D1198" s="13" t="s">
        <v>27</v>
      </c>
      <c r="E1198" s="13" t="s">
        <v>11</v>
      </c>
      <c r="F1198" s="15">
        <v>46174.870571400497</v>
      </c>
      <c r="G1198" s="4">
        <v>46174</v>
      </c>
      <c r="H1198" s="1">
        <v>46178.596559884303</v>
      </c>
      <c r="I1198" s="22">
        <v>46178</v>
      </c>
      <c r="J1198" s="24">
        <f t="shared" si="252"/>
        <v>46178.401650887863</v>
      </c>
      <c r="K1198" s="24">
        <f t="shared" si="253"/>
        <v>0.596559884303133</v>
      </c>
      <c r="L1198" s="29">
        <f t="shared" si="259"/>
        <v>46177</v>
      </c>
      <c r="M1198" s="27" t="str">
        <f t="shared" si="254"/>
        <v>Medication Change</v>
      </c>
      <c r="N1198" s="31">
        <f t="shared" si="255"/>
        <v>4</v>
      </c>
      <c r="O1198" s="27"/>
      <c r="Q1198" s="8">
        <v>0.44907901883533463</v>
      </c>
      <c r="R1198" s="8" t="str">
        <f t="shared" si="256"/>
        <v>Major Delay</v>
      </c>
      <c r="S1198" s="33">
        <v>1.6778159145842702</v>
      </c>
      <c r="T1198" t="s">
        <v>31</v>
      </c>
      <c r="U1198" s="3">
        <v>3</v>
      </c>
      <c r="V1198" s="3" t="str">
        <f t="shared" si="260"/>
        <v>Normal</v>
      </c>
      <c r="W1198" s="3" t="s">
        <v>50</v>
      </c>
      <c r="X1198" s="32">
        <f t="shared" si="257"/>
        <v>0.19490899644006277</v>
      </c>
      <c r="Z1198" s="38">
        <f t="shared" si="261"/>
        <v>6.9908996440062765E-2</v>
      </c>
      <c r="AC1198" s="36">
        <v>0.125</v>
      </c>
      <c r="AL1198" t="str">
        <f t="shared" si="262"/>
        <v>Medication Change</v>
      </c>
      <c r="AM1198" t="str">
        <f t="shared" si="263"/>
        <v>No</v>
      </c>
      <c r="AN1198" t="str">
        <f t="shared" si="264"/>
        <v>Elective</v>
      </c>
      <c r="AO1198" t="str">
        <f t="shared" si="265"/>
        <v>HDU</v>
      </c>
    </row>
    <row r="1199" spans="1:41" x14ac:dyDescent="0.3">
      <c r="A1199" s="21" t="str">
        <f t="shared" si="258"/>
        <v>UHID-01198</v>
      </c>
      <c r="B1199" s="18">
        <v>36</v>
      </c>
      <c r="C1199" s="10" t="s">
        <v>18</v>
      </c>
      <c r="D1199" s="13" t="s">
        <v>26</v>
      </c>
      <c r="E1199" s="13" t="s">
        <v>11</v>
      </c>
      <c r="F1199" s="15">
        <v>46178.621784687501</v>
      </c>
      <c r="G1199" s="4">
        <v>46178</v>
      </c>
      <c r="H1199" s="1">
        <v>46178.808371874999</v>
      </c>
      <c r="I1199" s="22">
        <v>46178</v>
      </c>
      <c r="J1199" s="24">
        <f t="shared" si="252"/>
        <v>46178.67085338266</v>
      </c>
      <c r="K1199" s="24">
        <f t="shared" si="253"/>
        <v>0.80837187499855645</v>
      </c>
      <c r="L1199" s="29">
        <f t="shared" si="259"/>
        <v>46177</v>
      </c>
      <c r="M1199" s="27" t="str">
        <f t="shared" si="254"/>
        <v>TPA Approval Delay</v>
      </c>
      <c r="N1199" s="31">
        <f t="shared" si="255"/>
        <v>0</v>
      </c>
      <c r="O1199" s="27"/>
      <c r="Q1199" s="8">
        <v>0.56425330872477963</v>
      </c>
      <c r="R1199" s="8" t="str">
        <f t="shared" si="256"/>
        <v>Major Delay</v>
      </c>
      <c r="S1199" s="33">
        <v>3.3004438160870606</v>
      </c>
      <c r="T1199" t="s">
        <v>31</v>
      </c>
      <c r="U1199" s="3">
        <v>0</v>
      </c>
      <c r="V1199" s="3" t="str">
        <f t="shared" si="260"/>
        <v>Normal</v>
      </c>
      <c r="W1199" s="3" t="s">
        <v>51</v>
      </c>
      <c r="X1199" s="32">
        <f t="shared" si="257"/>
        <v>0.13751849233813118</v>
      </c>
      <c r="Z1199" s="38">
        <f t="shared" si="261"/>
        <v>1.2518492338131182E-2</v>
      </c>
      <c r="AC1199" s="36">
        <v>0.125</v>
      </c>
      <c r="AL1199" t="str">
        <f t="shared" si="262"/>
        <v>TPA Approval Delay</v>
      </c>
      <c r="AM1199" t="str">
        <f t="shared" si="263"/>
        <v>No</v>
      </c>
      <c r="AN1199" t="str">
        <f t="shared" si="264"/>
        <v>Elective</v>
      </c>
      <c r="AO1199" t="str">
        <f t="shared" si="265"/>
        <v>General Ward</v>
      </c>
    </row>
    <row r="1200" spans="1:41" x14ac:dyDescent="0.3">
      <c r="A1200" s="21" t="str">
        <f t="shared" si="258"/>
        <v>UHID-01199</v>
      </c>
      <c r="B1200" s="18">
        <v>31</v>
      </c>
      <c r="C1200" s="10" t="s">
        <v>18</v>
      </c>
      <c r="D1200" s="13" t="s">
        <v>26</v>
      </c>
      <c r="E1200" s="13" t="s">
        <v>11</v>
      </c>
      <c r="F1200" s="15">
        <v>46174.7813070833</v>
      </c>
      <c r="G1200" s="4">
        <v>46174</v>
      </c>
      <c r="H1200" s="1">
        <v>46178.707665150498</v>
      </c>
      <c r="I1200" s="22">
        <v>46178</v>
      </c>
      <c r="J1200" s="24">
        <f t="shared" si="252"/>
        <v>46178.573623843295</v>
      </c>
      <c r="K1200" s="24">
        <f t="shared" si="253"/>
        <v>0.70766515049763257</v>
      </c>
      <c r="L1200" s="29">
        <f t="shared" si="259"/>
        <v>46177</v>
      </c>
      <c r="M1200" s="27" t="str">
        <f t="shared" si="254"/>
        <v>TPA Approval Delay</v>
      </c>
      <c r="N1200" s="31">
        <f t="shared" si="255"/>
        <v>4</v>
      </c>
      <c r="O1200" s="27"/>
      <c r="Q1200" s="8">
        <v>0.66211738454136715</v>
      </c>
      <c r="R1200" s="8" t="str">
        <f t="shared" si="256"/>
        <v>Major Delay</v>
      </c>
      <c r="S1200" s="33">
        <v>3.2169913729007407</v>
      </c>
      <c r="T1200" t="s">
        <v>31</v>
      </c>
      <c r="U1200" s="3">
        <v>0</v>
      </c>
      <c r="V1200" s="3" t="str">
        <f t="shared" si="260"/>
        <v>Normal</v>
      </c>
      <c r="W1200" s="3" t="s">
        <v>51</v>
      </c>
      <c r="X1200" s="32">
        <f t="shared" si="257"/>
        <v>0.134041307203006</v>
      </c>
      <c r="Z1200" s="38">
        <f t="shared" si="261"/>
        <v>9.0413072030059993E-3</v>
      </c>
      <c r="AC1200" s="36">
        <v>0.125</v>
      </c>
      <c r="AL1200" t="str">
        <f t="shared" si="262"/>
        <v>TPA Approval Delay</v>
      </c>
      <c r="AM1200" t="str">
        <f t="shared" si="263"/>
        <v>No</v>
      </c>
      <c r="AN1200" t="str">
        <f t="shared" si="264"/>
        <v>Elective</v>
      </c>
      <c r="AO1200" t="str">
        <f t="shared" si="265"/>
        <v>HDU</v>
      </c>
    </row>
    <row r="1201" spans="1:41" x14ac:dyDescent="0.3">
      <c r="A1201" s="21" t="str">
        <f t="shared" si="258"/>
        <v>UHID-01200</v>
      </c>
      <c r="B1201" s="18">
        <v>58</v>
      </c>
      <c r="C1201" s="10" t="s">
        <v>18</v>
      </c>
      <c r="D1201" s="13" t="s">
        <v>26</v>
      </c>
      <c r="E1201" s="13" t="s">
        <v>11</v>
      </c>
      <c r="F1201" s="15">
        <v>46178.366159085599</v>
      </c>
      <c r="G1201" s="4">
        <v>46178</v>
      </c>
      <c r="H1201" s="1">
        <v>46178.7409667014</v>
      </c>
      <c r="I1201" s="22">
        <v>46178</v>
      </c>
      <c r="J1201" s="24">
        <f t="shared" si="252"/>
        <v>46178.438435077267</v>
      </c>
      <c r="K1201" s="24">
        <f t="shared" si="253"/>
        <v>0.74096670139988419</v>
      </c>
      <c r="L1201" s="29">
        <f t="shared" si="259"/>
        <v>46177</v>
      </c>
      <c r="M1201" s="27" t="str">
        <f t="shared" si="254"/>
        <v>Health Deterioration/TPA Approval Delay</v>
      </c>
      <c r="N1201" s="31">
        <f t="shared" si="255"/>
        <v>0</v>
      </c>
      <c r="O1201" s="27"/>
      <c r="Q1201" s="8">
        <v>0.72663114463125245</v>
      </c>
      <c r="R1201" s="8" t="str">
        <f t="shared" si="256"/>
        <v>Critical Delay</v>
      </c>
      <c r="S1201" s="33">
        <v>3.2607589792532372</v>
      </c>
      <c r="T1201" t="s">
        <v>31</v>
      </c>
      <c r="U1201" s="3">
        <v>4</v>
      </c>
      <c r="V1201" s="3" t="str">
        <f t="shared" si="260"/>
        <v>Normal</v>
      </c>
      <c r="W1201" s="3" t="s">
        <v>50</v>
      </c>
      <c r="X1201" s="32">
        <f t="shared" si="257"/>
        <v>0.30253162413282553</v>
      </c>
      <c r="Z1201" s="38">
        <f t="shared" si="261"/>
        <v>0.17753162413282553</v>
      </c>
      <c r="AC1201" s="36">
        <v>0.125</v>
      </c>
      <c r="AL1201" t="str">
        <f t="shared" si="262"/>
        <v>Health Deterioration/TPA Approval Delay</v>
      </c>
      <c r="AM1201" t="str">
        <f t="shared" si="263"/>
        <v>No</v>
      </c>
      <c r="AN1201" t="str">
        <f t="shared" si="264"/>
        <v>Emergency</v>
      </c>
      <c r="AO1201" t="str">
        <f t="shared" si="265"/>
        <v>General Ward</v>
      </c>
    </row>
    <row r="1202" spans="1:41" x14ac:dyDescent="0.3">
      <c r="A1202" s="21" t="str">
        <f t="shared" si="258"/>
        <v>UHID-01201</v>
      </c>
      <c r="B1202" s="18">
        <v>35</v>
      </c>
      <c r="C1202" s="10" t="s">
        <v>17</v>
      </c>
      <c r="D1202" s="13" t="s">
        <v>27</v>
      </c>
      <c r="E1202" s="13" t="s">
        <v>11</v>
      </c>
      <c r="F1202" s="15">
        <v>46178.478351805599</v>
      </c>
      <c r="G1202" s="4">
        <v>46178</v>
      </c>
      <c r="H1202" s="1">
        <v>46178.739692291703</v>
      </c>
      <c r="I1202" s="22">
        <v>46178</v>
      </c>
      <c r="J1202" s="24">
        <f t="shared" si="252"/>
        <v>46178.608984499588</v>
      </c>
      <c r="K1202" s="24">
        <f t="shared" si="253"/>
        <v>0.73969229170324979</v>
      </c>
      <c r="L1202" s="29">
        <f t="shared" si="259"/>
        <v>46177</v>
      </c>
      <c r="M1202" s="27" t="str">
        <f t="shared" si="254"/>
        <v>Medication Change</v>
      </c>
      <c r="N1202" s="31">
        <f t="shared" si="255"/>
        <v>0</v>
      </c>
      <c r="O1202" s="27"/>
      <c r="Q1202" s="8">
        <v>0.10730494557154113</v>
      </c>
      <c r="R1202" s="8" t="str">
        <f t="shared" si="256"/>
        <v>Major Delay</v>
      </c>
      <c r="S1202" s="33">
        <v>1.1369870107912958</v>
      </c>
      <c r="T1202" t="s">
        <v>30</v>
      </c>
      <c r="U1202" s="3">
        <v>2</v>
      </c>
      <c r="V1202" s="3" t="str">
        <f t="shared" si="260"/>
        <v/>
      </c>
      <c r="W1202" s="3" t="s">
        <v>50</v>
      </c>
      <c r="X1202" s="32">
        <f t="shared" si="257"/>
        <v>0.13070779211557237</v>
      </c>
      <c r="Z1202" s="38">
        <f t="shared" si="261"/>
        <v>5.7077921155723743E-3</v>
      </c>
      <c r="AC1202" s="36">
        <v>0.125</v>
      </c>
      <c r="AL1202" t="str">
        <f t="shared" si="262"/>
        <v>Medication Change</v>
      </c>
      <c r="AM1202" t="str">
        <f t="shared" si="263"/>
        <v>No</v>
      </c>
      <c r="AN1202" t="str">
        <f t="shared" si="264"/>
        <v>Elective</v>
      </c>
      <c r="AO1202" t="str">
        <f t="shared" si="265"/>
        <v>General Ward</v>
      </c>
    </row>
    <row r="1203" spans="1:41" x14ac:dyDescent="0.3">
      <c r="A1203" s="21" t="str">
        <f t="shared" si="258"/>
        <v>UHID-01202</v>
      </c>
      <c r="B1203" s="18">
        <v>57</v>
      </c>
      <c r="C1203" s="10" t="s">
        <v>18</v>
      </c>
      <c r="D1203" s="13" t="s">
        <v>26</v>
      </c>
      <c r="E1203" s="13" t="s">
        <v>11</v>
      </c>
      <c r="F1203" s="15">
        <v>46178.335462106501</v>
      </c>
      <c r="G1203" s="4">
        <v>46178</v>
      </c>
      <c r="H1203" s="1">
        <v>46179.364308495402</v>
      </c>
      <c r="I1203" s="22">
        <v>46179</v>
      </c>
      <c r="J1203" s="24">
        <f t="shared" si="252"/>
        <v>46179.228828055675</v>
      </c>
      <c r="K1203" s="24">
        <f t="shared" si="253"/>
        <v>0.36430849540192867</v>
      </c>
      <c r="L1203" s="29">
        <f t="shared" si="259"/>
        <v>46178</v>
      </c>
      <c r="M1203" s="27" t="str">
        <f t="shared" si="254"/>
        <v>TPA Approval Delay</v>
      </c>
      <c r="N1203" s="31">
        <f t="shared" si="255"/>
        <v>1</v>
      </c>
      <c r="O1203" s="27"/>
      <c r="Q1203" s="8">
        <v>0.77879257447174177</v>
      </c>
      <c r="R1203" s="8" t="str">
        <f t="shared" si="256"/>
        <v>Major Delay</v>
      </c>
      <c r="S1203" s="33">
        <v>3.2515305534757437</v>
      </c>
      <c r="T1203" t="s">
        <v>31</v>
      </c>
      <c r="U1203" s="3">
        <v>0</v>
      </c>
      <c r="V1203" s="3" t="str">
        <f t="shared" si="260"/>
        <v>Normal</v>
      </c>
      <c r="W1203" s="3" t="s">
        <v>51</v>
      </c>
      <c r="X1203" s="32">
        <f t="shared" si="257"/>
        <v>0.13548043972696178</v>
      </c>
      <c r="Z1203" s="38">
        <f t="shared" si="261"/>
        <v>1.0480439726961777E-2</v>
      </c>
      <c r="AC1203" s="36">
        <v>0.125</v>
      </c>
      <c r="AL1203" t="str">
        <f t="shared" si="262"/>
        <v>TPA Approval Delay</v>
      </c>
      <c r="AM1203" t="str">
        <f t="shared" si="263"/>
        <v>No</v>
      </c>
      <c r="AN1203" t="str">
        <f t="shared" si="264"/>
        <v>Elective</v>
      </c>
      <c r="AO1203" t="str">
        <f t="shared" si="265"/>
        <v>General Ward</v>
      </c>
    </row>
    <row r="1204" spans="1:41" x14ac:dyDescent="0.3">
      <c r="A1204" s="21" t="str">
        <f t="shared" si="258"/>
        <v>UHID-01203</v>
      </c>
      <c r="B1204" s="18">
        <v>50</v>
      </c>
      <c r="C1204" s="10" t="s">
        <v>18</v>
      </c>
      <c r="D1204" s="13" t="s">
        <v>27</v>
      </c>
      <c r="E1204" s="13" t="s">
        <v>11</v>
      </c>
      <c r="F1204" s="15">
        <v>46179.4504212963</v>
      </c>
      <c r="G1204" s="4">
        <v>46179</v>
      </c>
      <c r="H1204" s="1">
        <v>46179.6646967708</v>
      </c>
      <c r="I1204" s="22">
        <v>46179</v>
      </c>
      <c r="J1204" s="24">
        <f t="shared" si="252"/>
        <v>46179.614422243423</v>
      </c>
      <c r="K1204" s="24">
        <f t="shared" si="253"/>
        <v>0.66469677080021938</v>
      </c>
      <c r="L1204" s="29">
        <f t="shared" si="259"/>
        <v>46178</v>
      </c>
      <c r="M1204" s="27" t="str">
        <f t="shared" si="254"/>
        <v>Normal</v>
      </c>
      <c r="N1204" s="31">
        <f t="shared" si="255"/>
        <v>0</v>
      </c>
      <c r="O1204" s="27"/>
      <c r="Q1204" s="8">
        <v>0.4325189465302437</v>
      </c>
      <c r="R1204" s="8" t="str">
        <f t="shared" si="256"/>
        <v>On Time</v>
      </c>
      <c r="S1204" s="33">
        <v>1.2065886569836912</v>
      </c>
      <c r="T1204" t="s">
        <v>31</v>
      </c>
      <c r="U1204" s="3">
        <v>0</v>
      </c>
      <c r="V1204" s="3" t="str">
        <f t="shared" si="260"/>
        <v>Normal</v>
      </c>
      <c r="W1204" s="3" t="s">
        <v>51</v>
      </c>
      <c r="X1204" s="32">
        <f t="shared" si="257"/>
        <v>5.0274527377041522E-2</v>
      </c>
      <c r="Z1204" s="38">
        <f t="shared" si="261"/>
        <v>0</v>
      </c>
      <c r="AC1204" s="36">
        <v>0.125</v>
      </c>
      <c r="AL1204" t="str">
        <f t="shared" si="262"/>
        <v>Normal</v>
      </c>
      <c r="AM1204" t="str">
        <f t="shared" si="263"/>
        <v>No</v>
      </c>
      <c r="AN1204" t="str">
        <f t="shared" si="264"/>
        <v>Elective</v>
      </c>
      <c r="AO1204" t="str">
        <f t="shared" si="265"/>
        <v>General Ward</v>
      </c>
    </row>
    <row r="1205" spans="1:41" x14ac:dyDescent="0.3">
      <c r="A1205" s="21" t="str">
        <f t="shared" si="258"/>
        <v>UHID-01204</v>
      </c>
      <c r="B1205" s="18">
        <v>39</v>
      </c>
      <c r="C1205" s="10" t="s">
        <v>18</v>
      </c>
      <c r="D1205" s="13" t="s">
        <v>27</v>
      </c>
      <c r="E1205" s="13" t="s">
        <v>11</v>
      </c>
      <c r="F1205" s="15">
        <v>46174.704983298601</v>
      </c>
      <c r="G1205" s="4">
        <v>46174</v>
      </c>
      <c r="H1205" s="1">
        <v>46179.4304086458</v>
      </c>
      <c r="I1205" s="22">
        <v>46179</v>
      </c>
      <c r="J1205" s="24">
        <f t="shared" si="252"/>
        <v>46179.382809470713</v>
      </c>
      <c r="K1205" s="24">
        <f t="shared" si="253"/>
        <v>0.43040864579961635</v>
      </c>
      <c r="L1205" s="29">
        <f t="shared" si="259"/>
        <v>46178</v>
      </c>
      <c r="M1205" s="27" t="str">
        <f t="shared" si="254"/>
        <v>Normal</v>
      </c>
      <c r="N1205" s="31">
        <f t="shared" si="255"/>
        <v>5</v>
      </c>
      <c r="O1205" s="27"/>
      <c r="Q1205" s="8">
        <v>0.13504889113150775</v>
      </c>
      <c r="R1205" s="8" t="str">
        <f t="shared" si="256"/>
        <v>On Time</v>
      </c>
      <c r="S1205" s="33">
        <v>1.1423802020616263</v>
      </c>
      <c r="T1205" t="s">
        <v>30</v>
      </c>
      <c r="U1205" s="3">
        <v>0</v>
      </c>
      <c r="V1205" s="3" t="str">
        <f t="shared" si="260"/>
        <v/>
      </c>
      <c r="W1205" s="3" t="s">
        <v>51</v>
      </c>
      <c r="X1205" s="32">
        <f t="shared" si="257"/>
        <v>4.7599175086361356E-2</v>
      </c>
      <c r="Z1205" s="38">
        <f t="shared" si="261"/>
        <v>0</v>
      </c>
      <c r="AC1205" s="36">
        <v>0.125</v>
      </c>
      <c r="AL1205" t="str">
        <f t="shared" si="262"/>
        <v>Normal</v>
      </c>
      <c r="AM1205" t="str">
        <f t="shared" si="263"/>
        <v>No</v>
      </c>
      <c r="AN1205" t="str">
        <f t="shared" si="264"/>
        <v>Elective</v>
      </c>
      <c r="AO1205" t="str">
        <f t="shared" si="265"/>
        <v>HDU</v>
      </c>
    </row>
    <row r="1206" spans="1:41" x14ac:dyDescent="0.3">
      <c r="A1206" s="21" t="str">
        <f t="shared" si="258"/>
        <v>UHID-01205</v>
      </c>
      <c r="B1206" s="18">
        <v>45</v>
      </c>
      <c r="C1206" s="10" t="s">
        <v>18</v>
      </c>
      <c r="D1206" s="13" t="s">
        <v>28</v>
      </c>
      <c r="E1206" s="13" t="s">
        <v>11</v>
      </c>
      <c r="F1206" s="15">
        <v>46179.397921493102</v>
      </c>
      <c r="G1206" s="4">
        <v>46179</v>
      </c>
      <c r="H1206" s="1">
        <v>46179.724413333301</v>
      </c>
      <c r="I1206" s="22">
        <v>46179</v>
      </c>
      <c r="J1206" s="24">
        <f t="shared" si="252"/>
        <v>46179.630822687883</v>
      </c>
      <c r="K1206" s="24">
        <f t="shared" si="253"/>
        <v>0.72441333330061752</v>
      </c>
      <c r="L1206" s="29">
        <f t="shared" si="259"/>
        <v>46178</v>
      </c>
      <c r="M1206" s="27" t="str">
        <f t="shared" si="254"/>
        <v>Doctor Round Delay/Report Delay</v>
      </c>
      <c r="N1206" s="31">
        <f t="shared" si="255"/>
        <v>0</v>
      </c>
      <c r="O1206" s="27"/>
      <c r="Q1206" s="8">
        <v>0.97516207884400019</v>
      </c>
      <c r="R1206" s="8" t="str">
        <f t="shared" si="256"/>
        <v>Minor Delay</v>
      </c>
      <c r="S1206" s="33">
        <v>2.2461754900994881</v>
      </c>
      <c r="T1206" t="s">
        <v>31</v>
      </c>
      <c r="U1206" s="3">
        <v>0</v>
      </c>
      <c r="V1206" s="3" t="str">
        <f t="shared" si="260"/>
        <v>Normal</v>
      </c>
      <c r="W1206" s="3" t="s">
        <v>51</v>
      </c>
      <c r="X1206" s="32">
        <f t="shared" si="257"/>
        <v>9.3590645417862106E-2</v>
      </c>
      <c r="Z1206" s="38">
        <f t="shared" si="261"/>
        <v>0</v>
      </c>
      <c r="AC1206" s="36">
        <v>0.125</v>
      </c>
      <c r="AL1206" t="str">
        <f t="shared" si="262"/>
        <v>Doctor Round Delay/Report Delay</v>
      </c>
      <c r="AM1206" t="str">
        <f t="shared" si="263"/>
        <v>No</v>
      </c>
      <c r="AN1206" t="str">
        <f t="shared" si="264"/>
        <v>Emergency</v>
      </c>
      <c r="AO1206" t="str">
        <f t="shared" si="265"/>
        <v>General Ward</v>
      </c>
    </row>
    <row r="1207" spans="1:41" x14ac:dyDescent="0.3">
      <c r="A1207" s="21" t="str">
        <f t="shared" si="258"/>
        <v>UHID-01206</v>
      </c>
      <c r="B1207" s="18">
        <v>0</v>
      </c>
      <c r="C1207" s="10" t="s">
        <v>18</v>
      </c>
      <c r="D1207" s="13" t="s">
        <v>27</v>
      </c>
      <c r="E1207" s="13" t="s">
        <v>11</v>
      </c>
      <c r="F1207" s="15">
        <v>46177.678021898202</v>
      </c>
      <c r="G1207" s="4">
        <v>46177</v>
      </c>
      <c r="H1207" s="1">
        <v>46179.679903518503</v>
      </c>
      <c r="I1207" s="22">
        <v>46179</v>
      </c>
      <c r="J1207" s="24">
        <f t="shared" si="252"/>
        <v>46179.483752244865</v>
      </c>
      <c r="K1207" s="24">
        <f t="shared" si="253"/>
        <v>0.67990351850312436</v>
      </c>
      <c r="L1207" s="29">
        <f t="shared" si="259"/>
        <v>46178</v>
      </c>
      <c r="M1207" s="27" t="str">
        <f t="shared" si="254"/>
        <v>Medication Change</v>
      </c>
      <c r="N1207" s="31">
        <f t="shared" si="255"/>
        <v>2</v>
      </c>
      <c r="O1207" s="27"/>
      <c r="Q1207" s="8">
        <v>0.42536037225436119</v>
      </c>
      <c r="R1207" s="8" t="str">
        <f t="shared" si="256"/>
        <v>Major Delay</v>
      </c>
      <c r="S1207" s="33">
        <v>1.7076305672927736</v>
      </c>
      <c r="T1207" t="s">
        <v>31</v>
      </c>
      <c r="U1207" s="3">
        <v>3</v>
      </c>
      <c r="V1207" s="3" t="str">
        <f t="shared" si="260"/>
        <v>Normal</v>
      </c>
      <c r="W1207" s="3" t="s">
        <v>50</v>
      </c>
      <c r="X1207" s="32">
        <f t="shared" si="257"/>
        <v>0.19615127363795182</v>
      </c>
      <c r="Z1207" s="38">
        <f t="shared" si="261"/>
        <v>7.1151273637951817E-2</v>
      </c>
      <c r="AC1207" s="36">
        <v>0.125</v>
      </c>
      <c r="AL1207" t="str">
        <f t="shared" si="262"/>
        <v>Medication Change</v>
      </c>
      <c r="AM1207" t="str">
        <f t="shared" si="263"/>
        <v>No</v>
      </c>
      <c r="AN1207" t="str">
        <f t="shared" si="264"/>
        <v>Elective</v>
      </c>
      <c r="AO1207" t="str">
        <f t="shared" si="265"/>
        <v>General Ward</v>
      </c>
    </row>
    <row r="1208" spans="1:41" x14ac:dyDescent="0.3">
      <c r="A1208" s="21" t="str">
        <f t="shared" si="258"/>
        <v>UHID-01207</v>
      </c>
      <c r="B1208" s="18">
        <v>31</v>
      </c>
      <c r="C1208" s="10" t="s">
        <v>18</v>
      </c>
      <c r="D1208" s="13" t="s">
        <v>27</v>
      </c>
      <c r="E1208" s="13" t="s">
        <v>11</v>
      </c>
      <c r="F1208" s="15">
        <v>46177.736544108797</v>
      </c>
      <c r="G1208" s="4">
        <v>46177</v>
      </c>
      <c r="H1208" s="1">
        <v>46179.641029317099</v>
      </c>
      <c r="I1208" s="22">
        <v>46179</v>
      </c>
      <c r="J1208" s="24">
        <f t="shared" si="252"/>
        <v>46179.504512225059</v>
      </c>
      <c r="K1208" s="24">
        <f t="shared" si="253"/>
        <v>0.64102931709930999</v>
      </c>
      <c r="L1208" s="29">
        <f t="shared" si="259"/>
        <v>46178</v>
      </c>
      <c r="M1208" s="27" t="str">
        <f t="shared" si="254"/>
        <v>Medication Change</v>
      </c>
      <c r="N1208" s="31">
        <f t="shared" si="255"/>
        <v>2</v>
      </c>
      <c r="O1208" s="27"/>
      <c r="Q1208" s="8">
        <v>0.29624002235333491</v>
      </c>
      <c r="R1208" s="8" t="str">
        <f t="shared" si="256"/>
        <v>Major Delay</v>
      </c>
      <c r="S1208" s="33">
        <v>1.2764102090404421</v>
      </c>
      <c r="T1208" t="s">
        <v>30</v>
      </c>
      <c r="U1208" s="3">
        <v>2</v>
      </c>
      <c r="V1208" s="3" t="str">
        <f t="shared" si="260"/>
        <v/>
      </c>
      <c r="W1208" s="3" t="s">
        <v>50</v>
      </c>
      <c r="X1208" s="32">
        <f t="shared" si="257"/>
        <v>0.13651709203986684</v>
      </c>
      <c r="Z1208" s="38">
        <f t="shared" si="261"/>
        <v>1.1517092039866839E-2</v>
      </c>
      <c r="AC1208" s="36">
        <v>0.125</v>
      </c>
      <c r="AL1208" t="str">
        <f t="shared" si="262"/>
        <v>Medication Change</v>
      </c>
      <c r="AM1208" t="str">
        <f t="shared" si="263"/>
        <v>No</v>
      </c>
      <c r="AN1208" t="str">
        <f t="shared" si="264"/>
        <v>Elective</v>
      </c>
      <c r="AO1208" t="str">
        <f t="shared" si="265"/>
        <v>General Ward</v>
      </c>
    </row>
    <row r="1209" spans="1:41" x14ac:dyDescent="0.3">
      <c r="A1209" s="21" t="str">
        <f t="shared" si="258"/>
        <v>UHID-01208</v>
      </c>
      <c r="B1209" s="18">
        <v>73</v>
      </c>
      <c r="C1209" s="10" t="s">
        <v>18</v>
      </c>
      <c r="D1209" s="13" t="s">
        <v>26</v>
      </c>
      <c r="E1209" s="13" t="s">
        <v>11</v>
      </c>
      <c r="F1209" s="15">
        <v>46179.391766990702</v>
      </c>
      <c r="G1209" s="4">
        <v>46179</v>
      </c>
      <c r="H1209" s="1">
        <v>46179.641055115702</v>
      </c>
      <c r="I1209" s="22">
        <v>46179</v>
      </c>
      <c r="J1209" s="24">
        <f t="shared" si="252"/>
        <v>46179.429264745144</v>
      </c>
      <c r="K1209" s="24">
        <f t="shared" si="253"/>
        <v>0.6410551157023292</v>
      </c>
      <c r="L1209" s="29">
        <f t="shared" si="259"/>
        <v>46178</v>
      </c>
      <c r="M1209" s="27" t="str">
        <f t="shared" si="254"/>
        <v>Health Deterioration/TPA Approval Delay</v>
      </c>
      <c r="N1209" s="31">
        <f t="shared" si="255"/>
        <v>0</v>
      </c>
      <c r="O1209" s="27"/>
      <c r="Q1209" s="8">
        <v>0.67805519815121507</v>
      </c>
      <c r="R1209" s="8" t="str">
        <f t="shared" si="256"/>
        <v>Critical Delay</v>
      </c>
      <c r="S1209" s="33">
        <v>3.0829688934804569</v>
      </c>
      <c r="T1209" t="s">
        <v>31</v>
      </c>
      <c r="U1209" s="3">
        <v>2</v>
      </c>
      <c r="V1209" s="3" t="str">
        <f t="shared" si="260"/>
        <v>Normal</v>
      </c>
      <c r="W1209" s="3" t="s">
        <v>50</v>
      </c>
      <c r="X1209" s="32">
        <f t="shared" si="257"/>
        <v>0.21179037055844674</v>
      </c>
      <c r="Z1209" s="38">
        <f t="shared" si="261"/>
        <v>8.6790370558446739E-2</v>
      </c>
      <c r="AC1209" s="36">
        <v>0.125</v>
      </c>
      <c r="AL1209" t="str">
        <f t="shared" si="262"/>
        <v>Health Deterioration/TPA Approval Delay</v>
      </c>
      <c r="AM1209" t="str">
        <f t="shared" si="263"/>
        <v>Yes</v>
      </c>
      <c r="AN1209" t="str">
        <f t="shared" si="264"/>
        <v>Emergency</v>
      </c>
      <c r="AO1209" t="str">
        <f t="shared" si="265"/>
        <v>General Ward</v>
      </c>
    </row>
    <row r="1210" spans="1:41" x14ac:dyDescent="0.3">
      <c r="A1210" s="21" t="str">
        <f t="shared" si="258"/>
        <v>UHID-01209</v>
      </c>
      <c r="B1210" s="18">
        <v>38</v>
      </c>
      <c r="C1210" s="10" t="s">
        <v>18</v>
      </c>
      <c r="D1210" s="13" t="s">
        <v>27</v>
      </c>
      <c r="E1210" s="13" t="s">
        <v>11</v>
      </c>
      <c r="F1210" s="15">
        <v>46179.4657755671</v>
      </c>
      <c r="G1210" s="4">
        <v>46179</v>
      </c>
      <c r="H1210" s="1">
        <v>46179.703232696796</v>
      </c>
      <c r="I1210" s="22">
        <v>46179</v>
      </c>
      <c r="J1210" s="24">
        <f t="shared" si="252"/>
        <v>46179.457159697908</v>
      </c>
      <c r="K1210" s="24">
        <f t="shared" si="253"/>
        <v>0.70323269679647638</v>
      </c>
      <c r="L1210" s="29">
        <f t="shared" si="259"/>
        <v>46178</v>
      </c>
      <c r="M1210" s="27" t="str">
        <f t="shared" si="254"/>
        <v>Health Deterioration</v>
      </c>
      <c r="N1210" s="31">
        <f t="shared" si="255"/>
        <v>0</v>
      </c>
      <c r="O1210" s="27"/>
      <c r="Q1210" s="8">
        <v>0.28570157795392326</v>
      </c>
      <c r="R1210" s="8" t="str">
        <f t="shared" si="256"/>
        <v>Critical Delay</v>
      </c>
      <c r="S1210" s="33">
        <v>1.9057519733207284</v>
      </c>
      <c r="T1210" t="s">
        <v>30</v>
      </c>
      <c r="U1210" s="3">
        <v>4</v>
      </c>
      <c r="V1210" s="3" t="str">
        <f t="shared" si="260"/>
        <v/>
      </c>
      <c r="W1210" s="3" t="s">
        <v>50</v>
      </c>
      <c r="X1210" s="32">
        <f t="shared" si="257"/>
        <v>0.24607299888884882</v>
      </c>
      <c r="Z1210" s="38">
        <f t="shared" si="261"/>
        <v>0.12107299888884882</v>
      </c>
      <c r="AC1210" s="36">
        <v>0.125</v>
      </c>
      <c r="AL1210" t="str">
        <f t="shared" si="262"/>
        <v>Health Deterioration</v>
      </c>
      <c r="AM1210" t="str">
        <f t="shared" si="263"/>
        <v>No</v>
      </c>
      <c r="AN1210" t="str">
        <f t="shared" si="264"/>
        <v>Emergency</v>
      </c>
      <c r="AO1210" t="str">
        <f t="shared" si="265"/>
        <v>General Ward</v>
      </c>
    </row>
    <row r="1211" spans="1:41" x14ac:dyDescent="0.3">
      <c r="A1211" s="21" t="str">
        <f t="shared" si="258"/>
        <v>UHID-01210</v>
      </c>
      <c r="B1211" s="18">
        <v>48</v>
      </c>
      <c r="C1211" s="10" t="s">
        <v>18</v>
      </c>
      <c r="D1211" s="13" t="s">
        <v>26</v>
      </c>
      <c r="E1211" s="13" t="s">
        <v>11</v>
      </c>
      <c r="F1211" s="15">
        <v>46179.373252592603</v>
      </c>
      <c r="G1211" s="4">
        <v>46179</v>
      </c>
      <c r="H1211" s="1">
        <v>46179.756307476899</v>
      </c>
      <c r="I1211" s="22">
        <v>46179</v>
      </c>
      <c r="J1211" s="24">
        <f t="shared" si="252"/>
        <v>46179.611381651783</v>
      </c>
      <c r="K1211" s="24">
        <f t="shared" si="253"/>
        <v>0.7563074768986553</v>
      </c>
      <c r="L1211" s="29">
        <f t="shared" si="259"/>
        <v>46178</v>
      </c>
      <c r="M1211" s="27" t="str">
        <f t="shared" si="254"/>
        <v>TPA Approval Delay</v>
      </c>
      <c r="N1211" s="31">
        <f t="shared" si="255"/>
        <v>0</v>
      </c>
      <c r="O1211" s="27"/>
      <c r="Q1211" s="8">
        <v>0.50571328608141308</v>
      </c>
      <c r="R1211" s="8" t="str">
        <f t="shared" si="256"/>
        <v>Major Delay</v>
      </c>
      <c r="S1211" s="33">
        <v>3.4782198027357802</v>
      </c>
      <c r="T1211" t="s">
        <v>31</v>
      </c>
      <c r="U1211" s="3">
        <v>0</v>
      </c>
      <c r="V1211" s="3" t="str">
        <f t="shared" si="260"/>
        <v>Normal</v>
      </c>
      <c r="W1211" s="3" t="s">
        <v>51</v>
      </c>
      <c r="X1211" s="32">
        <f t="shared" si="257"/>
        <v>0.14492582511593355</v>
      </c>
      <c r="Z1211" s="38">
        <f t="shared" si="261"/>
        <v>1.9925825115933549E-2</v>
      </c>
      <c r="AC1211" s="36">
        <v>0.125</v>
      </c>
      <c r="AL1211" t="str">
        <f t="shared" si="262"/>
        <v>TPA Approval Delay</v>
      </c>
      <c r="AM1211" t="str">
        <f t="shared" si="263"/>
        <v>No</v>
      </c>
      <c r="AN1211" t="str">
        <f t="shared" si="264"/>
        <v>Elective</v>
      </c>
      <c r="AO1211" t="str">
        <f t="shared" si="265"/>
        <v>General Ward</v>
      </c>
    </row>
    <row r="1212" spans="1:41" x14ac:dyDescent="0.3">
      <c r="A1212" s="21" t="str">
        <f t="shared" si="258"/>
        <v>UHID-01211</v>
      </c>
      <c r="B1212" s="18">
        <v>10</v>
      </c>
      <c r="C1212" s="10" t="s">
        <v>18</v>
      </c>
      <c r="D1212" s="13" t="s">
        <v>27</v>
      </c>
      <c r="E1212" s="13" t="s">
        <v>11</v>
      </c>
      <c r="F1212" s="15">
        <v>46179.380744872702</v>
      </c>
      <c r="G1212" s="4">
        <v>46179</v>
      </c>
      <c r="H1212" s="1">
        <v>46179.7252148958</v>
      </c>
      <c r="I1212" s="22">
        <v>46179</v>
      </c>
      <c r="J1212" s="24">
        <f t="shared" si="252"/>
        <v>46179.644445514808</v>
      </c>
      <c r="K1212" s="24">
        <f t="shared" si="253"/>
        <v>0.72521489579958143</v>
      </c>
      <c r="L1212" s="29">
        <f t="shared" si="259"/>
        <v>46178</v>
      </c>
      <c r="M1212" s="27" t="str">
        <f t="shared" si="254"/>
        <v>Normal</v>
      </c>
      <c r="N1212" s="31">
        <f t="shared" si="255"/>
        <v>0</v>
      </c>
      <c r="O1212" s="27"/>
      <c r="Q1212" s="8">
        <v>0.25369326271122661</v>
      </c>
      <c r="R1212" s="8" t="str">
        <f t="shared" si="256"/>
        <v>On Time</v>
      </c>
      <c r="S1212" s="33">
        <v>1.9384651438372229</v>
      </c>
      <c r="T1212" t="s">
        <v>30</v>
      </c>
      <c r="U1212" s="3">
        <v>0</v>
      </c>
      <c r="V1212" s="3" t="str">
        <f t="shared" si="260"/>
        <v/>
      </c>
      <c r="W1212" s="3" t="s">
        <v>51</v>
      </c>
      <c r="X1212" s="32">
        <f t="shared" si="257"/>
        <v>8.0769380991114303E-2</v>
      </c>
      <c r="Z1212" s="38">
        <f t="shared" si="261"/>
        <v>0</v>
      </c>
      <c r="AC1212" s="36">
        <v>0.125</v>
      </c>
      <c r="AL1212" t="str">
        <f t="shared" si="262"/>
        <v>Normal</v>
      </c>
      <c r="AM1212" t="str">
        <f t="shared" si="263"/>
        <v>No</v>
      </c>
      <c r="AN1212" t="str">
        <f t="shared" si="264"/>
        <v>Elective</v>
      </c>
      <c r="AO1212" t="str">
        <f t="shared" si="265"/>
        <v>General Ward</v>
      </c>
    </row>
    <row r="1213" spans="1:41" x14ac:dyDescent="0.3">
      <c r="A1213" s="21" t="str">
        <f t="shared" si="258"/>
        <v>UHID-01212</v>
      </c>
      <c r="B1213" s="18">
        <v>65</v>
      </c>
      <c r="C1213" s="10" t="s">
        <v>17</v>
      </c>
      <c r="D1213" s="13" t="s">
        <v>26</v>
      </c>
      <c r="E1213" s="13" t="s">
        <v>11</v>
      </c>
      <c r="F1213" s="15">
        <v>46179.530046620399</v>
      </c>
      <c r="G1213" s="4">
        <v>46179</v>
      </c>
      <c r="H1213" s="1">
        <v>46179.798034791696</v>
      </c>
      <c r="I1213" s="22">
        <v>46179</v>
      </c>
      <c r="J1213" s="24">
        <f t="shared" si="252"/>
        <v>46179.634191923527</v>
      </c>
      <c r="K1213" s="24">
        <f t="shared" si="253"/>
        <v>0.79803479169640923</v>
      </c>
      <c r="L1213" s="29">
        <f t="shared" si="259"/>
        <v>46178</v>
      </c>
      <c r="M1213" s="27" t="str">
        <f t="shared" si="254"/>
        <v>TPA Approval Delay</v>
      </c>
      <c r="N1213" s="31">
        <f t="shared" si="255"/>
        <v>0</v>
      </c>
      <c r="O1213" s="27"/>
      <c r="Q1213" s="8">
        <v>0.52746274896734091</v>
      </c>
      <c r="R1213" s="8" t="str">
        <f t="shared" si="256"/>
        <v>Major Delay</v>
      </c>
      <c r="S1213" s="33">
        <v>3.9322288360997728</v>
      </c>
      <c r="T1213" t="s">
        <v>31</v>
      </c>
      <c r="U1213" s="3">
        <v>0</v>
      </c>
      <c r="V1213" s="3" t="str">
        <f t="shared" si="260"/>
        <v>Normal</v>
      </c>
      <c r="W1213" s="3" t="s">
        <v>51</v>
      </c>
      <c r="X1213" s="32">
        <f t="shared" si="257"/>
        <v>0.16384286816901295</v>
      </c>
      <c r="Z1213" s="38">
        <f t="shared" si="261"/>
        <v>3.8842868169012945E-2</v>
      </c>
      <c r="AC1213" s="36">
        <v>0.125</v>
      </c>
      <c r="AL1213" t="str">
        <f t="shared" si="262"/>
        <v>TPA Approval Delay</v>
      </c>
      <c r="AM1213" t="str">
        <f t="shared" si="263"/>
        <v>No</v>
      </c>
      <c r="AN1213" t="str">
        <f t="shared" si="264"/>
        <v>Elective</v>
      </c>
      <c r="AO1213" t="str">
        <f t="shared" si="265"/>
        <v>General Ward</v>
      </c>
    </row>
    <row r="1214" spans="1:41" x14ac:dyDescent="0.3">
      <c r="A1214" s="21" t="str">
        <f t="shared" si="258"/>
        <v>UHID-01213</v>
      </c>
      <c r="B1214" s="18">
        <v>29</v>
      </c>
      <c r="C1214" s="10" t="s">
        <v>18</v>
      </c>
      <c r="D1214" s="13" t="s">
        <v>27</v>
      </c>
      <c r="E1214" s="13" t="s">
        <v>11</v>
      </c>
      <c r="F1214" s="15">
        <v>46178.8192420255</v>
      </c>
      <c r="G1214" s="4">
        <v>46178</v>
      </c>
      <c r="H1214" s="1">
        <v>46181.527696585603</v>
      </c>
      <c r="I1214" s="22">
        <v>46181</v>
      </c>
      <c r="J1214" s="24">
        <f t="shared" si="252"/>
        <v>46181.484552110909</v>
      </c>
      <c r="K1214" s="24">
        <f t="shared" si="253"/>
        <v>0.52769658560282551</v>
      </c>
      <c r="L1214" s="29">
        <f t="shared" si="259"/>
        <v>46180</v>
      </c>
      <c r="M1214" s="27" t="str">
        <f t="shared" si="254"/>
        <v>Normal</v>
      </c>
      <c r="N1214" s="31">
        <f t="shared" si="255"/>
        <v>3</v>
      </c>
      <c r="O1214" s="27"/>
      <c r="Q1214" s="8">
        <v>9.8125358826300357E-2</v>
      </c>
      <c r="R1214" s="8" t="str">
        <f t="shared" si="256"/>
        <v>On Time</v>
      </c>
      <c r="S1214" s="33">
        <v>1.0354673925647746</v>
      </c>
      <c r="T1214" t="s">
        <v>30</v>
      </c>
      <c r="U1214" s="3">
        <v>0</v>
      </c>
      <c r="V1214" s="3" t="str">
        <f t="shared" si="260"/>
        <v/>
      </c>
      <c r="W1214" s="3" t="s">
        <v>51</v>
      </c>
      <c r="X1214" s="32">
        <f t="shared" si="257"/>
        <v>4.3144474693690427E-2</v>
      </c>
      <c r="Z1214" s="38">
        <f t="shared" si="261"/>
        <v>0</v>
      </c>
      <c r="AC1214" s="36">
        <v>0.125</v>
      </c>
      <c r="AL1214" t="str">
        <f t="shared" si="262"/>
        <v>Normal</v>
      </c>
      <c r="AM1214" t="str">
        <f t="shared" si="263"/>
        <v>No</v>
      </c>
      <c r="AN1214" t="str">
        <f t="shared" si="264"/>
        <v>Elective</v>
      </c>
      <c r="AO1214" t="str">
        <f t="shared" si="265"/>
        <v>General Ward</v>
      </c>
    </row>
    <row r="1215" spans="1:41" x14ac:dyDescent="0.3">
      <c r="A1215" s="21" t="str">
        <f t="shared" si="258"/>
        <v>UHID-01214</v>
      </c>
      <c r="B1215" s="18">
        <v>34</v>
      </c>
      <c r="C1215" s="10" t="s">
        <v>18</v>
      </c>
      <c r="D1215" s="13" t="s">
        <v>26</v>
      </c>
      <c r="E1215" s="13" t="s">
        <v>11</v>
      </c>
      <c r="F1215" s="15">
        <v>46181.388152939799</v>
      </c>
      <c r="G1215" s="4">
        <v>46181</v>
      </c>
      <c r="H1215" s="1">
        <v>46181.6883613889</v>
      </c>
      <c r="I1215" s="22">
        <v>46181</v>
      </c>
      <c r="J1215" s="24">
        <f t="shared" si="252"/>
        <v>46181.538453025911</v>
      </c>
      <c r="K1215" s="24">
        <f t="shared" si="253"/>
        <v>0.68836138890037546</v>
      </c>
      <c r="L1215" s="29">
        <f t="shared" si="259"/>
        <v>46180</v>
      </c>
      <c r="M1215" s="27" t="str">
        <f t="shared" si="254"/>
        <v>TPA Approval Delay</v>
      </c>
      <c r="N1215" s="31">
        <f t="shared" si="255"/>
        <v>0</v>
      </c>
      <c r="O1215" s="27"/>
      <c r="Q1215" s="8">
        <v>0.55741391675342689</v>
      </c>
      <c r="R1215" s="8" t="str">
        <f t="shared" si="256"/>
        <v>Major Delay</v>
      </c>
      <c r="S1215" s="33">
        <v>3.5978007118218009</v>
      </c>
      <c r="T1215" t="s">
        <v>31</v>
      </c>
      <c r="U1215" s="3">
        <v>0</v>
      </c>
      <c r="V1215" s="3" t="str">
        <f t="shared" si="260"/>
        <v>Normal</v>
      </c>
      <c r="W1215" s="3" t="s">
        <v>51</v>
      </c>
      <c r="X1215" s="32">
        <f t="shared" si="257"/>
        <v>0.14990836298966315</v>
      </c>
      <c r="Z1215" s="38">
        <f t="shared" si="261"/>
        <v>2.4908362989663146E-2</v>
      </c>
      <c r="AC1215" s="36">
        <v>0.125</v>
      </c>
      <c r="AL1215" t="str">
        <f t="shared" si="262"/>
        <v>TPA Approval Delay</v>
      </c>
      <c r="AM1215" t="str">
        <f t="shared" si="263"/>
        <v>No</v>
      </c>
      <c r="AN1215" t="str">
        <f t="shared" si="264"/>
        <v>Elective</v>
      </c>
      <c r="AO1215" t="str">
        <f t="shared" si="265"/>
        <v>General Ward</v>
      </c>
    </row>
    <row r="1216" spans="1:41" x14ac:dyDescent="0.3">
      <c r="A1216" s="21" t="str">
        <f t="shared" si="258"/>
        <v>UHID-01215</v>
      </c>
      <c r="B1216" s="18">
        <v>33</v>
      </c>
      <c r="C1216" s="10" t="s">
        <v>18</v>
      </c>
      <c r="D1216" s="13" t="s">
        <v>28</v>
      </c>
      <c r="E1216" s="13" t="s">
        <v>11</v>
      </c>
      <c r="F1216" s="15">
        <v>46181.442270590298</v>
      </c>
      <c r="G1216" s="4">
        <v>46181</v>
      </c>
      <c r="H1216" s="1">
        <v>46181.756721724501</v>
      </c>
      <c r="I1216" s="22">
        <v>46181</v>
      </c>
      <c r="J1216" s="24">
        <f t="shared" si="252"/>
        <v>46181.500724560989</v>
      </c>
      <c r="K1216" s="24">
        <f t="shared" si="253"/>
        <v>0.75672172450140351</v>
      </c>
      <c r="L1216" s="29">
        <f t="shared" si="259"/>
        <v>46180</v>
      </c>
      <c r="M1216" s="27" t="str">
        <f t="shared" si="254"/>
        <v>Health Deterioration</v>
      </c>
      <c r="N1216" s="31">
        <f t="shared" si="255"/>
        <v>0</v>
      </c>
      <c r="O1216" s="27"/>
      <c r="Q1216" s="8">
        <v>0.90326229791260659</v>
      </c>
      <c r="R1216" s="8" t="str">
        <f t="shared" si="256"/>
        <v>Critical Delay</v>
      </c>
      <c r="S1216" s="33">
        <v>2.1439319242326933</v>
      </c>
      <c r="T1216" t="s">
        <v>31</v>
      </c>
      <c r="U1216" s="3">
        <v>4</v>
      </c>
      <c r="V1216" s="3" t="str">
        <f t="shared" si="260"/>
        <v>Normal</v>
      </c>
      <c r="W1216" s="3" t="s">
        <v>50</v>
      </c>
      <c r="X1216" s="32">
        <f t="shared" si="257"/>
        <v>0.25599716351280222</v>
      </c>
      <c r="Z1216" s="38">
        <f t="shared" si="261"/>
        <v>0.13099716351280222</v>
      </c>
      <c r="AC1216" s="36">
        <v>0.125</v>
      </c>
      <c r="AL1216" t="str">
        <f t="shared" si="262"/>
        <v>Health Deterioration</v>
      </c>
      <c r="AM1216" t="str">
        <f t="shared" si="263"/>
        <v>No</v>
      </c>
      <c r="AN1216" t="str">
        <f t="shared" si="264"/>
        <v>Elective</v>
      </c>
      <c r="AO1216" t="str">
        <f t="shared" si="265"/>
        <v>General Ward</v>
      </c>
    </row>
    <row r="1217" spans="1:41" x14ac:dyDescent="0.3">
      <c r="A1217" s="21" t="str">
        <f t="shared" si="258"/>
        <v>UHID-01216</v>
      </c>
      <c r="B1217" s="18">
        <v>33</v>
      </c>
      <c r="C1217" s="10" t="s">
        <v>18</v>
      </c>
      <c r="D1217" s="13" t="s">
        <v>27</v>
      </c>
      <c r="E1217" s="13" t="s">
        <v>11</v>
      </c>
      <c r="F1217" s="15">
        <v>46179.953016446801</v>
      </c>
      <c r="G1217" s="4">
        <v>46179</v>
      </c>
      <c r="H1217" s="1">
        <v>46181.788944236097</v>
      </c>
      <c r="I1217" s="22">
        <v>46181</v>
      </c>
      <c r="J1217" s="24">
        <f t="shared" si="252"/>
        <v>46181.725743721137</v>
      </c>
      <c r="K1217" s="24">
        <f t="shared" si="253"/>
        <v>0.7889442360974499</v>
      </c>
      <c r="L1217" s="29">
        <f t="shared" si="259"/>
        <v>46180</v>
      </c>
      <c r="M1217" s="27" t="str">
        <f t="shared" si="254"/>
        <v>Normal</v>
      </c>
      <c r="N1217" s="31">
        <f t="shared" si="255"/>
        <v>2</v>
      </c>
      <c r="O1217" s="27"/>
      <c r="Q1217" s="8">
        <v>0.11813312161507727</v>
      </c>
      <c r="R1217" s="8" t="str">
        <f t="shared" si="256"/>
        <v>On Time</v>
      </c>
      <c r="S1217" s="33">
        <v>1.5168123590671496</v>
      </c>
      <c r="T1217" t="s">
        <v>30</v>
      </c>
      <c r="U1217" s="3">
        <v>0</v>
      </c>
      <c r="V1217" s="3" t="str">
        <f t="shared" si="260"/>
        <v/>
      </c>
      <c r="W1217" s="3" t="s">
        <v>51</v>
      </c>
      <c r="X1217" s="32">
        <f t="shared" si="257"/>
        <v>6.3200514960044529E-2</v>
      </c>
      <c r="Z1217" s="38">
        <f t="shared" si="261"/>
        <v>0</v>
      </c>
      <c r="AC1217" s="36">
        <v>0.125</v>
      </c>
      <c r="AL1217" t="str">
        <f t="shared" si="262"/>
        <v>Normal</v>
      </c>
      <c r="AM1217" t="str">
        <f t="shared" si="263"/>
        <v>No</v>
      </c>
      <c r="AN1217" t="str">
        <f t="shared" si="264"/>
        <v>Elective</v>
      </c>
      <c r="AO1217" t="str">
        <f t="shared" si="265"/>
        <v>General Ward</v>
      </c>
    </row>
    <row r="1218" spans="1:41" x14ac:dyDescent="0.3">
      <c r="A1218" s="21" t="str">
        <f t="shared" si="258"/>
        <v>UHID-01217</v>
      </c>
      <c r="B1218" s="18">
        <v>73</v>
      </c>
      <c r="C1218" s="10" t="s">
        <v>18</v>
      </c>
      <c r="D1218" s="13" t="s">
        <v>27</v>
      </c>
      <c r="E1218" s="13" t="s">
        <v>11</v>
      </c>
      <c r="F1218" s="15">
        <v>46177.5262841898</v>
      </c>
      <c r="G1218" s="4">
        <v>46177</v>
      </c>
      <c r="H1218" s="1">
        <v>46181.612170300898</v>
      </c>
      <c r="I1218" s="22">
        <v>46181</v>
      </c>
      <c r="J1218" s="24">
        <f t="shared" ref="J1218:J1281" si="266">I1218+K1218-((S1218+U1218)/24)</f>
        <v>46181.565698613995</v>
      </c>
      <c r="K1218" s="24">
        <f t="shared" ref="K1218:K1281" si="267">MOD(H1218,1)</f>
        <v>0.61217030089756008</v>
      </c>
      <c r="L1218" s="29">
        <f t="shared" si="259"/>
        <v>46180</v>
      </c>
      <c r="M1218" s="27" t="str">
        <f t="shared" ref="M1218:M1281" si="268">IF(X1218="","",IF(X1218&lt;=TIME(2,0,0),"Normal",IF(X1218&lt;=TIME(3,0,0),IF(D1218="CASH","Bill Settlement Delay","Doctor Round Delay/Report Delay"),IF(X1218&lt;=TIME(5,0,0),IF(D1218="TPA","TPA Approval Delay","Medication Change"),IF(D1218="TPA","Health Deterioration/TPA Approval Delay","Health Deterioration")))))</f>
        <v>Normal</v>
      </c>
      <c r="N1218" s="31">
        <f t="shared" ref="N1218:N1281" si="269">I1218-G1218</f>
        <v>4</v>
      </c>
      <c r="O1218" s="27"/>
      <c r="Q1218" s="8">
        <v>0.46809638566596534</v>
      </c>
      <c r="R1218" s="8" t="str">
        <f t="shared" ref="R1218:R1281" si="270">IF(X1218="","",IF(X1218&lt;=TIME(2,0,0),"On Time",IF(X1218&lt;=TIME(3,0,0),"Minor Delay",IF(X1218&lt;=TIME(5,0,0),"Major Delay","Critical Delay"))))</f>
        <v>On Time</v>
      </c>
      <c r="S1218" s="33">
        <v>1.1153204856982359</v>
      </c>
      <c r="T1218" t="s">
        <v>31</v>
      </c>
      <c r="U1218" s="3">
        <v>0</v>
      </c>
      <c r="V1218" s="3" t="str">
        <f t="shared" si="260"/>
        <v>Normal</v>
      </c>
      <c r="W1218" s="3" t="s">
        <v>51</v>
      </c>
      <c r="X1218" s="32">
        <f t="shared" ref="X1218:X1281" si="271">MOD(K1218-J1218,1)</f>
        <v>4.6471686902805232E-2</v>
      </c>
      <c r="Z1218" s="38">
        <f t="shared" si="261"/>
        <v>0</v>
      </c>
      <c r="AC1218" s="36">
        <v>0.125</v>
      </c>
      <c r="AL1218" t="str">
        <f t="shared" si="262"/>
        <v>Normal</v>
      </c>
      <c r="AM1218" t="str">
        <f t="shared" si="263"/>
        <v>No</v>
      </c>
      <c r="AN1218" t="str">
        <f t="shared" si="264"/>
        <v>Elective</v>
      </c>
      <c r="AO1218" t="str">
        <f t="shared" si="265"/>
        <v>HDU</v>
      </c>
    </row>
    <row r="1219" spans="1:41" x14ac:dyDescent="0.3">
      <c r="A1219" s="21" t="str">
        <f t="shared" ref="A1219:A1282" si="272">"UHID-"&amp;TEXT(ROW(A1219)-1,"00000")</f>
        <v>UHID-01218</v>
      </c>
      <c r="B1219" s="18">
        <v>66</v>
      </c>
      <c r="C1219" s="10" t="s">
        <v>18</v>
      </c>
      <c r="D1219" s="13" t="s">
        <v>27</v>
      </c>
      <c r="E1219" s="13" t="s">
        <v>11</v>
      </c>
      <c r="F1219" s="15">
        <v>46178.620433032404</v>
      </c>
      <c r="G1219" s="4">
        <v>46178</v>
      </c>
      <c r="H1219" s="1">
        <v>46181.452904953701</v>
      </c>
      <c r="I1219" s="22">
        <v>46181</v>
      </c>
      <c r="J1219" s="24">
        <f t="shared" si="266"/>
        <v>46181.408953766142</v>
      </c>
      <c r="K1219" s="24">
        <f t="shared" si="267"/>
        <v>0.45290495370136341</v>
      </c>
      <c r="L1219" s="29">
        <f t="shared" ref="L1219:L1282" si="273">IF(J1219&gt;MOD(H1219,1),INT(H1219)-1,INT(H1219))</f>
        <v>46180</v>
      </c>
      <c r="M1219" s="27" t="str">
        <f t="shared" si="268"/>
        <v>Normal</v>
      </c>
      <c r="N1219" s="31">
        <f t="shared" si="269"/>
        <v>3</v>
      </c>
      <c r="O1219" s="27"/>
      <c r="Q1219" s="8">
        <v>0.45178861525811109</v>
      </c>
      <c r="R1219" s="8" t="str">
        <f t="shared" si="270"/>
        <v>On Time</v>
      </c>
      <c r="S1219" s="33">
        <v>1.0548285013536147</v>
      </c>
      <c r="T1219" t="s">
        <v>31</v>
      </c>
      <c r="U1219" s="3">
        <v>0</v>
      </c>
      <c r="V1219" s="3" t="str">
        <f t="shared" ref="V1219:V1282" si="274">IF(T1219="NO","Normal","")</f>
        <v>Normal</v>
      </c>
      <c r="W1219" s="3" t="s">
        <v>51</v>
      </c>
      <c r="X1219" s="32">
        <f t="shared" si="271"/>
        <v>4.3951187559287064E-2</v>
      </c>
      <c r="Z1219" s="38">
        <f t="shared" ref="Z1219:Z1282" si="275">IF(X1219 &gt; TIME(3,0,0), X1219 - TIME(3,0,0), 0)</f>
        <v>0</v>
      </c>
      <c r="AC1219" s="36">
        <v>0.125</v>
      </c>
      <c r="AL1219" t="str">
        <f t="shared" ref="AL1219:AL1282" si="276">IF(X1219="","",IF(X1219&lt;=TIME(2,0,0),"Normal",IF(X1219&lt;=TIME(3,0,0),IF(D1219="CASH","Bill Settlement Delay","Doctor Round Delay/Report Delay"),IF(Z1219&lt;=TIME(2,0,0),IF(D1219="TPA","TPA Approval Delay","Medication Change"),IF(D1219="TPA","Health Deterioration/TPA Approval Delay","Health Deterioration")))))</f>
        <v>Normal</v>
      </c>
      <c r="AM1219" t="str">
        <f t="shared" ref="AM1219:AM1282" si="277">IF(OR(AND(B1219&gt;65, R1219="Critical Delay"), N1219&gt;10), "Yes", "No")</f>
        <v>No</v>
      </c>
      <c r="AN1219" t="str">
        <f t="shared" ref="AN1219:AN1282" si="278">IF(E1219="Cardiology &amp; Cardiothoracic", IF(MOD(ROW(),10)&lt;3, "Emergency", "Elective"), IF(E1219="Neurology &amp; Neurosurgery", IF(MOD(ROW(),10)&lt;4, "Emergency", "Elective"), IF(D1219="COR", IF(MOD(ROW(),20)&lt;7, "Emergency", "Elective"), IF(OR(R1219="Critical Delay", N1219&gt;=7), "Emergency", "Elective"))))</f>
        <v>Elective</v>
      </c>
      <c r="AO1219" t="str">
        <f t="shared" ref="AO1219:AO1282" si="279">IF(OR(N1219&gt;6, AND(E1219="Cardiology &amp; Cardiothoracic", MOD(ROW(),10)&lt;4), AND(E1219="Neurology &amp; Neurosurgery", MOD(ROW(),10)&lt;6)), "ICU", IF(OR(N1219&gt;3, AND(E1219="Cardiology &amp; Cardiothoracic", MOD(ROW(),10)&lt;6), E1219="Neurology &amp; Neurosurgery"), "HDU", "General Ward"))</f>
        <v>General Ward</v>
      </c>
    </row>
    <row r="1220" spans="1:41" x14ac:dyDescent="0.3">
      <c r="A1220" s="21" t="str">
        <f t="shared" si="272"/>
        <v>UHID-01219</v>
      </c>
      <c r="B1220" s="18">
        <v>18</v>
      </c>
      <c r="C1220" s="10" t="s">
        <v>17</v>
      </c>
      <c r="D1220" s="13" t="s">
        <v>26</v>
      </c>
      <c r="E1220" s="13" t="s">
        <v>11</v>
      </c>
      <c r="F1220" s="15">
        <v>46180.845709884299</v>
      </c>
      <c r="G1220" s="4">
        <v>46180</v>
      </c>
      <c r="H1220" s="1">
        <v>46182.493148449103</v>
      </c>
      <c r="I1220" s="22">
        <v>46182</v>
      </c>
      <c r="J1220" s="24">
        <f t="shared" si="266"/>
        <v>46182.353699861509</v>
      </c>
      <c r="K1220" s="24">
        <f t="shared" si="267"/>
        <v>0.49314844910259126</v>
      </c>
      <c r="L1220" s="29">
        <f t="shared" si="273"/>
        <v>46181</v>
      </c>
      <c r="M1220" s="27" t="str">
        <f t="shared" si="268"/>
        <v>TPA Approval Delay</v>
      </c>
      <c r="N1220" s="31">
        <f t="shared" si="269"/>
        <v>2</v>
      </c>
      <c r="O1220" s="27"/>
      <c r="Q1220" s="8">
        <v>0.53770017010452087</v>
      </c>
      <c r="R1220" s="8" t="str">
        <f t="shared" si="270"/>
        <v>Major Delay</v>
      </c>
      <c r="S1220" s="33">
        <v>3.3467661022625776</v>
      </c>
      <c r="T1220" t="s">
        <v>31</v>
      </c>
      <c r="U1220" s="3">
        <v>0</v>
      </c>
      <c r="V1220" s="3" t="str">
        <f t="shared" si="274"/>
        <v>Normal</v>
      </c>
      <c r="W1220" s="3" t="s">
        <v>51</v>
      </c>
      <c r="X1220" s="32">
        <f t="shared" si="271"/>
        <v>0.13944858759350609</v>
      </c>
      <c r="Z1220" s="38">
        <f t="shared" si="275"/>
        <v>1.444858759350609E-2</v>
      </c>
      <c r="AC1220" s="36">
        <v>0.125</v>
      </c>
      <c r="AL1220" t="str">
        <f t="shared" si="276"/>
        <v>TPA Approval Delay</v>
      </c>
      <c r="AM1220" t="str">
        <f t="shared" si="277"/>
        <v>No</v>
      </c>
      <c r="AN1220" t="str">
        <f t="shared" si="278"/>
        <v>Elective</v>
      </c>
      <c r="AO1220" t="str">
        <f t="shared" si="279"/>
        <v>General Ward</v>
      </c>
    </row>
    <row r="1221" spans="1:41" x14ac:dyDescent="0.3">
      <c r="A1221" s="21" t="str">
        <f t="shared" si="272"/>
        <v>UHID-01220</v>
      </c>
      <c r="B1221" s="18">
        <v>76</v>
      </c>
      <c r="C1221" s="10" t="s">
        <v>18</v>
      </c>
      <c r="D1221" s="13" t="s">
        <v>27</v>
      </c>
      <c r="E1221" s="13" t="s">
        <v>11</v>
      </c>
      <c r="F1221" s="15">
        <v>46181.378715393497</v>
      </c>
      <c r="G1221" s="4">
        <v>46181</v>
      </c>
      <c r="H1221" s="1">
        <v>46182.618264351899</v>
      </c>
      <c r="I1221" s="22">
        <v>46182</v>
      </c>
      <c r="J1221" s="24">
        <f t="shared" si="266"/>
        <v>46182.370907107863</v>
      </c>
      <c r="K1221" s="24">
        <f t="shared" si="267"/>
        <v>0.61826435189868789</v>
      </c>
      <c r="L1221" s="29">
        <f t="shared" si="273"/>
        <v>46181</v>
      </c>
      <c r="M1221" s="27" t="str">
        <f t="shared" si="268"/>
        <v>Health Deterioration</v>
      </c>
      <c r="N1221" s="31">
        <f t="shared" si="269"/>
        <v>1</v>
      </c>
      <c r="O1221" s="27"/>
      <c r="Q1221" s="8">
        <v>0.46545217015694262</v>
      </c>
      <c r="R1221" s="8" t="str">
        <f t="shared" si="270"/>
        <v>Critical Delay</v>
      </c>
      <c r="S1221" s="33">
        <v>1.9365738569059361</v>
      </c>
      <c r="T1221" t="s">
        <v>31</v>
      </c>
      <c r="U1221" s="3">
        <v>4</v>
      </c>
      <c r="V1221" s="3" t="str">
        <f t="shared" si="274"/>
        <v>Normal</v>
      </c>
      <c r="W1221" s="3" t="s">
        <v>50</v>
      </c>
      <c r="X1221" s="32">
        <f t="shared" si="271"/>
        <v>0.24735724403581116</v>
      </c>
      <c r="Z1221" s="38">
        <f t="shared" si="275"/>
        <v>0.12235724403581116</v>
      </c>
      <c r="AC1221" s="36">
        <v>0.125</v>
      </c>
      <c r="AL1221" t="str">
        <f t="shared" si="276"/>
        <v>Health Deterioration</v>
      </c>
      <c r="AM1221" t="str">
        <f t="shared" si="277"/>
        <v>Yes</v>
      </c>
      <c r="AN1221" t="str">
        <f t="shared" si="278"/>
        <v>Emergency</v>
      </c>
      <c r="AO1221" t="str">
        <f t="shared" si="279"/>
        <v>General Ward</v>
      </c>
    </row>
    <row r="1222" spans="1:41" x14ac:dyDescent="0.3">
      <c r="A1222" s="21" t="str">
        <f t="shared" si="272"/>
        <v>UHID-01221</v>
      </c>
      <c r="B1222" s="18">
        <v>84</v>
      </c>
      <c r="C1222" s="10" t="s">
        <v>18</v>
      </c>
      <c r="D1222" s="13" t="s">
        <v>27</v>
      </c>
      <c r="E1222" s="13" t="s">
        <v>11</v>
      </c>
      <c r="F1222" s="15">
        <v>46180.4379426042</v>
      </c>
      <c r="G1222" s="4">
        <v>46180</v>
      </c>
      <c r="H1222" s="1">
        <v>46182.487523981501</v>
      </c>
      <c r="I1222" s="22">
        <v>46182</v>
      </c>
      <c r="J1222" s="24">
        <f t="shared" si="266"/>
        <v>46182.429966689015</v>
      </c>
      <c r="K1222" s="24">
        <f t="shared" si="267"/>
        <v>0.48752398150099907</v>
      </c>
      <c r="L1222" s="29">
        <f t="shared" si="273"/>
        <v>46181</v>
      </c>
      <c r="M1222" s="27" t="str">
        <f t="shared" si="268"/>
        <v>Normal</v>
      </c>
      <c r="N1222" s="31">
        <f t="shared" si="269"/>
        <v>2</v>
      </c>
      <c r="O1222" s="27"/>
      <c r="Q1222" s="8">
        <v>0.27714157150351781</v>
      </c>
      <c r="R1222" s="8" t="str">
        <f t="shared" si="270"/>
        <v>On Time</v>
      </c>
      <c r="S1222" s="33">
        <v>1.381375019748118</v>
      </c>
      <c r="T1222" t="s">
        <v>30</v>
      </c>
      <c r="U1222" s="3">
        <v>0</v>
      </c>
      <c r="V1222" s="3" t="str">
        <f t="shared" si="274"/>
        <v/>
      </c>
      <c r="W1222" s="3" t="s">
        <v>51</v>
      </c>
      <c r="X1222" s="32">
        <f t="shared" si="271"/>
        <v>5.7557292486308143E-2</v>
      </c>
      <c r="Z1222" s="38">
        <f t="shared" si="275"/>
        <v>0</v>
      </c>
      <c r="AC1222" s="36">
        <v>0.125</v>
      </c>
      <c r="AL1222" t="str">
        <f t="shared" si="276"/>
        <v>Normal</v>
      </c>
      <c r="AM1222" t="str">
        <f t="shared" si="277"/>
        <v>No</v>
      </c>
      <c r="AN1222" t="str">
        <f t="shared" si="278"/>
        <v>Elective</v>
      </c>
      <c r="AO1222" t="str">
        <f t="shared" si="279"/>
        <v>General Ward</v>
      </c>
    </row>
    <row r="1223" spans="1:41" x14ac:dyDescent="0.3">
      <c r="A1223" s="21" t="str">
        <f t="shared" si="272"/>
        <v>UHID-01222</v>
      </c>
      <c r="B1223" s="18">
        <v>60</v>
      </c>
      <c r="C1223" s="10" t="s">
        <v>18</v>
      </c>
      <c r="D1223" s="13" t="s">
        <v>26</v>
      </c>
      <c r="E1223" s="13" t="s">
        <v>11</v>
      </c>
      <c r="F1223" s="15">
        <v>46180.771315763901</v>
      </c>
      <c r="G1223" s="4">
        <v>46180</v>
      </c>
      <c r="H1223" s="1">
        <v>46182.596582604201</v>
      </c>
      <c r="I1223" s="22">
        <v>46182</v>
      </c>
      <c r="J1223" s="24">
        <f t="shared" si="266"/>
        <v>46182.320965443658</v>
      </c>
      <c r="K1223" s="24">
        <f t="shared" si="267"/>
        <v>0.59658260420110309</v>
      </c>
      <c r="L1223" s="29">
        <f t="shared" si="273"/>
        <v>46181</v>
      </c>
      <c r="M1223" s="27" t="str">
        <f t="shared" si="268"/>
        <v>Health Deterioration/TPA Approval Delay</v>
      </c>
      <c r="N1223" s="31">
        <f t="shared" si="269"/>
        <v>2</v>
      </c>
      <c r="O1223" s="27"/>
      <c r="Q1223" s="8">
        <v>0.7303338284020845</v>
      </c>
      <c r="R1223" s="8" t="str">
        <f t="shared" si="270"/>
        <v>Critical Delay</v>
      </c>
      <c r="S1223" s="33">
        <v>3.6148118530135536</v>
      </c>
      <c r="T1223" t="s">
        <v>31</v>
      </c>
      <c r="U1223" s="3">
        <v>3</v>
      </c>
      <c r="V1223" s="3" t="str">
        <f t="shared" si="274"/>
        <v>Normal</v>
      </c>
      <c r="W1223" s="3" t="s">
        <v>50</v>
      </c>
      <c r="X1223" s="32">
        <f t="shared" si="271"/>
        <v>0.27561716054333374</v>
      </c>
      <c r="Z1223" s="38">
        <f t="shared" si="275"/>
        <v>0.15061716054333374</v>
      </c>
      <c r="AC1223" s="36">
        <v>0.125</v>
      </c>
      <c r="AL1223" t="str">
        <f t="shared" si="276"/>
        <v>Health Deterioration/TPA Approval Delay</v>
      </c>
      <c r="AM1223" t="str">
        <f t="shared" si="277"/>
        <v>No</v>
      </c>
      <c r="AN1223" t="str">
        <f t="shared" si="278"/>
        <v>Emergency</v>
      </c>
      <c r="AO1223" t="str">
        <f t="shared" si="279"/>
        <v>General Ward</v>
      </c>
    </row>
    <row r="1224" spans="1:41" x14ac:dyDescent="0.3">
      <c r="A1224" s="21" t="str">
        <f t="shared" si="272"/>
        <v>UHID-01223</v>
      </c>
      <c r="B1224" s="18">
        <v>58</v>
      </c>
      <c r="C1224" s="10" t="s">
        <v>18</v>
      </c>
      <c r="D1224" s="13" t="s">
        <v>26</v>
      </c>
      <c r="E1224" s="13" t="s">
        <v>11</v>
      </c>
      <c r="F1224" s="15">
        <v>46180.475528807903</v>
      </c>
      <c r="G1224" s="4">
        <v>46180</v>
      </c>
      <c r="H1224" s="1">
        <v>46182.590381331</v>
      </c>
      <c r="I1224" s="22">
        <v>46182</v>
      </c>
      <c r="J1224" s="24">
        <f t="shared" si="266"/>
        <v>46182.457561810057</v>
      </c>
      <c r="K1224" s="24">
        <f t="shared" si="267"/>
        <v>0.59038133099966217</v>
      </c>
      <c r="L1224" s="29">
        <f t="shared" si="273"/>
        <v>46181</v>
      </c>
      <c r="M1224" s="27" t="str">
        <f t="shared" si="268"/>
        <v>TPA Approval Delay</v>
      </c>
      <c r="N1224" s="31">
        <f t="shared" si="269"/>
        <v>2</v>
      </c>
      <c r="O1224" s="27"/>
      <c r="Q1224" s="8">
        <v>0.64957624757862276</v>
      </c>
      <c r="R1224" s="8" t="str">
        <f t="shared" si="270"/>
        <v>Major Delay</v>
      </c>
      <c r="S1224" s="33">
        <v>3.1876685026901397</v>
      </c>
      <c r="T1224" t="s">
        <v>31</v>
      </c>
      <c r="U1224" s="3">
        <v>0</v>
      </c>
      <c r="V1224" s="3" t="str">
        <f t="shared" si="274"/>
        <v>Normal</v>
      </c>
      <c r="W1224" s="3" t="s">
        <v>51</v>
      </c>
      <c r="X1224" s="32">
        <f t="shared" si="271"/>
        <v>0.13281952094257576</v>
      </c>
      <c r="Z1224" s="38">
        <f t="shared" si="275"/>
        <v>7.8195209425757639E-3</v>
      </c>
      <c r="AC1224" s="36">
        <v>0.125</v>
      </c>
      <c r="AL1224" t="str">
        <f t="shared" si="276"/>
        <v>TPA Approval Delay</v>
      </c>
      <c r="AM1224" t="str">
        <f t="shared" si="277"/>
        <v>No</v>
      </c>
      <c r="AN1224" t="str">
        <f t="shared" si="278"/>
        <v>Elective</v>
      </c>
      <c r="AO1224" t="str">
        <f t="shared" si="279"/>
        <v>General Ward</v>
      </c>
    </row>
    <row r="1225" spans="1:41" x14ac:dyDescent="0.3">
      <c r="A1225" s="21" t="str">
        <f t="shared" si="272"/>
        <v>UHID-01224</v>
      </c>
      <c r="B1225" s="18">
        <v>44</v>
      </c>
      <c r="C1225" s="10" t="s">
        <v>18</v>
      </c>
      <c r="D1225" s="13" t="s">
        <v>26</v>
      </c>
      <c r="E1225" s="13" t="s">
        <v>11</v>
      </c>
      <c r="F1225" s="15">
        <v>46182.371966770799</v>
      </c>
      <c r="G1225" s="4">
        <v>46182</v>
      </c>
      <c r="H1225" s="1">
        <v>46182.748052812502</v>
      </c>
      <c r="I1225" s="22">
        <v>46182</v>
      </c>
      <c r="J1225" s="24">
        <f t="shared" si="266"/>
        <v>46182.590442121036</v>
      </c>
      <c r="K1225" s="24">
        <f t="shared" si="267"/>
        <v>0.74805281250155531</v>
      </c>
      <c r="L1225" s="29">
        <f t="shared" si="273"/>
        <v>46181</v>
      </c>
      <c r="M1225" s="27" t="str">
        <f t="shared" si="268"/>
        <v>TPA Approval Delay</v>
      </c>
      <c r="N1225" s="31">
        <f t="shared" si="269"/>
        <v>0</v>
      </c>
      <c r="O1225" s="27"/>
      <c r="Q1225" s="8">
        <v>0.61144290853699468</v>
      </c>
      <c r="R1225" s="8" t="str">
        <f t="shared" si="270"/>
        <v>Major Delay</v>
      </c>
      <c r="S1225" s="33">
        <v>3.782656595103886</v>
      </c>
      <c r="T1225" t="s">
        <v>31</v>
      </c>
      <c r="U1225" s="3">
        <v>0</v>
      </c>
      <c r="V1225" s="3" t="str">
        <f t="shared" si="274"/>
        <v>Normal</v>
      </c>
      <c r="W1225" s="3" t="s">
        <v>51</v>
      </c>
      <c r="X1225" s="32">
        <f t="shared" si="271"/>
        <v>0.1576106914653792</v>
      </c>
      <c r="Z1225" s="38">
        <f t="shared" si="275"/>
        <v>3.2610691465379205E-2</v>
      </c>
      <c r="AC1225" s="36">
        <v>0.125</v>
      </c>
      <c r="AL1225" t="str">
        <f t="shared" si="276"/>
        <v>TPA Approval Delay</v>
      </c>
      <c r="AM1225" t="str">
        <f t="shared" si="277"/>
        <v>No</v>
      </c>
      <c r="AN1225" t="str">
        <f t="shared" si="278"/>
        <v>Elective</v>
      </c>
      <c r="AO1225" t="str">
        <f t="shared" si="279"/>
        <v>General Ward</v>
      </c>
    </row>
    <row r="1226" spans="1:41" x14ac:dyDescent="0.3">
      <c r="A1226" s="21" t="str">
        <f t="shared" si="272"/>
        <v>UHID-01225</v>
      </c>
      <c r="B1226" s="18">
        <v>28</v>
      </c>
      <c r="C1226" s="10" t="s">
        <v>18</v>
      </c>
      <c r="D1226" s="13" t="s">
        <v>26</v>
      </c>
      <c r="E1226" s="13" t="s">
        <v>11</v>
      </c>
      <c r="F1226" s="15">
        <v>46182.355142349501</v>
      </c>
      <c r="G1226" s="4">
        <v>46182</v>
      </c>
      <c r="H1226" s="1">
        <v>46182.822978530101</v>
      </c>
      <c r="I1226" s="22">
        <v>46182</v>
      </c>
      <c r="J1226" s="24">
        <f t="shared" si="266"/>
        <v>46182.681593912275</v>
      </c>
      <c r="K1226" s="24">
        <f t="shared" si="267"/>
        <v>0.82297853010095423</v>
      </c>
      <c r="L1226" s="29">
        <f t="shared" si="273"/>
        <v>46181</v>
      </c>
      <c r="M1226" s="27" t="str">
        <f t="shared" si="268"/>
        <v>TPA Approval Delay</v>
      </c>
      <c r="N1226" s="31">
        <f t="shared" si="269"/>
        <v>0</v>
      </c>
      <c r="O1226" s="27"/>
      <c r="Q1226" s="8">
        <v>0.51108743353926522</v>
      </c>
      <c r="R1226" s="8" t="str">
        <f t="shared" si="270"/>
        <v>Major Delay</v>
      </c>
      <c r="S1226" s="33">
        <v>3.3932308277324577</v>
      </c>
      <c r="T1226" t="s">
        <v>31</v>
      </c>
      <c r="U1226" s="3">
        <v>0</v>
      </c>
      <c r="V1226" s="3" t="str">
        <f t="shared" si="274"/>
        <v>Normal</v>
      </c>
      <c r="W1226" s="3" t="s">
        <v>51</v>
      </c>
      <c r="X1226" s="32">
        <f t="shared" si="271"/>
        <v>0.14138461782567902</v>
      </c>
      <c r="Z1226" s="38">
        <f t="shared" si="275"/>
        <v>1.6384617825679015E-2</v>
      </c>
      <c r="AC1226" s="36">
        <v>0.125</v>
      </c>
      <c r="AL1226" t="str">
        <f t="shared" si="276"/>
        <v>TPA Approval Delay</v>
      </c>
      <c r="AM1226" t="str">
        <f t="shared" si="277"/>
        <v>No</v>
      </c>
      <c r="AN1226" t="str">
        <f t="shared" si="278"/>
        <v>Elective</v>
      </c>
      <c r="AO1226" t="str">
        <f t="shared" si="279"/>
        <v>General Ward</v>
      </c>
    </row>
    <row r="1227" spans="1:41" x14ac:dyDescent="0.3">
      <c r="A1227" s="21" t="str">
        <f t="shared" si="272"/>
        <v>UHID-01226</v>
      </c>
      <c r="B1227" s="18">
        <v>38</v>
      </c>
      <c r="C1227" s="10" t="s">
        <v>18</v>
      </c>
      <c r="D1227" s="13" t="s">
        <v>26</v>
      </c>
      <c r="E1227" s="13" t="s">
        <v>11</v>
      </c>
      <c r="F1227" s="15">
        <v>46178.718397928198</v>
      </c>
      <c r="G1227" s="4">
        <v>46178</v>
      </c>
      <c r="H1227" s="1">
        <v>46183.386918611097</v>
      </c>
      <c r="I1227" s="22">
        <v>46183</v>
      </c>
      <c r="J1227" s="24">
        <f t="shared" si="266"/>
        <v>46183.249022802775</v>
      </c>
      <c r="K1227" s="24">
        <f t="shared" si="267"/>
        <v>0.38691861109691672</v>
      </c>
      <c r="L1227" s="29">
        <f t="shared" si="273"/>
        <v>46182</v>
      </c>
      <c r="M1227" s="27" t="str">
        <f t="shared" si="268"/>
        <v>TPA Approval Delay</v>
      </c>
      <c r="N1227" s="31">
        <f t="shared" si="269"/>
        <v>5</v>
      </c>
      <c r="O1227" s="27"/>
      <c r="Q1227" s="8">
        <v>0.8448877035178266</v>
      </c>
      <c r="R1227" s="8" t="str">
        <f t="shared" si="270"/>
        <v>Major Delay</v>
      </c>
      <c r="S1227" s="33">
        <v>3.309499399677907</v>
      </c>
      <c r="T1227" t="s">
        <v>31</v>
      </c>
      <c r="U1227" s="3">
        <v>0</v>
      </c>
      <c r="V1227" s="3" t="str">
        <f t="shared" si="274"/>
        <v>Normal</v>
      </c>
      <c r="W1227" s="3" t="s">
        <v>51</v>
      </c>
      <c r="X1227" s="32">
        <f t="shared" si="271"/>
        <v>0.13789580832235515</v>
      </c>
      <c r="Z1227" s="38">
        <f t="shared" si="275"/>
        <v>1.2895808322355151E-2</v>
      </c>
      <c r="AC1227" s="36">
        <v>0.125</v>
      </c>
      <c r="AL1227" t="str">
        <f t="shared" si="276"/>
        <v>TPA Approval Delay</v>
      </c>
      <c r="AM1227" t="str">
        <f t="shared" si="277"/>
        <v>No</v>
      </c>
      <c r="AN1227" t="str">
        <f t="shared" si="278"/>
        <v>Elective</v>
      </c>
      <c r="AO1227" t="str">
        <f t="shared" si="279"/>
        <v>HDU</v>
      </c>
    </row>
    <row r="1228" spans="1:41" x14ac:dyDescent="0.3">
      <c r="A1228" s="21" t="str">
        <f t="shared" si="272"/>
        <v>UHID-01227</v>
      </c>
      <c r="B1228" s="18">
        <v>50</v>
      </c>
      <c r="C1228" s="10" t="s">
        <v>17</v>
      </c>
      <c r="D1228" s="13" t="s">
        <v>26</v>
      </c>
      <c r="E1228" s="13" t="s">
        <v>11</v>
      </c>
      <c r="F1228" s="15">
        <v>46181.906265463003</v>
      </c>
      <c r="G1228" s="4">
        <v>46181</v>
      </c>
      <c r="H1228" s="1">
        <v>46183.534467338002</v>
      </c>
      <c r="I1228" s="22">
        <v>46183</v>
      </c>
      <c r="J1228" s="24">
        <f t="shared" si="266"/>
        <v>46183.397526910063</v>
      </c>
      <c r="K1228" s="24">
        <f t="shared" si="267"/>
        <v>0.53446733800228685</v>
      </c>
      <c r="L1228" s="29">
        <f t="shared" si="273"/>
        <v>46182</v>
      </c>
      <c r="M1228" s="27" t="str">
        <f t="shared" si="268"/>
        <v>TPA Approval Delay</v>
      </c>
      <c r="N1228" s="31">
        <f t="shared" si="269"/>
        <v>2</v>
      </c>
      <c r="O1228" s="27"/>
      <c r="Q1228" s="8">
        <v>0.73414583460766114</v>
      </c>
      <c r="R1228" s="8" t="str">
        <f t="shared" si="270"/>
        <v>Major Delay</v>
      </c>
      <c r="S1228" s="33">
        <v>3.2865702706252993</v>
      </c>
      <c r="T1228" t="s">
        <v>31</v>
      </c>
      <c r="U1228" s="3">
        <v>0</v>
      </c>
      <c r="V1228" s="3" t="str">
        <f t="shared" si="274"/>
        <v>Normal</v>
      </c>
      <c r="W1228" s="3" t="s">
        <v>51</v>
      </c>
      <c r="X1228" s="32">
        <f t="shared" si="271"/>
        <v>0.13694042793940753</v>
      </c>
      <c r="Z1228" s="38">
        <f t="shared" si="275"/>
        <v>1.1940427939407527E-2</v>
      </c>
      <c r="AC1228" s="36">
        <v>0.125</v>
      </c>
      <c r="AL1228" t="str">
        <f t="shared" si="276"/>
        <v>TPA Approval Delay</v>
      </c>
      <c r="AM1228" t="str">
        <f t="shared" si="277"/>
        <v>No</v>
      </c>
      <c r="AN1228" t="str">
        <f t="shared" si="278"/>
        <v>Elective</v>
      </c>
      <c r="AO1228" t="str">
        <f t="shared" si="279"/>
        <v>General Ward</v>
      </c>
    </row>
    <row r="1229" spans="1:41" x14ac:dyDescent="0.3">
      <c r="A1229" s="21" t="str">
        <f t="shared" si="272"/>
        <v>UHID-01228</v>
      </c>
      <c r="B1229" s="18">
        <v>40</v>
      </c>
      <c r="C1229" s="10" t="s">
        <v>18</v>
      </c>
      <c r="D1229" s="13" t="s">
        <v>27</v>
      </c>
      <c r="E1229" s="13" t="s">
        <v>11</v>
      </c>
      <c r="F1229" s="15">
        <v>46182.118175104202</v>
      </c>
      <c r="G1229" s="4">
        <v>46182</v>
      </c>
      <c r="H1229" s="1">
        <v>46183.6939455787</v>
      </c>
      <c r="I1229" s="22">
        <v>46183</v>
      </c>
      <c r="J1229" s="24">
        <f t="shared" si="266"/>
        <v>46183.321684384478</v>
      </c>
      <c r="K1229" s="24">
        <f t="shared" si="267"/>
        <v>0.69394557869964046</v>
      </c>
      <c r="L1229" s="29">
        <f t="shared" si="273"/>
        <v>46182</v>
      </c>
      <c r="M1229" s="27" t="str">
        <f t="shared" si="268"/>
        <v>Health Deterioration</v>
      </c>
      <c r="N1229" s="31">
        <f t="shared" si="269"/>
        <v>1</v>
      </c>
      <c r="O1229" s="27"/>
      <c r="Q1229" s="8">
        <v>0.34740499990342366</v>
      </c>
      <c r="R1229" s="8" t="str">
        <f t="shared" si="270"/>
        <v>Critical Delay</v>
      </c>
      <c r="S1229" s="33">
        <v>1.9342686612841749</v>
      </c>
      <c r="T1229" t="s">
        <v>30</v>
      </c>
      <c r="U1229" s="3">
        <v>7</v>
      </c>
      <c r="V1229" s="3" t="str">
        <f t="shared" si="274"/>
        <v/>
      </c>
      <c r="W1229" s="3" t="s">
        <v>52</v>
      </c>
      <c r="X1229" s="32">
        <f t="shared" si="271"/>
        <v>0.37226119422120973</v>
      </c>
      <c r="Z1229" s="38">
        <f t="shared" si="275"/>
        <v>0.24726119422120973</v>
      </c>
      <c r="AC1229" s="36">
        <v>0.125</v>
      </c>
      <c r="AL1229" t="str">
        <f t="shared" si="276"/>
        <v>Health Deterioration</v>
      </c>
      <c r="AM1229" t="str">
        <f t="shared" si="277"/>
        <v>No</v>
      </c>
      <c r="AN1229" t="str">
        <f t="shared" si="278"/>
        <v>Emergency</v>
      </c>
      <c r="AO1229" t="str">
        <f t="shared" si="279"/>
        <v>General Ward</v>
      </c>
    </row>
    <row r="1230" spans="1:41" x14ac:dyDescent="0.3">
      <c r="A1230" s="21" t="str">
        <f t="shared" si="272"/>
        <v>UHID-01229</v>
      </c>
      <c r="B1230" s="18">
        <v>60</v>
      </c>
      <c r="C1230" s="10" t="s">
        <v>18</v>
      </c>
      <c r="D1230" s="13" t="s">
        <v>27</v>
      </c>
      <c r="E1230" s="13" t="s">
        <v>11</v>
      </c>
      <c r="F1230" s="15">
        <v>46178.772904444399</v>
      </c>
      <c r="G1230" s="4">
        <v>46178</v>
      </c>
      <c r="H1230" s="1">
        <v>46183.491909027798</v>
      </c>
      <c r="I1230" s="22">
        <v>46183</v>
      </c>
      <c r="J1230" s="24">
        <f t="shared" si="266"/>
        <v>46183.421918242697</v>
      </c>
      <c r="K1230" s="24">
        <f t="shared" si="267"/>
        <v>0.49190902779810131</v>
      </c>
      <c r="L1230" s="29">
        <f t="shared" si="273"/>
        <v>46182</v>
      </c>
      <c r="M1230" s="27" t="str">
        <f t="shared" si="268"/>
        <v>Normal</v>
      </c>
      <c r="N1230" s="31">
        <f t="shared" si="269"/>
        <v>5</v>
      </c>
      <c r="O1230" s="27"/>
      <c r="Q1230" s="8">
        <v>0.22459041725345208</v>
      </c>
      <c r="R1230" s="8" t="str">
        <f t="shared" si="270"/>
        <v>On Time</v>
      </c>
      <c r="S1230" s="33">
        <v>1.6797788425058364</v>
      </c>
      <c r="T1230" t="s">
        <v>30</v>
      </c>
      <c r="U1230" s="3">
        <v>0</v>
      </c>
      <c r="V1230" s="3" t="str">
        <f t="shared" si="274"/>
        <v/>
      </c>
      <c r="W1230" s="3" t="s">
        <v>51</v>
      </c>
      <c r="X1230" s="32">
        <f t="shared" si="271"/>
        <v>6.9990785101254005E-2</v>
      </c>
      <c r="Z1230" s="38">
        <f t="shared" si="275"/>
        <v>0</v>
      </c>
      <c r="AC1230" s="36">
        <v>0.125</v>
      </c>
      <c r="AL1230" t="str">
        <f t="shared" si="276"/>
        <v>Normal</v>
      </c>
      <c r="AM1230" t="str">
        <f t="shared" si="277"/>
        <v>No</v>
      </c>
      <c r="AN1230" t="str">
        <f t="shared" si="278"/>
        <v>Elective</v>
      </c>
      <c r="AO1230" t="str">
        <f t="shared" si="279"/>
        <v>HDU</v>
      </c>
    </row>
    <row r="1231" spans="1:41" x14ac:dyDescent="0.3">
      <c r="A1231" s="21" t="str">
        <f t="shared" si="272"/>
        <v>UHID-01230</v>
      </c>
      <c r="B1231" s="18">
        <v>62</v>
      </c>
      <c r="C1231" s="10" t="s">
        <v>18</v>
      </c>
      <c r="D1231" s="13" t="s">
        <v>27</v>
      </c>
      <c r="E1231" s="13" t="s">
        <v>11</v>
      </c>
      <c r="F1231" s="15">
        <v>46180.857345567099</v>
      </c>
      <c r="G1231" s="4">
        <v>46180</v>
      </c>
      <c r="H1231" s="1">
        <v>46183.552906134297</v>
      </c>
      <c r="I1231" s="22">
        <v>46183</v>
      </c>
      <c r="J1231" s="24">
        <f t="shared" si="266"/>
        <v>46183.424426081401</v>
      </c>
      <c r="K1231" s="24">
        <f t="shared" si="267"/>
        <v>0.5529061342967907</v>
      </c>
      <c r="L1231" s="29">
        <f t="shared" si="273"/>
        <v>46182</v>
      </c>
      <c r="M1231" s="27" t="str">
        <f t="shared" si="268"/>
        <v>Medication Change</v>
      </c>
      <c r="N1231" s="31">
        <f t="shared" si="269"/>
        <v>3</v>
      </c>
      <c r="O1231" s="27"/>
      <c r="Q1231" s="8">
        <v>0.43746714170962853</v>
      </c>
      <c r="R1231" s="8" t="str">
        <f t="shared" si="270"/>
        <v>Major Delay</v>
      </c>
      <c r="S1231" s="33">
        <v>1.0835212695157448</v>
      </c>
      <c r="T1231" t="s">
        <v>31</v>
      </c>
      <c r="U1231" s="3">
        <v>2</v>
      </c>
      <c r="V1231" s="3" t="str">
        <f t="shared" si="274"/>
        <v>Normal</v>
      </c>
      <c r="W1231" s="3" t="s">
        <v>50</v>
      </c>
      <c r="X1231" s="32">
        <f t="shared" si="271"/>
        <v>0.12848005289561115</v>
      </c>
      <c r="Z1231" s="38">
        <f t="shared" si="275"/>
        <v>3.4800528956111521E-3</v>
      </c>
      <c r="AC1231" s="36">
        <v>0.125</v>
      </c>
      <c r="AL1231" t="str">
        <f t="shared" si="276"/>
        <v>Medication Change</v>
      </c>
      <c r="AM1231" t="str">
        <f t="shared" si="277"/>
        <v>No</v>
      </c>
      <c r="AN1231" t="str">
        <f t="shared" si="278"/>
        <v>Elective</v>
      </c>
      <c r="AO1231" t="str">
        <f t="shared" si="279"/>
        <v>General Ward</v>
      </c>
    </row>
    <row r="1232" spans="1:41" x14ac:dyDescent="0.3">
      <c r="A1232" s="21" t="str">
        <f t="shared" si="272"/>
        <v>UHID-01231</v>
      </c>
      <c r="B1232" s="18">
        <v>4</v>
      </c>
      <c r="C1232" s="10" t="s">
        <v>18</v>
      </c>
      <c r="D1232" s="13" t="s">
        <v>26</v>
      </c>
      <c r="E1232" s="13" t="s">
        <v>11</v>
      </c>
      <c r="F1232" s="15">
        <v>46182.781399166699</v>
      </c>
      <c r="G1232" s="4">
        <v>46182</v>
      </c>
      <c r="H1232" s="1">
        <v>46183.516877743103</v>
      </c>
      <c r="I1232" s="22">
        <v>46183</v>
      </c>
      <c r="J1232" s="24">
        <f t="shared" si="266"/>
        <v>46183.375510816506</v>
      </c>
      <c r="K1232" s="24">
        <f t="shared" si="267"/>
        <v>0.51687774310266832</v>
      </c>
      <c r="L1232" s="29">
        <f t="shared" si="273"/>
        <v>46182</v>
      </c>
      <c r="M1232" s="27" t="str">
        <f t="shared" si="268"/>
        <v>TPA Approval Delay</v>
      </c>
      <c r="N1232" s="31">
        <f t="shared" si="269"/>
        <v>1</v>
      </c>
      <c r="O1232" s="27"/>
      <c r="Q1232" s="8">
        <v>0.50634629790660235</v>
      </c>
      <c r="R1232" s="8" t="str">
        <f t="shared" si="270"/>
        <v>Major Delay</v>
      </c>
      <c r="S1232" s="33">
        <v>3.3928062382840807</v>
      </c>
      <c r="T1232" t="s">
        <v>31</v>
      </c>
      <c r="U1232" s="3">
        <v>0</v>
      </c>
      <c r="V1232" s="3" t="str">
        <f t="shared" si="274"/>
        <v>Normal</v>
      </c>
      <c r="W1232" s="3" t="s">
        <v>51</v>
      </c>
      <c r="X1232" s="32">
        <f t="shared" si="271"/>
        <v>0.1413669265966746</v>
      </c>
      <c r="Z1232" s="38">
        <f t="shared" si="275"/>
        <v>1.6366926596674602E-2</v>
      </c>
      <c r="AC1232" s="36">
        <v>0.125</v>
      </c>
      <c r="AL1232" t="str">
        <f t="shared" si="276"/>
        <v>TPA Approval Delay</v>
      </c>
      <c r="AM1232" t="str">
        <f t="shared" si="277"/>
        <v>No</v>
      </c>
      <c r="AN1232" t="str">
        <f t="shared" si="278"/>
        <v>Elective</v>
      </c>
      <c r="AO1232" t="str">
        <f t="shared" si="279"/>
        <v>General Ward</v>
      </c>
    </row>
    <row r="1233" spans="1:41" x14ac:dyDescent="0.3">
      <c r="A1233" s="21" t="str">
        <f t="shared" si="272"/>
        <v>UHID-01232</v>
      </c>
      <c r="B1233" s="18">
        <v>32</v>
      </c>
      <c r="C1233" s="10" t="s">
        <v>18</v>
      </c>
      <c r="D1233" s="13" t="s">
        <v>27</v>
      </c>
      <c r="E1233" s="13" t="s">
        <v>11</v>
      </c>
      <c r="F1233" s="15">
        <v>46183.368239560201</v>
      </c>
      <c r="G1233" s="4">
        <v>46183</v>
      </c>
      <c r="H1233" s="1">
        <v>46183.677116469902</v>
      </c>
      <c r="I1233" s="22">
        <v>46183</v>
      </c>
      <c r="J1233" s="24">
        <f t="shared" si="266"/>
        <v>46183.616987245943</v>
      </c>
      <c r="K1233" s="24">
        <f t="shared" si="267"/>
        <v>0.67711646990210284</v>
      </c>
      <c r="L1233" s="29">
        <f t="shared" si="273"/>
        <v>46182</v>
      </c>
      <c r="M1233" s="27" t="str">
        <f t="shared" si="268"/>
        <v>Normal</v>
      </c>
      <c r="N1233" s="31">
        <f t="shared" si="269"/>
        <v>0</v>
      </c>
      <c r="O1233" s="27"/>
      <c r="Q1233" s="8">
        <v>0.4283969873611565</v>
      </c>
      <c r="R1233" s="8" t="str">
        <f t="shared" si="270"/>
        <v>On Time</v>
      </c>
      <c r="S1233" s="33">
        <v>1.4431013749729651</v>
      </c>
      <c r="T1233" t="s">
        <v>31</v>
      </c>
      <c r="U1233" s="3">
        <v>0</v>
      </c>
      <c r="V1233" s="3" t="str">
        <f t="shared" si="274"/>
        <v>Normal</v>
      </c>
      <c r="W1233" s="3" t="s">
        <v>51</v>
      </c>
      <c r="X1233" s="32">
        <f t="shared" si="271"/>
        <v>6.0129223958938383E-2</v>
      </c>
      <c r="Z1233" s="38">
        <f t="shared" si="275"/>
        <v>0</v>
      </c>
      <c r="AC1233" s="36">
        <v>0.125</v>
      </c>
      <c r="AL1233" t="str">
        <f t="shared" si="276"/>
        <v>Normal</v>
      </c>
      <c r="AM1233" t="str">
        <f t="shared" si="277"/>
        <v>No</v>
      </c>
      <c r="AN1233" t="str">
        <f t="shared" si="278"/>
        <v>Elective</v>
      </c>
      <c r="AO1233" t="str">
        <f t="shared" si="279"/>
        <v>General Ward</v>
      </c>
    </row>
    <row r="1234" spans="1:41" x14ac:dyDescent="0.3">
      <c r="A1234" s="21" t="str">
        <f t="shared" si="272"/>
        <v>UHID-01233</v>
      </c>
      <c r="B1234" s="18">
        <v>60</v>
      </c>
      <c r="C1234" s="10" t="s">
        <v>18</v>
      </c>
      <c r="D1234" s="13" t="s">
        <v>26</v>
      </c>
      <c r="E1234" s="13" t="s">
        <v>11</v>
      </c>
      <c r="F1234" s="15">
        <v>46183.409311273099</v>
      </c>
      <c r="G1234" s="4">
        <v>46183</v>
      </c>
      <c r="H1234" s="1">
        <v>46183.705054050901</v>
      </c>
      <c r="I1234" s="22">
        <v>46183</v>
      </c>
      <c r="J1234" s="24">
        <f t="shared" si="266"/>
        <v>46183.573514946162</v>
      </c>
      <c r="K1234" s="24">
        <f t="shared" si="267"/>
        <v>0.70505405090079876</v>
      </c>
      <c r="L1234" s="29">
        <f t="shared" si="273"/>
        <v>46182</v>
      </c>
      <c r="M1234" s="27" t="str">
        <f t="shared" si="268"/>
        <v>TPA Approval Delay</v>
      </c>
      <c r="N1234" s="31">
        <f t="shared" si="269"/>
        <v>0</v>
      </c>
      <c r="O1234" s="27"/>
      <c r="Q1234" s="8">
        <v>0.62202252513609047</v>
      </c>
      <c r="R1234" s="8" t="str">
        <f t="shared" si="270"/>
        <v>Major Delay</v>
      </c>
      <c r="S1234" s="33">
        <v>3.1569385137531643</v>
      </c>
      <c r="T1234" t="s">
        <v>31</v>
      </c>
      <c r="U1234" s="3">
        <v>0</v>
      </c>
      <c r="V1234" s="3" t="str">
        <f t="shared" si="274"/>
        <v>Normal</v>
      </c>
      <c r="W1234" s="3" t="s">
        <v>51</v>
      </c>
      <c r="X1234" s="32">
        <f t="shared" si="271"/>
        <v>0.13153910473920405</v>
      </c>
      <c r="Z1234" s="38">
        <f t="shared" si="275"/>
        <v>6.5391047392040491E-3</v>
      </c>
      <c r="AC1234" s="36">
        <v>0.125</v>
      </c>
      <c r="AL1234" t="str">
        <f t="shared" si="276"/>
        <v>TPA Approval Delay</v>
      </c>
      <c r="AM1234" t="str">
        <f t="shared" si="277"/>
        <v>No</v>
      </c>
      <c r="AN1234" t="str">
        <f t="shared" si="278"/>
        <v>Elective</v>
      </c>
      <c r="AO1234" t="str">
        <f t="shared" si="279"/>
        <v>General Ward</v>
      </c>
    </row>
    <row r="1235" spans="1:41" x14ac:dyDescent="0.3">
      <c r="A1235" s="21" t="str">
        <f t="shared" si="272"/>
        <v>UHID-01234</v>
      </c>
      <c r="B1235" s="18">
        <v>49</v>
      </c>
      <c r="C1235" s="10" t="s">
        <v>18</v>
      </c>
      <c r="D1235" s="13" t="s">
        <v>27</v>
      </c>
      <c r="E1235" s="13" t="s">
        <v>11</v>
      </c>
      <c r="F1235" s="15">
        <v>46182.859922777803</v>
      </c>
      <c r="G1235" s="4">
        <v>46182</v>
      </c>
      <c r="H1235" s="1">
        <v>46184.666118761597</v>
      </c>
      <c r="I1235" s="22">
        <v>46184</v>
      </c>
      <c r="J1235" s="24">
        <f t="shared" si="266"/>
        <v>46184.584145004359</v>
      </c>
      <c r="K1235" s="24">
        <f t="shared" si="267"/>
        <v>0.66611876159731764</v>
      </c>
      <c r="L1235" s="29">
        <f t="shared" si="273"/>
        <v>46183</v>
      </c>
      <c r="M1235" s="27" t="str">
        <f t="shared" si="268"/>
        <v>Normal</v>
      </c>
      <c r="N1235" s="31">
        <f t="shared" si="269"/>
        <v>2</v>
      </c>
      <c r="O1235" s="27"/>
      <c r="Q1235" s="8">
        <v>0.25552632516204477</v>
      </c>
      <c r="R1235" s="8" t="str">
        <f t="shared" si="270"/>
        <v>On Time</v>
      </c>
      <c r="S1235" s="33">
        <v>1.9673701737089551</v>
      </c>
      <c r="T1235" t="s">
        <v>30</v>
      </c>
      <c r="U1235" s="3">
        <v>0</v>
      </c>
      <c r="V1235" s="3" t="str">
        <f t="shared" si="274"/>
        <v/>
      </c>
      <c r="W1235" s="3" t="s">
        <v>51</v>
      </c>
      <c r="X1235" s="32">
        <f t="shared" si="271"/>
        <v>8.1973757238301914E-2</v>
      </c>
      <c r="Z1235" s="38">
        <f t="shared" si="275"/>
        <v>0</v>
      </c>
      <c r="AC1235" s="36">
        <v>0.125</v>
      </c>
      <c r="AL1235" t="str">
        <f t="shared" si="276"/>
        <v>Normal</v>
      </c>
      <c r="AM1235" t="str">
        <f t="shared" si="277"/>
        <v>No</v>
      </c>
      <c r="AN1235" t="str">
        <f t="shared" si="278"/>
        <v>Elective</v>
      </c>
      <c r="AO1235" t="str">
        <f t="shared" si="279"/>
        <v>General Ward</v>
      </c>
    </row>
    <row r="1236" spans="1:41" x14ac:dyDescent="0.3">
      <c r="A1236" s="21" t="str">
        <f t="shared" si="272"/>
        <v>UHID-01235</v>
      </c>
      <c r="B1236" s="18">
        <v>36</v>
      </c>
      <c r="C1236" s="10" t="s">
        <v>18</v>
      </c>
      <c r="D1236" s="13" t="s">
        <v>26</v>
      </c>
      <c r="E1236" s="13" t="s">
        <v>11</v>
      </c>
      <c r="F1236" s="15">
        <v>46183.8584574653</v>
      </c>
      <c r="G1236" s="4">
        <v>46183</v>
      </c>
      <c r="H1236" s="1">
        <v>46184.750054317097</v>
      </c>
      <c r="I1236" s="22">
        <v>46184</v>
      </c>
      <c r="J1236" s="24">
        <f t="shared" si="266"/>
        <v>46184.592898842398</v>
      </c>
      <c r="K1236" s="24">
        <f t="shared" si="267"/>
        <v>0.7500543170972378</v>
      </c>
      <c r="L1236" s="29">
        <f t="shared" si="273"/>
        <v>46183</v>
      </c>
      <c r="M1236" s="27" t="str">
        <f t="shared" si="268"/>
        <v>TPA Approval Delay</v>
      </c>
      <c r="N1236" s="31">
        <f t="shared" si="269"/>
        <v>1</v>
      </c>
      <c r="O1236" s="27"/>
      <c r="Q1236" s="8">
        <v>0.81893795136565206</v>
      </c>
      <c r="R1236" s="8" t="str">
        <f t="shared" si="270"/>
        <v>Major Delay</v>
      </c>
      <c r="S1236" s="33">
        <v>3.7717313927081628</v>
      </c>
      <c r="T1236" t="s">
        <v>31</v>
      </c>
      <c r="U1236" s="3">
        <v>0</v>
      </c>
      <c r="V1236" s="3" t="str">
        <f t="shared" si="274"/>
        <v>Normal</v>
      </c>
      <c r="W1236" s="3" t="s">
        <v>51</v>
      </c>
      <c r="X1236" s="32">
        <f t="shared" si="271"/>
        <v>0.1571554746988113</v>
      </c>
      <c r="Z1236" s="38">
        <f t="shared" si="275"/>
        <v>3.2155474698811304E-2</v>
      </c>
      <c r="AC1236" s="36">
        <v>0.125</v>
      </c>
      <c r="AL1236" t="str">
        <f t="shared" si="276"/>
        <v>TPA Approval Delay</v>
      </c>
      <c r="AM1236" t="str">
        <f t="shared" si="277"/>
        <v>No</v>
      </c>
      <c r="AN1236" t="str">
        <f t="shared" si="278"/>
        <v>Elective</v>
      </c>
      <c r="AO1236" t="str">
        <f t="shared" si="279"/>
        <v>General Ward</v>
      </c>
    </row>
    <row r="1237" spans="1:41" x14ac:dyDescent="0.3">
      <c r="A1237" s="21" t="str">
        <f t="shared" si="272"/>
        <v>UHID-01236</v>
      </c>
      <c r="B1237" s="18">
        <v>46</v>
      </c>
      <c r="C1237" s="10" t="s">
        <v>17</v>
      </c>
      <c r="D1237" s="13" t="s">
        <v>27</v>
      </c>
      <c r="E1237" s="13" t="s">
        <v>11</v>
      </c>
      <c r="F1237" s="15">
        <v>46176.846048958301</v>
      </c>
      <c r="G1237" s="4">
        <v>46176</v>
      </c>
      <c r="H1237" s="1">
        <v>46183.6201761458</v>
      </c>
      <c r="I1237" s="22">
        <v>46183</v>
      </c>
      <c r="J1237" s="24">
        <f t="shared" si="266"/>
        <v>46183.451200009309</v>
      </c>
      <c r="K1237" s="24">
        <f t="shared" si="267"/>
        <v>0.62017614579963265</v>
      </c>
      <c r="L1237" s="29">
        <f t="shared" si="273"/>
        <v>46182</v>
      </c>
      <c r="M1237" s="27" t="str">
        <f t="shared" si="268"/>
        <v>Medication Change</v>
      </c>
      <c r="N1237" s="31">
        <f t="shared" si="269"/>
        <v>7</v>
      </c>
      <c r="O1237" s="27"/>
      <c r="Q1237" s="8">
        <v>0.28240679261364876</v>
      </c>
      <c r="R1237" s="8" t="str">
        <f t="shared" si="270"/>
        <v>Major Delay</v>
      </c>
      <c r="S1237" s="33">
        <v>1.0554272757961878</v>
      </c>
      <c r="T1237" t="s">
        <v>30</v>
      </c>
      <c r="U1237" s="3">
        <v>3</v>
      </c>
      <c r="V1237" s="3" t="str">
        <f t="shared" si="274"/>
        <v/>
      </c>
      <c r="W1237" s="3" t="s">
        <v>50</v>
      </c>
      <c r="X1237" s="32">
        <f t="shared" si="271"/>
        <v>0.16897613649052801</v>
      </c>
      <c r="Z1237" s="38">
        <f t="shared" si="275"/>
        <v>4.3976136490528006E-2</v>
      </c>
      <c r="AC1237" s="36">
        <v>0.125</v>
      </c>
      <c r="AL1237" t="str">
        <f t="shared" si="276"/>
        <v>Medication Change</v>
      </c>
      <c r="AM1237" t="str">
        <f t="shared" si="277"/>
        <v>No</v>
      </c>
      <c r="AN1237" t="str">
        <f t="shared" si="278"/>
        <v>Emergency</v>
      </c>
      <c r="AO1237" t="str">
        <f t="shared" si="279"/>
        <v>ICU</v>
      </c>
    </row>
    <row r="1238" spans="1:41" x14ac:dyDescent="0.3">
      <c r="A1238" s="21" t="str">
        <f t="shared" si="272"/>
        <v>UHID-01237</v>
      </c>
      <c r="B1238" s="18">
        <v>54</v>
      </c>
      <c r="C1238" s="10" t="s">
        <v>18</v>
      </c>
      <c r="D1238" s="13" t="s">
        <v>26</v>
      </c>
      <c r="E1238" s="13" t="s">
        <v>11</v>
      </c>
      <c r="F1238" s="15">
        <v>46182.678699907403</v>
      </c>
      <c r="G1238" s="4">
        <v>46182</v>
      </c>
      <c r="H1238" s="1">
        <v>46184.605592384301</v>
      </c>
      <c r="I1238" s="22">
        <v>46184</v>
      </c>
      <c r="J1238" s="24">
        <f t="shared" si="266"/>
        <v>46184.452323072073</v>
      </c>
      <c r="K1238" s="24">
        <f t="shared" si="267"/>
        <v>0.60559238430141704</v>
      </c>
      <c r="L1238" s="29">
        <f t="shared" si="273"/>
        <v>46183</v>
      </c>
      <c r="M1238" s="27" t="str">
        <f t="shared" si="268"/>
        <v>TPA Approval Delay</v>
      </c>
      <c r="N1238" s="31">
        <f t="shared" si="269"/>
        <v>2</v>
      </c>
      <c r="O1238" s="27"/>
      <c r="Q1238" s="8">
        <v>0.6064026897234811</v>
      </c>
      <c r="R1238" s="8" t="str">
        <f t="shared" si="270"/>
        <v>Major Delay</v>
      </c>
      <c r="S1238" s="33">
        <v>3.6784634935508622</v>
      </c>
      <c r="T1238" t="s">
        <v>31</v>
      </c>
      <c r="U1238" s="3">
        <v>0</v>
      </c>
      <c r="V1238" s="3" t="str">
        <f t="shared" si="274"/>
        <v>Normal</v>
      </c>
      <c r="W1238" s="3" t="s">
        <v>51</v>
      </c>
      <c r="X1238" s="32">
        <f t="shared" si="271"/>
        <v>0.15326931222807616</v>
      </c>
      <c r="Z1238" s="38">
        <f t="shared" si="275"/>
        <v>2.826931222807616E-2</v>
      </c>
      <c r="AC1238" s="36">
        <v>0.125</v>
      </c>
      <c r="AL1238" t="str">
        <f t="shared" si="276"/>
        <v>TPA Approval Delay</v>
      </c>
      <c r="AM1238" t="str">
        <f t="shared" si="277"/>
        <v>No</v>
      </c>
      <c r="AN1238" t="str">
        <f t="shared" si="278"/>
        <v>Elective</v>
      </c>
      <c r="AO1238" t="str">
        <f t="shared" si="279"/>
        <v>General Ward</v>
      </c>
    </row>
    <row r="1239" spans="1:41" x14ac:dyDescent="0.3">
      <c r="A1239" s="21" t="str">
        <f t="shared" si="272"/>
        <v>UHID-01238</v>
      </c>
      <c r="B1239" s="18">
        <v>33</v>
      </c>
      <c r="C1239" s="10" t="s">
        <v>18</v>
      </c>
      <c r="D1239" s="13" t="s">
        <v>26</v>
      </c>
      <c r="E1239" s="13" t="s">
        <v>11</v>
      </c>
      <c r="F1239" s="15">
        <v>46184.356797523098</v>
      </c>
      <c r="G1239" s="4">
        <v>46184</v>
      </c>
      <c r="H1239" s="1">
        <v>46184.693318842597</v>
      </c>
      <c r="I1239" s="22">
        <v>46184</v>
      </c>
      <c r="J1239" s="24">
        <f t="shared" si="266"/>
        <v>46184.321668801502</v>
      </c>
      <c r="K1239" s="24">
        <f t="shared" si="267"/>
        <v>0.69331884259736398</v>
      </c>
      <c r="L1239" s="29">
        <f t="shared" si="273"/>
        <v>46183</v>
      </c>
      <c r="M1239" s="27" t="str">
        <f t="shared" si="268"/>
        <v>Health Deterioration/TPA Approval Delay</v>
      </c>
      <c r="N1239" s="31">
        <f t="shared" si="269"/>
        <v>0</v>
      </c>
      <c r="O1239" s="27"/>
      <c r="Q1239" s="8">
        <v>0.71790569406429672</v>
      </c>
      <c r="R1239" s="8" t="str">
        <f t="shared" si="270"/>
        <v>Critical Delay</v>
      </c>
      <c r="S1239" s="33">
        <v>3.9196009863744639</v>
      </c>
      <c r="T1239" t="s">
        <v>31</v>
      </c>
      <c r="U1239" s="3">
        <v>5</v>
      </c>
      <c r="V1239" s="3" t="str">
        <f t="shared" si="274"/>
        <v>Normal</v>
      </c>
      <c r="W1239" s="3" t="s">
        <v>52</v>
      </c>
      <c r="X1239" s="32">
        <f t="shared" si="271"/>
        <v>0.37165004109556321</v>
      </c>
      <c r="Z1239" s="38">
        <f t="shared" si="275"/>
        <v>0.24665004109556321</v>
      </c>
      <c r="AC1239" s="36">
        <v>0.125</v>
      </c>
      <c r="AL1239" t="str">
        <f t="shared" si="276"/>
        <v>Health Deterioration/TPA Approval Delay</v>
      </c>
      <c r="AM1239" t="str">
        <f t="shared" si="277"/>
        <v>No</v>
      </c>
      <c r="AN1239" t="str">
        <f t="shared" si="278"/>
        <v>Emergency</v>
      </c>
      <c r="AO1239" t="str">
        <f t="shared" si="279"/>
        <v>General Ward</v>
      </c>
    </row>
    <row r="1240" spans="1:41" x14ac:dyDescent="0.3">
      <c r="A1240" s="21" t="str">
        <f t="shared" si="272"/>
        <v>UHID-01239</v>
      </c>
      <c r="B1240" s="18">
        <v>35</v>
      </c>
      <c r="C1240" s="10" t="s">
        <v>18</v>
      </c>
      <c r="D1240" s="13" t="s">
        <v>27</v>
      </c>
      <c r="E1240" s="13" t="s">
        <v>11</v>
      </c>
      <c r="F1240" s="15">
        <v>46184.364052673598</v>
      </c>
      <c r="G1240" s="4">
        <v>46184</v>
      </c>
      <c r="H1240" s="1">
        <v>46184.698137557898</v>
      </c>
      <c r="I1240" s="22">
        <v>46184</v>
      </c>
      <c r="J1240" s="24">
        <f t="shared" si="266"/>
        <v>46184.629975473261</v>
      </c>
      <c r="K1240" s="24">
        <f t="shared" si="267"/>
        <v>0.6981375578980078</v>
      </c>
      <c r="L1240" s="29">
        <f t="shared" si="273"/>
        <v>46183</v>
      </c>
      <c r="M1240" s="27" t="str">
        <f t="shared" si="268"/>
        <v>Normal</v>
      </c>
      <c r="N1240" s="31">
        <f t="shared" si="269"/>
        <v>0</v>
      </c>
      <c r="O1240" s="27"/>
      <c r="Q1240" s="8">
        <v>7.7607314553211904E-3</v>
      </c>
      <c r="R1240" s="8" t="str">
        <f t="shared" si="270"/>
        <v>On Time</v>
      </c>
      <c r="S1240" s="33">
        <v>1.635890031303822</v>
      </c>
      <c r="T1240" t="s">
        <v>30</v>
      </c>
      <c r="U1240" s="3">
        <v>0</v>
      </c>
      <c r="V1240" s="3" t="str">
        <f t="shared" si="274"/>
        <v/>
      </c>
      <c r="W1240" s="3" t="s">
        <v>51</v>
      </c>
      <c r="X1240" s="32">
        <f t="shared" si="271"/>
        <v>6.8162084637151565E-2</v>
      </c>
      <c r="Z1240" s="38">
        <f t="shared" si="275"/>
        <v>0</v>
      </c>
      <c r="AC1240" s="36">
        <v>0.125</v>
      </c>
      <c r="AL1240" t="str">
        <f t="shared" si="276"/>
        <v>Normal</v>
      </c>
      <c r="AM1240" t="str">
        <f t="shared" si="277"/>
        <v>No</v>
      </c>
      <c r="AN1240" t="str">
        <f t="shared" si="278"/>
        <v>Elective</v>
      </c>
      <c r="AO1240" t="str">
        <f t="shared" si="279"/>
        <v>General Ward</v>
      </c>
    </row>
    <row r="1241" spans="1:41" x14ac:dyDescent="0.3">
      <c r="A1241" s="21" t="str">
        <f t="shared" si="272"/>
        <v>UHID-01240</v>
      </c>
      <c r="B1241" s="18">
        <v>41</v>
      </c>
      <c r="C1241" s="10" t="s">
        <v>18</v>
      </c>
      <c r="D1241" s="13" t="s">
        <v>26</v>
      </c>
      <c r="E1241" s="13" t="s">
        <v>11</v>
      </c>
      <c r="F1241" s="15">
        <v>46183.446421863402</v>
      </c>
      <c r="G1241" s="4">
        <v>46183</v>
      </c>
      <c r="H1241" s="1">
        <v>46184.719503553199</v>
      </c>
      <c r="I1241" s="22">
        <v>46184</v>
      </c>
      <c r="J1241" s="24">
        <f t="shared" si="266"/>
        <v>46184.561137589328</v>
      </c>
      <c r="K1241" s="24">
        <f t="shared" si="267"/>
        <v>0.71950355319859227</v>
      </c>
      <c r="L1241" s="29">
        <f t="shared" si="273"/>
        <v>46183</v>
      </c>
      <c r="M1241" s="27" t="str">
        <f t="shared" si="268"/>
        <v>TPA Approval Delay</v>
      </c>
      <c r="N1241" s="31">
        <f t="shared" si="269"/>
        <v>1</v>
      </c>
      <c r="O1241" s="27"/>
      <c r="Q1241" s="8">
        <v>0.67489812814177363</v>
      </c>
      <c r="R1241" s="8" t="str">
        <f t="shared" si="270"/>
        <v>Major Delay</v>
      </c>
      <c r="S1241" s="33">
        <v>3.8007831328771489</v>
      </c>
      <c r="T1241" t="s">
        <v>31</v>
      </c>
      <c r="U1241" s="3">
        <v>0</v>
      </c>
      <c r="V1241" s="3" t="str">
        <f t="shared" si="274"/>
        <v>Normal</v>
      </c>
      <c r="W1241" s="3" t="s">
        <v>51</v>
      </c>
      <c r="X1241" s="32">
        <f t="shared" si="271"/>
        <v>0.1583659638708923</v>
      </c>
      <c r="Z1241" s="38">
        <f t="shared" si="275"/>
        <v>3.3365963870892301E-2</v>
      </c>
      <c r="AC1241" s="36">
        <v>0.125</v>
      </c>
      <c r="AL1241" t="str">
        <f t="shared" si="276"/>
        <v>TPA Approval Delay</v>
      </c>
      <c r="AM1241" t="str">
        <f t="shared" si="277"/>
        <v>No</v>
      </c>
      <c r="AN1241" t="str">
        <f t="shared" si="278"/>
        <v>Elective</v>
      </c>
      <c r="AO1241" t="str">
        <f t="shared" si="279"/>
        <v>General Ward</v>
      </c>
    </row>
    <row r="1242" spans="1:41" x14ac:dyDescent="0.3">
      <c r="A1242" s="21" t="str">
        <f t="shared" si="272"/>
        <v>UHID-01241</v>
      </c>
      <c r="B1242" s="18">
        <v>42</v>
      </c>
      <c r="C1242" s="10" t="s">
        <v>18</v>
      </c>
      <c r="D1242" s="13" t="s">
        <v>26</v>
      </c>
      <c r="E1242" s="13" t="s">
        <v>11</v>
      </c>
      <c r="F1242" s="15">
        <v>46181.774378310198</v>
      </c>
      <c r="G1242" s="4">
        <v>46181</v>
      </c>
      <c r="H1242" s="1">
        <v>46184.809881134301</v>
      </c>
      <c r="I1242" s="22">
        <v>46184</v>
      </c>
      <c r="J1242" s="24">
        <f t="shared" si="266"/>
        <v>46184.542119857178</v>
      </c>
      <c r="K1242" s="24">
        <f t="shared" si="267"/>
        <v>0.80988113430066733</v>
      </c>
      <c r="L1242" s="29">
        <f t="shared" si="273"/>
        <v>46183</v>
      </c>
      <c r="M1242" s="27" t="str">
        <f t="shared" si="268"/>
        <v>Health Deterioration/TPA Approval Delay</v>
      </c>
      <c r="N1242" s="31">
        <f t="shared" si="269"/>
        <v>3</v>
      </c>
      <c r="O1242" s="27"/>
      <c r="Q1242" s="8">
        <v>0.81984395330971793</v>
      </c>
      <c r="R1242" s="8" t="str">
        <f t="shared" si="270"/>
        <v>Critical Delay</v>
      </c>
      <c r="S1242" s="33">
        <v>3.4262706509322842</v>
      </c>
      <c r="T1242" t="s">
        <v>31</v>
      </c>
      <c r="U1242" s="3">
        <v>3</v>
      </c>
      <c r="V1242" s="3" t="str">
        <f t="shared" si="274"/>
        <v>Normal</v>
      </c>
      <c r="W1242" s="3" t="s">
        <v>50</v>
      </c>
      <c r="X1242" s="32">
        <f t="shared" si="271"/>
        <v>0.26776127712219022</v>
      </c>
      <c r="Z1242" s="38">
        <f t="shared" si="275"/>
        <v>0.14276127712219022</v>
      </c>
      <c r="AC1242" s="36">
        <v>0.125</v>
      </c>
      <c r="AL1242" t="str">
        <f t="shared" si="276"/>
        <v>Health Deterioration/TPA Approval Delay</v>
      </c>
      <c r="AM1242" t="str">
        <f t="shared" si="277"/>
        <v>No</v>
      </c>
      <c r="AN1242" t="str">
        <f t="shared" si="278"/>
        <v>Emergency</v>
      </c>
      <c r="AO1242" t="str">
        <f t="shared" si="279"/>
        <v>General Ward</v>
      </c>
    </row>
    <row r="1243" spans="1:41" x14ac:dyDescent="0.3">
      <c r="A1243" s="21" t="str">
        <f t="shared" si="272"/>
        <v>UHID-01242</v>
      </c>
      <c r="B1243" s="18">
        <v>32</v>
      </c>
      <c r="C1243" s="10" t="s">
        <v>17</v>
      </c>
      <c r="D1243" s="13" t="s">
        <v>26</v>
      </c>
      <c r="E1243" s="13" t="s">
        <v>11</v>
      </c>
      <c r="F1243" s="15">
        <v>46185.4282804861</v>
      </c>
      <c r="G1243" s="4">
        <v>46185</v>
      </c>
      <c r="H1243" s="1">
        <v>46185.719227002301</v>
      </c>
      <c r="I1243" s="22">
        <v>46185</v>
      </c>
      <c r="J1243" s="24">
        <f t="shared" si="266"/>
        <v>46185.558277347598</v>
      </c>
      <c r="K1243" s="24">
        <f t="shared" si="267"/>
        <v>0.71922700230061309</v>
      </c>
      <c r="L1243" s="29">
        <f t="shared" si="273"/>
        <v>46184</v>
      </c>
      <c r="M1243" s="27" t="str">
        <f t="shared" si="268"/>
        <v>TPA Approval Delay</v>
      </c>
      <c r="N1243" s="31">
        <f t="shared" si="269"/>
        <v>0</v>
      </c>
      <c r="O1243" s="27"/>
      <c r="Q1243" s="8">
        <v>0.6605996459811091</v>
      </c>
      <c r="R1243" s="8" t="str">
        <f t="shared" si="270"/>
        <v>Major Delay</v>
      </c>
      <c r="S1243" s="33">
        <v>3.8627917129329807</v>
      </c>
      <c r="T1243" t="s">
        <v>31</v>
      </c>
      <c r="U1243" s="3">
        <v>0</v>
      </c>
      <c r="V1243" s="3" t="str">
        <f t="shared" si="274"/>
        <v>Normal</v>
      </c>
      <c r="W1243" s="3" t="s">
        <v>51</v>
      </c>
      <c r="X1243" s="32">
        <f t="shared" si="271"/>
        <v>0.16094965470256284</v>
      </c>
      <c r="Z1243" s="38">
        <f t="shared" si="275"/>
        <v>3.5949654702562839E-2</v>
      </c>
      <c r="AC1243" s="36">
        <v>0.125</v>
      </c>
      <c r="AL1243" t="str">
        <f t="shared" si="276"/>
        <v>TPA Approval Delay</v>
      </c>
      <c r="AM1243" t="str">
        <f t="shared" si="277"/>
        <v>No</v>
      </c>
      <c r="AN1243" t="str">
        <f t="shared" si="278"/>
        <v>Elective</v>
      </c>
      <c r="AO1243" t="str">
        <f t="shared" si="279"/>
        <v>General Ward</v>
      </c>
    </row>
    <row r="1244" spans="1:41" x14ac:dyDescent="0.3">
      <c r="A1244" s="21" t="str">
        <f t="shared" si="272"/>
        <v>UHID-01243</v>
      </c>
      <c r="B1244" s="18">
        <v>53</v>
      </c>
      <c r="C1244" s="10" t="s">
        <v>18</v>
      </c>
      <c r="D1244" s="13" t="s">
        <v>27</v>
      </c>
      <c r="E1244" s="13" t="s">
        <v>11</v>
      </c>
      <c r="F1244" s="15">
        <v>46182.882424189796</v>
      </c>
      <c r="G1244" s="4">
        <v>46182</v>
      </c>
      <c r="H1244" s="1">
        <v>46185.509863773099</v>
      </c>
      <c r="I1244" s="22">
        <v>46185</v>
      </c>
      <c r="J1244" s="24">
        <f t="shared" si="266"/>
        <v>46185.467695881794</v>
      </c>
      <c r="K1244" s="24">
        <f t="shared" si="267"/>
        <v>0.50986377309891395</v>
      </c>
      <c r="L1244" s="29">
        <f t="shared" si="273"/>
        <v>46184</v>
      </c>
      <c r="M1244" s="27" t="str">
        <f t="shared" si="268"/>
        <v>Normal</v>
      </c>
      <c r="N1244" s="31">
        <f t="shared" si="269"/>
        <v>3</v>
      </c>
      <c r="O1244" s="27"/>
      <c r="Q1244" s="8">
        <v>0.43270119723493849</v>
      </c>
      <c r="R1244" s="8" t="str">
        <f t="shared" si="270"/>
        <v>On Time</v>
      </c>
      <c r="S1244" s="33">
        <v>1.0120293913789857</v>
      </c>
      <c r="T1244" t="s">
        <v>31</v>
      </c>
      <c r="U1244" s="3">
        <v>0</v>
      </c>
      <c r="V1244" s="3" t="str">
        <f t="shared" si="274"/>
        <v>Normal</v>
      </c>
      <c r="W1244" s="3" t="s">
        <v>51</v>
      </c>
      <c r="X1244" s="32">
        <f t="shared" si="271"/>
        <v>4.2167891304416116E-2</v>
      </c>
      <c r="Z1244" s="38">
        <f t="shared" si="275"/>
        <v>0</v>
      </c>
      <c r="AC1244" s="36">
        <v>0.125</v>
      </c>
      <c r="AL1244" t="str">
        <f t="shared" si="276"/>
        <v>Normal</v>
      </c>
      <c r="AM1244" t="str">
        <f t="shared" si="277"/>
        <v>No</v>
      </c>
      <c r="AN1244" t="str">
        <f t="shared" si="278"/>
        <v>Elective</v>
      </c>
      <c r="AO1244" t="str">
        <f t="shared" si="279"/>
        <v>General Ward</v>
      </c>
    </row>
    <row r="1245" spans="1:41" x14ac:dyDescent="0.3">
      <c r="A1245" s="21" t="str">
        <f t="shared" si="272"/>
        <v>UHID-01244</v>
      </c>
      <c r="B1245" s="18">
        <v>30</v>
      </c>
      <c r="C1245" s="10" t="s">
        <v>18</v>
      </c>
      <c r="D1245" s="13" t="s">
        <v>28</v>
      </c>
      <c r="E1245" s="13" t="s">
        <v>11</v>
      </c>
      <c r="F1245" s="15">
        <v>46184.828372650503</v>
      </c>
      <c r="G1245" s="4">
        <v>46184</v>
      </c>
      <c r="H1245" s="1">
        <v>46185.763407523104</v>
      </c>
      <c r="I1245" s="22">
        <v>46185</v>
      </c>
      <c r="J1245" s="24">
        <f t="shared" si="266"/>
        <v>46185.550145633737</v>
      </c>
      <c r="K1245" s="24">
        <f t="shared" si="267"/>
        <v>0.763407523103524</v>
      </c>
      <c r="L1245" s="29">
        <f t="shared" si="273"/>
        <v>46184</v>
      </c>
      <c r="M1245" s="27" t="str">
        <f t="shared" si="268"/>
        <v>Health Deterioration</v>
      </c>
      <c r="N1245" s="31">
        <f t="shared" si="269"/>
        <v>1</v>
      </c>
      <c r="O1245" s="27"/>
      <c r="Q1245" s="8">
        <v>0.99575948511593337</v>
      </c>
      <c r="R1245" s="8" t="str">
        <f t="shared" si="270"/>
        <v>Critical Delay</v>
      </c>
      <c r="S1245" s="33">
        <v>2.1182853447161341</v>
      </c>
      <c r="T1245" t="s">
        <v>31</v>
      </c>
      <c r="U1245" s="3">
        <v>3</v>
      </c>
      <c r="V1245" s="3" t="str">
        <f t="shared" si="274"/>
        <v>Normal</v>
      </c>
      <c r="W1245" s="3" t="s">
        <v>50</v>
      </c>
      <c r="X1245" s="32">
        <f t="shared" si="271"/>
        <v>0.21326188936654944</v>
      </c>
      <c r="Z1245" s="38">
        <f t="shared" si="275"/>
        <v>8.826188936654944E-2</v>
      </c>
      <c r="AC1245" s="36">
        <v>0.125</v>
      </c>
      <c r="AL1245" t="str">
        <f t="shared" si="276"/>
        <v>Health Deterioration</v>
      </c>
      <c r="AM1245" t="str">
        <f t="shared" si="277"/>
        <v>No</v>
      </c>
      <c r="AN1245" t="str">
        <f t="shared" si="278"/>
        <v>Emergency</v>
      </c>
      <c r="AO1245" t="str">
        <f t="shared" si="279"/>
        <v>General Ward</v>
      </c>
    </row>
    <row r="1246" spans="1:41" x14ac:dyDescent="0.3">
      <c r="A1246" s="21" t="str">
        <f t="shared" si="272"/>
        <v>UHID-01245</v>
      </c>
      <c r="B1246" s="18">
        <v>60</v>
      </c>
      <c r="C1246" s="10" t="s">
        <v>17</v>
      </c>
      <c r="D1246" s="13" t="s">
        <v>26</v>
      </c>
      <c r="E1246" s="13" t="s">
        <v>11</v>
      </c>
      <c r="F1246" s="15">
        <v>46181.5083168403</v>
      </c>
      <c r="G1246" s="4">
        <v>46181</v>
      </c>
      <c r="H1246" s="1">
        <v>46185.648658275502</v>
      </c>
      <c r="I1246" s="22">
        <v>46185</v>
      </c>
      <c r="J1246" s="24">
        <f t="shared" si="266"/>
        <v>46185.515714215064</v>
      </c>
      <c r="K1246" s="24">
        <f t="shared" si="267"/>
        <v>0.64865827550238464</v>
      </c>
      <c r="L1246" s="29">
        <f t="shared" si="273"/>
        <v>46184</v>
      </c>
      <c r="M1246" s="27" t="str">
        <f t="shared" si="268"/>
        <v>TPA Approval Delay</v>
      </c>
      <c r="N1246" s="31">
        <f t="shared" si="269"/>
        <v>4</v>
      </c>
      <c r="O1246" s="27"/>
      <c r="Q1246" s="8">
        <v>0.57800779221340159</v>
      </c>
      <c r="R1246" s="8" t="str">
        <f t="shared" si="270"/>
        <v>Major Delay</v>
      </c>
      <c r="S1246" s="33">
        <v>3.1906574505309733</v>
      </c>
      <c r="T1246" t="s">
        <v>31</v>
      </c>
      <c r="U1246" s="3">
        <v>0</v>
      </c>
      <c r="V1246" s="3" t="str">
        <f t="shared" si="274"/>
        <v>Normal</v>
      </c>
      <c r="W1246" s="3" t="s">
        <v>51</v>
      </c>
      <c r="X1246" s="32">
        <f t="shared" si="271"/>
        <v>0.13294406043860363</v>
      </c>
      <c r="Z1246" s="38">
        <f t="shared" si="275"/>
        <v>7.9440604386036284E-3</v>
      </c>
      <c r="AC1246" s="36">
        <v>0.125</v>
      </c>
      <c r="AL1246" t="str">
        <f t="shared" si="276"/>
        <v>TPA Approval Delay</v>
      </c>
      <c r="AM1246" t="str">
        <f t="shared" si="277"/>
        <v>No</v>
      </c>
      <c r="AN1246" t="str">
        <f t="shared" si="278"/>
        <v>Elective</v>
      </c>
      <c r="AO1246" t="str">
        <f t="shared" si="279"/>
        <v>HDU</v>
      </c>
    </row>
    <row r="1247" spans="1:41" x14ac:dyDescent="0.3">
      <c r="A1247" s="21" t="str">
        <f t="shared" si="272"/>
        <v>UHID-01246</v>
      </c>
      <c r="B1247" s="18">
        <v>29</v>
      </c>
      <c r="C1247" s="10" t="s">
        <v>18</v>
      </c>
      <c r="D1247" s="13" t="s">
        <v>26</v>
      </c>
      <c r="E1247" s="13" t="s">
        <v>11</v>
      </c>
      <c r="F1247" s="15">
        <v>46185.373895347198</v>
      </c>
      <c r="G1247" s="4">
        <v>46185</v>
      </c>
      <c r="H1247" s="1">
        <v>46185.647420509304</v>
      </c>
      <c r="I1247" s="22">
        <v>46185</v>
      </c>
      <c r="J1247" s="24">
        <f t="shared" si="266"/>
        <v>46185.48215261774</v>
      </c>
      <c r="K1247" s="24">
        <f t="shared" si="267"/>
        <v>0.64742050930362893</v>
      </c>
      <c r="L1247" s="29">
        <f t="shared" si="273"/>
        <v>46184</v>
      </c>
      <c r="M1247" s="27" t="str">
        <f t="shared" si="268"/>
        <v>TPA Approval Delay</v>
      </c>
      <c r="N1247" s="31">
        <f t="shared" si="269"/>
        <v>0</v>
      </c>
      <c r="O1247" s="27"/>
      <c r="Q1247" s="8">
        <v>0.79661745239557358</v>
      </c>
      <c r="R1247" s="8" t="str">
        <f t="shared" si="270"/>
        <v>Major Delay</v>
      </c>
      <c r="S1247" s="33">
        <v>3.9664293975293252</v>
      </c>
      <c r="T1247" t="s">
        <v>31</v>
      </c>
      <c r="U1247" s="3">
        <v>0</v>
      </c>
      <c r="V1247" s="3" t="str">
        <f t="shared" si="274"/>
        <v>Normal</v>
      </c>
      <c r="W1247" s="3" t="s">
        <v>51</v>
      </c>
      <c r="X1247" s="32">
        <f t="shared" si="271"/>
        <v>0.16526789156341692</v>
      </c>
      <c r="Z1247" s="38">
        <f t="shared" si="275"/>
        <v>4.0267891563416924E-2</v>
      </c>
      <c r="AC1247" s="36">
        <v>0.125</v>
      </c>
      <c r="AL1247" t="str">
        <f t="shared" si="276"/>
        <v>TPA Approval Delay</v>
      </c>
      <c r="AM1247" t="str">
        <f t="shared" si="277"/>
        <v>No</v>
      </c>
      <c r="AN1247" t="str">
        <f t="shared" si="278"/>
        <v>Elective</v>
      </c>
      <c r="AO1247" t="str">
        <f t="shared" si="279"/>
        <v>General Ward</v>
      </c>
    </row>
    <row r="1248" spans="1:41" x14ac:dyDescent="0.3">
      <c r="A1248" s="21" t="str">
        <f t="shared" si="272"/>
        <v>UHID-01247</v>
      </c>
      <c r="B1248" s="18">
        <v>29</v>
      </c>
      <c r="C1248" s="10" t="s">
        <v>18</v>
      </c>
      <c r="D1248" s="13" t="s">
        <v>26</v>
      </c>
      <c r="E1248" s="13" t="s">
        <v>11</v>
      </c>
      <c r="F1248" s="15">
        <v>46184.703163055601</v>
      </c>
      <c r="G1248" s="4">
        <v>46184</v>
      </c>
      <c r="H1248" s="1">
        <v>46186.518386585602</v>
      </c>
      <c r="I1248" s="22">
        <v>46186</v>
      </c>
      <c r="J1248" s="24">
        <f t="shared" si="266"/>
        <v>46186.378828193541</v>
      </c>
      <c r="K1248" s="24">
        <f t="shared" si="267"/>
        <v>0.51838658560154727</v>
      </c>
      <c r="L1248" s="29">
        <f t="shared" si="273"/>
        <v>46185</v>
      </c>
      <c r="M1248" s="27" t="str">
        <f t="shared" si="268"/>
        <v>TPA Approval Delay</v>
      </c>
      <c r="N1248" s="31">
        <f t="shared" si="269"/>
        <v>2</v>
      </c>
      <c r="O1248" s="27"/>
      <c r="Q1248" s="8">
        <v>0.55882187517813586</v>
      </c>
      <c r="R1248" s="8" t="str">
        <f t="shared" si="270"/>
        <v>Major Delay</v>
      </c>
      <c r="S1248" s="33">
        <v>3.3494014094570614</v>
      </c>
      <c r="T1248" t="s">
        <v>31</v>
      </c>
      <c r="U1248" s="3">
        <v>0</v>
      </c>
      <c r="V1248" s="3" t="str">
        <f t="shared" si="274"/>
        <v>Normal</v>
      </c>
      <c r="W1248" s="3" t="s">
        <v>51</v>
      </c>
      <c r="X1248" s="32">
        <f t="shared" si="271"/>
        <v>0.13955839206028031</v>
      </c>
      <c r="Z1248" s="38">
        <f t="shared" si="275"/>
        <v>1.4558392060280312E-2</v>
      </c>
      <c r="AC1248" s="36">
        <v>0.125</v>
      </c>
      <c r="AL1248" t="str">
        <f t="shared" si="276"/>
        <v>TPA Approval Delay</v>
      </c>
      <c r="AM1248" t="str">
        <f t="shared" si="277"/>
        <v>No</v>
      </c>
      <c r="AN1248" t="str">
        <f t="shared" si="278"/>
        <v>Elective</v>
      </c>
      <c r="AO1248" t="str">
        <f t="shared" si="279"/>
        <v>General Ward</v>
      </c>
    </row>
    <row r="1249" spans="1:41" x14ac:dyDescent="0.3">
      <c r="A1249" s="21" t="str">
        <f t="shared" si="272"/>
        <v>UHID-01248</v>
      </c>
      <c r="B1249" s="18">
        <v>56</v>
      </c>
      <c r="C1249" s="10" t="s">
        <v>18</v>
      </c>
      <c r="D1249" s="13" t="s">
        <v>27</v>
      </c>
      <c r="E1249" s="13" t="s">
        <v>11</v>
      </c>
      <c r="F1249" s="15">
        <v>46181.727674768503</v>
      </c>
      <c r="G1249" s="4">
        <v>46181</v>
      </c>
      <c r="H1249" s="1">
        <v>46186.554209155103</v>
      </c>
      <c r="I1249" s="22">
        <v>46186</v>
      </c>
      <c r="J1249" s="24">
        <f t="shared" si="266"/>
        <v>46186.350355959032</v>
      </c>
      <c r="K1249" s="24">
        <f t="shared" si="267"/>
        <v>0.55420915510330815</v>
      </c>
      <c r="L1249" s="29">
        <f t="shared" si="273"/>
        <v>46185</v>
      </c>
      <c r="M1249" s="27" t="str">
        <f t="shared" si="268"/>
        <v>Medication Change</v>
      </c>
      <c r="N1249" s="31">
        <f t="shared" si="269"/>
        <v>5</v>
      </c>
      <c r="O1249" s="27"/>
      <c r="Q1249" s="8">
        <v>0.16226393021782604</v>
      </c>
      <c r="R1249" s="8" t="str">
        <f t="shared" si="270"/>
        <v>Major Delay</v>
      </c>
      <c r="S1249" s="33">
        <v>1.8924767057785905</v>
      </c>
      <c r="T1249" t="s">
        <v>30</v>
      </c>
      <c r="U1249" s="3">
        <v>3</v>
      </c>
      <c r="V1249" s="3" t="str">
        <f t="shared" si="274"/>
        <v/>
      </c>
      <c r="W1249" s="3" t="s">
        <v>50</v>
      </c>
      <c r="X1249" s="32">
        <f t="shared" si="271"/>
        <v>0.20385319607157726</v>
      </c>
      <c r="Z1249" s="38">
        <f t="shared" si="275"/>
        <v>7.8853196071577258E-2</v>
      </c>
      <c r="AC1249" s="36">
        <v>0.125</v>
      </c>
      <c r="AL1249" t="str">
        <f t="shared" si="276"/>
        <v>Medication Change</v>
      </c>
      <c r="AM1249" t="str">
        <f t="shared" si="277"/>
        <v>No</v>
      </c>
      <c r="AN1249" t="str">
        <f t="shared" si="278"/>
        <v>Elective</v>
      </c>
      <c r="AO1249" t="str">
        <f t="shared" si="279"/>
        <v>HDU</v>
      </c>
    </row>
    <row r="1250" spans="1:41" x14ac:dyDescent="0.3">
      <c r="A1250" s="21" t="str">
        <f t="shared" si="272"/>
        <v>UHID-01249</v>
      </c>
      <c r="B1250" s="18">
        <v>44</v>
      </c>
      <c r="C1250" s="10" t="s">
        <v>18</v>
      </c>
      <c r="D1250" s="13" t="s">
        <v>27</v>
      </c>
      <c r="E1250" s="13" t="s">
        <v>11</v>
      </c>
      <c r="F1250" s="15">
        <v>46186.442525601902</v>
      </c>
      <c r="G1250" s="4">
        <v>46186</v>
      </c>
      <c r="H1250" s="1">
        <v>46186.684808113401</v>
      </c>
      <c r="I1250" s="22">
        <v>46186</v>
      </c>
      <c r="J1250" s="24">
        <f t="shared" si="266"/>
        <v>46186.641426960174</v>
      </c>
      <c r="K1250" s="24">
        <f t="shared" si="267"/>
        <v>0.68480811340123182</v>
      </c>
      <c r="L1250" s="29">
        <f t="shared" si="273"/>
        <v>46185</v>
      </c>
      <c r="M1250" s="27" t="str">
        <f t="shared" si="268"/>
        <v>Normal</v>
      </c>
      <c r="N1250" s="31">
        <f t="shared" si="269"/>
        <v>0</v>
      </c>
      <c r="O1250" s="27"/>
      <c r="Q1250" s="8">
        <v>0.29694297254238378</v>
      </c>
      <c r="R1250" s="8" t="str">
        <f t="shared" si="270"/>
        <v>On Time</v>
      </c>
      <c r="S1250" s="33">
        <v>1.0411476774639277</v>
      </c>
      <c r="T1250" t="s">
        <v>30</v>
      </c>
      <c r="U1250" s="3">
        <v>0</v>
      </c>
      <c r="V1250" s="3" t="str">
        <f t="shared" si="274"/>
        <v/>
      </c>
      <c r="W1250" s="3" t="s">
        <v>51</v>
      </c>
      <c r="X1250" s="32">
        <f t="shared" si="271"/>
        <v>4.3381153227528557E-2</v>
      </c>
      <c r="Z1250" s="38">
        <f t="shared" si="275"/>
        <v>0</v>
      </c>
      <c r="AC1250" s="36">
        <v>0.125</v>
      </c>
      <c r="AL1250" t="str">
        <f t="shared" si="276"/>
        <v>Normal</v>
      </c>
      <c r="AM1250" t="str">
        <f t="shared" si="277"/>
        <v>No</v>
      </c>
      <c r="AN1250" t="str">
        <f t="shared" si="278"/>
        <v>Elective</v>
      </c>
      <c r="AO1250" t="str">
        <f t="shared" si="279"/>
        <v>General Ward</v>
      </c>
    </row>
    <row r="1251" spans="1:41" x14ac:dyDescent="0.3">
      <c r="A1251" s="21" t="str">
        <f t="shared" si="272"/>
        <v>UHID-01250</v>
      </c>
      <c r="B1251" s="18">
        <v>73</v>
      </c>
      <c r="C1251" s="10" t="s">
        <v>18</v>
      </c>
      <c r="D1251" s="13" t="s">
        <v>27</v>
      </c>
      <c r="E1251" s="13" t="s">
        <v>11</v>
      </c>
      <c r="F1251" s="15">
        <v>46182.748579108797</v>
      </c>
      <c r="G1251" s="4">
        <v>46182</v>
      </c>
      <c r="H1251" s="1">
        <v>46186.5136630903</v>
      </c>
      <c r="I1251" s="22">
        <v>46186</v>
      </c>
      <c r="J1251" s="24">
        <f t="shared" si="266"/>
        <v>46186.438636839659</v>
      </c>
      <c r="K1251" s="24">
        <f t="shared" si="267"/>
        <v>0.51366309029981494</v>
      </c>
      <c r="L1251" s="29">
        <f t="shared" si="273"/>
        <v>46185</v>
      </c>
      <c r="M1251" s="27" t="str">
        <f t="shared" si="268"/>
        <v>Normal</v>
      </c>
      <c r="N1251" s="31">
        <f t="shared" si="269"/>
        <v>4</v>
      </c>
      <c r="O1251" s="27"/>
      <c r="Q1251" s="8">
        <v>2.1181352949546484E-2</v>
      </c>
      <c r="R1251" s="8" t="str">
        <f t="shared" si="270"/>
        <v>On Time</v>
      </c>
      <c r="S1251" s="33">
        <v>1.8006300154476191</v>
      </c>
      <c r="T1251" t="s">
        <v>30</v>
      </c>
      <c r="U1251" s="3">
        <v>0</v>
      </c>
      <c r="V1251" s="3" t="str">
        <f t="shared" si="274"/>
        <v/>
      </c>
      <c r="W1251" s="3" t="s">
        <v>51</v>
      </c>
      <c r="X1251" s="32">
        <f t="shared" si="271"/>
        <v>7.5026250640803482E-2</v>
      </c>
      <c r="Z1251" s="38">
        <f t="shared" si="275"/>
        <v>0</v>
      </c>
      <c r="AC1251" s="36">
        <v>0.125</v>
      </c>
      <c r="AL1251" t="str">
        <f t="shared" si="276"/>
        <v>Normal</v>
      </c>
      <c r="AM1251" t="str">
        <f t="shared" si="277"/>
        <v>No</v>
      </c>
      <c r="AN1251" t="str">
        <f t="shared" si="278"/>
        <v>Elective</v>
      </c>
      <c r="AO1251" t="str">
        <f t="shared" si="279"/>
        <v>HDU</v>
      </c>
    </row>
    <row r="1252" spans="1:41" x14ac:dyDescent="0.3">
      <c r="A1252" s="21" t="str">
        <f t="shared" si="272"/>
        <v>UHID-01251</v>
      </c>
      <c r="B1252" s="18">
        <v>61</v>
      </c>
      <c r="C1252" s="10" t="s">
        <v>18</v>
      </c>
      <c r="D1252" s="13" t="s">
        <v>27</v>
      </c>
      <c r="E1252" s="13" t="s">
        <v>11</v>
      </c>
      <c r="F1252" s="15">
        <v>46181.844264143503</v>
      </c>
      <c r="G1252" s="4">
        <v>46181</v>
      </c>
      <c r="H1252" s="1">
        <v>46186.559507685197</v>
      </c>
      <c r="I1252" s="22">
        <v>46186</v>
      </c>
      <c r="J1252" s="24">
        <f t="shared" si="266"/>
        <v>46186.425347715121</v>
      </c>
      <c r="K1252" s="24">
        <f t="shared" si="267"/>
        <v>0.55950768519687699</v>
      </c>
      <c r="L1252" s="29">
        <f t="shared" si="273"/>
        <v>46185</v>
      </c>
      <c r="M1252" s="27" t="str">
        <f t="shared" si="268"/>
        <v>Medication Change</v>
      </c>
      <c r="N1252" s="31">
        <f t="shared" si="269"/>
        <v>5</v>
      </c>
      <c r="O1252" s="27"/>
      <c r="Q1252" s="8">
        <v>0.38040962889513386</v>
      </c>
      <c r="R1252" s="8" t="str">
        <f t="shared" si="270"/>
        <v>Major Delay</v>
      </c>
      <c r="S1252" s="33">
        <v>1.2198392817639885</v>
      </c>
      <c r="T1252" t="s">
        <v>31</v>
      </c>
      <c r="U1252" s="3">
        <v>2</v>
      </c>
      <c r="V1252" s="3" t="str">
        <f t="shared" si="274"/>
        <v>Normal</v>
      </c>
      <c r="W1252" s="3" t="s">
        <v>50</v>
      </c>
      <c r="X1252" s="32">
        <f t="shared" si="271"/>
        <v>0.13415997007541591</v>
      </c>
      <c r="Z1252" s="38">
        <f t="shared" si="275"/>
        <v>9.159970075415913E-3</v>
      </c>
      <c r="AC1252" s="36">
        <v>0.125</v>
      </c>
      <c r="AL1252" t="str">
        <f t="shared" si="276"/>
        <v>Medication Change</v>
      </c>
      <c r="AM1252" t="str">
        <f t="shared" si="277"/>
        <v>No</v>
      </c>
      <c r="AN1252" t="str">
        <f t="shared" si="278"/>
        <v>Elective</v>
      </c>
      <c r="AO1252" t="str">
        <f t="shared" si="279"/>
        <v>HDU</v>
      </c>
    </row>
    <row r="1253" spans="1:41" x14ac:dyDescent="0.3">
      <c r="A1253" s="21" t="str">
        <f t="shared" si="272"/>
        <v>UHID-01252</v>
      </c>
      <c r="B1253" s="18">
        <v>58</v>
      </c>
      <c r="C1253" s="10" t="s">
        <v>18</v>
      </c>
      <c r="D1253" s="13" t="s">
        <v>26</v>
      </c>
      <c r="E1253" s="13" t="s">
        <v>11</v>
      </c>
      <c r="F1253" s="15">
        <v>46186.418122523202</v>
      </c>
      <c r="G1253" s="4">
        <v>46186</v>
      </c>
      <c r="H1253" s="1">
        <v>46186.597355705999</v>
      </c>
      <c r="I1253" s="22">
        <v>46186</v>
      </c>
      <c r="J1253" s="24">
        <f t="shared" si="266"/>
        <v>46186.301151459586</v>
      </c>
      <c r="K1253" s="24">
        <f t="shared" si="267"/>
        <v>0.59735570599877974</v>
      </c>
      <c r="L1253" s="29">
        <f t="shared" si="273"/>
        <v>46185</v>
      </c>
      <c r="M1253" s="27" t="str">
        <f t="shared" si="268"/>
        <v>Health Deterioration/TPA Approval Delay</v>
      </c>
      <c r="N1253" s="31">
        <f t="shared" si="269"/>
        <v>0</v>
      </c>
      <c r="O1253" s="27"/>
      <c r="Q1253" s="8">
        <v>0.839663317908242</v>
      </c>
      <c r="R1253" s="8" t="str">
        <f t="shared" si="270"/>
        <v>Critical Delay</v>
      </c>
      <c r="S1253" s="33">
        <v>3.1089019139463137</v>
      </c>
      <c r="T1253" t="s">
        <v>31</v>
      </c>
      <c r="U1253" s="3">
        <v>4</v>
      </c>
      <c r="V1253" s="3" t="str">
        <f t="shared" si="274"/>
        <v>Normal</v>
      </c>
      <c r="W1253" s="3" t="s">
        <v>50</v>
      </c>
      <c r="X1253" s="32">
        <f t="shared" si="271"/>
        <v>0.29620424641325371</v>
      </c>
      <c r="Z1253" s="38">
        <f t="shared" si="275"/>
        <v>0.17120424641325371</v>
      </c>
      <c r="AC1253" s="36">
        <v>0.125</v>
      </c>
      <c r="AL1253" t="str">
        <f t="shared" si="276"/>
        <v>Health Deterioration/TPA Approval Delay</v>
      </c>
      <c r="AM1253" t="str">
        <f t="shared" si="277"/>
        <v>No</v>
      </c>
      <c r="AN1253" t="str">
        <f t="shared" si="278"/>
        <v>Emergency</v>
      </c>
      <c r="AO1253" t="str">
        <f t="shared" si="279"/>
        <v>General Ward</v>
      </c>
    </row>
    <row r="1254" spans="1:41" x14ac:dyDescent="0.3">
      <c r="A1254" s="21" t="str">
        <f t="shared" si="272"/>
        <v>UHID-01253</v>
      </c>
      <c r="B1254" s="18">
        <v>75</v>
      </c>
      <c r="C1254" s="10" t="s">
        <v>18</v>
      </c>
      <c r="D1254" s="13" t="s">
        <v>28</v>
      </c>
      <c r="E1254" s="13" t="s">
        <v>11</v>
      </c>
      <c r="F1254" s="15">
        <v>46184.814332881899</v>
      </c>
      <c r="G1254" s="4">
        <v>46184</v>
      </c>
      <c r="H1254" s="1">
        <v>46186.6467373958</v>
      </c>
      <c r="I1254" s="22">
        <v>46186</v>
      </c>
      <c r="J1254" s="24">
        <f t="shared" si="266"/>
        <v>46186.554331748252</v>
      </c>
      <c r="K1254" s="24">
        <f t="shared" si="267"/>
        <v>0.64673739580030087</v>
      </c>
      <c r="L1254" s="29">
        <f t="shared" si="273"/>
        <v>46185</v>
      </c>
      <c r="M1254" s="27" t="str">
        <f t="shared" si="268"/>
        <v>Doctor Round Delay/Report Delay</v>
      </c>
      <c r="N1254" s="31">
        <f t="shared" si="269"/>
        <v>2</v>
      </c>
      <c r="O1254" s="27"/>
      <c r="Q1254" s="8">
        <v>0.90481939594417093</v>
      </c>
      <c r="R1254" s="8" t="str">
        <f t="shared" si="270"/>
        <v>Minor Delay</v>
      </c>
      <c r="S1254" s="33">
        <v>2.2177355412287452</v>
      </c>
      <c r="T1254" t="s">
        <v>31</v>
      </c>
      <c r="U1254" s="3">
        <v>0</v>
      </c>
      <c r="V1254" s="3" t="str">
        <f t="shared" si="274"/>
        <v>Normal</v>
      </c>
      <c r="W1254" s="3" t="s">
        <v>51</v>
      </c>
      <c r="X1254" s="32">
        <f t="shared" si="271"/>
        <v>9.2405647548730485E-2</v>
      </c>
      <c r="Z1254" s="38">
        <f t="shared" si="275"/>
        <v>0</v>
      </c>
      <c r="AC1254" s="36">
        <v>0.125</v>
      </c>
      <c r="AL1254" t="str">
        <f t="shared" si="276"/>
        <v>Doctor Round Delay/Report Delay</v>
      </c>
      <c r="AM1254" t="str">
        <f t="shared" si="277"/>
        <v>No</v>
      </c>
      <c r="AN1254" t="str">
        <f t="shared" si="278"/>
        <v>Elective</v>
      </c>
      <c r="AO1254" t="str">
        <f t="shared" si="279"/>
        <v>General Ward</v>
      </c>
    </row>
    <row r="1255" spans="1:41" x14ac:dyDescent="0.3">
      <c r="A1255" s="21" t="str">
        <f t="shared" si="272"/>
        <v>UHID-01254</v>
      </c>
      <c r="B1255" s="18">
        <v>62</v>
      </c>
      <c r="C1255" s="10" t="s">
        <v>17</v>
      </c>
      <c r="D1255" s="13" t="s">
        <v>26</v>
      </c>
      <c r="E1255" s="13" t="s">
        <v>11</v>
      </c>
      <c r="F1255" s="15">
        <v>46186.424979942101</v>
      </c>
      <c r="G1255" s="4">
        <v>46186</v>
      </c>
      <c r="H1255" s="1">
        <v>46186.6840684954</v>
      </c>
      <c r="I1255" s="22">
        <v>46186</v>
      </c>
      <c r="J1255" s="24">
        <f t="shared" si="266"/>
        <v>46186.434392942458</v>
      </c>
      <c r="K1255" s="24">
        <f t="shared" si="267"/>
        <v>0.68406849540042458</v>
      </c>
      <c r="L1255" s="29">
        <f t="shared" si="273"/>
        <v>46185</v>
      </c>
      <c r="M1255" s="27" t="str">
        <f t="shared" si="268"/>
        <v>Health Deterioration/TPA Approval Delay</v>
      </c>
      <c r="N1255" s="31">
        <f t="shared" si="269"/>
        <v>0</v>
      </c>
      <c r="O1255" s="27"/>
      <c r="Q1255" s="8">
        <v>0.5235297595503996</v>
      </c>
      <c r="R1255" s="8" t="str">
        <f t="shared" si="270"/>
        <v>Critical Delay</v>
      </c>
      <c r="S1255" s="33">
        <v>3.9922132705704239</v>
      </c>
      <c r="T1255" t="s">
        <v>31</v>
      </c>
      <c r="U1255" s="3">
        <v>2</v>
      </c>
      <c r="V1255" s="3" t="str">
        <f t="shared" si="274"/>
        <v>Normal</v>
      </c>
      <c r="W1255" s="3" t="s">
        <v>50</v>
      </c>
      <c r="X1255" s="32">
        <f t="shared" si="271"/>
        <v>0.24967555294279009</v>
      </c>
      <c r="Z1255" s="38">
        <f t="shared" si="275"/>
        <v>0.12467555294279009</v>
      </c>
      <c r="AC1255" s="36">
        <v>0.125</v>
      </c>
      <c r="AL1255" t="str">
        <f t="shared" si="276"/>
        <v>Health Deterioration/TPA Approval Delay</v>
      </c>
      <c r="AM1255" t="str">
        <f t="shared" si="277"/>
        <v>No</v>
      </c>
      <c r="AN1255" t="str">
        <f t="shared" si="278"/>
        <v>Emergency</v>
      </c>
      <c r="AO1255" t="str">
        <f t="shared" si="279"/>
        <v>General Ward</v>
      </c>
    </row>
    <row r="1256" spans="1:41" x14ac:dyDescent="0.3">
      <c r="A1256" s="21" t="str">
        <f t="shared" si="272"/>
        <v>UHID-01255</v>
      </c>
      <c r="B1256" s="18">
        <v>67</v>
      </c>
      <c r="C1256" s="10" t="s">
        <v>18</v>
      </c>
      <c r="D1256" s="13" t="s">
        <v>27</v>
      </c>
      <c r="E1256" s="13" t="s">
        <v>11</v>
      </c>
      <c r="F1256" s="15">
        <v>46186.449816817098</v>
      </c>
      <c r="G1256" s="4">
        <v>46186</v>
      </c>
      <c r="H1256" s="1">
        <v>46186.686462256897</v>
      </c>
      <c r="I1256" s="22">
        <v>46186</v>
      </c>
      <c r="J1256" s="24">
        <f t="shared" si="266"/>
        <v>46186.49754749467</v>
      </c>
      <c r="K1256" s="24">
        <f t="shared" si="267"/>
        <v>0.68646225689735729</v>
      </c>
      <c r="L1256" s="29">
        <f t="shared" si="273"/>
        <v>46185</v>
      </c>
      <c r="M1256" s="27" t="str">
        <f t="shared" si="268"/>
        <v>Medication Change</v>
      </c>
      <c r="N1256" s="31">
        <f t="shared" si="269"/>
        <v>0</v>
      </c>
      <c r="O1256" s="27"/>
      <c r="Q1256" s="8">
        <v>0.17149199608437748</v>
      </c>
      <c r="R1256" s="8" t="str">
        <f t="shared" si="270"/>
        <v>Major Delay</v>
      </c>
      <c r="S1256" s="33">
        <v>1.5339542935325219</v>
      </c>
      <c r="T1256" t="s">
        <v>30</v>
      </c>
      <c r="U1256" s="3">
        <v>3</v>
      </c>
      <c r="V1256" s="3" t="str">
        <f t="shared" si="274"/>
        <v/>
      </c>
      <c r="W1256" s="3" t="s">
        <v>50</v>
      </c>
      <c r="X1256" s="32">
        <f t="shared" si="271"/>
        <v>0.18891476222779602</v>
      </c>
      <c r="Z1256" s="38">
        <f t="shared" si="275"/>
        <v>6.3914762227796018E-2</v>
      </c>
      <c r="AC1256" s="36">
        <v>0.125</v>
      </c>
      <c r="AL1256" t="str">
        <f t="shared" si="276"/>
        <v>Medication Change</v>
      </c>
      <c r="AM1256" t="str">
        <f t="shared" si="277"/>
        <v>No</v>
      </c>
      <c r="AN1256" t="str">
        <f t="shared" si="278"/>
        <v>Elective</v>
      </c>
      <c r="AO1256" t="str">
        <f t="shared" si="279"/>
        <v>General Ward</v>
      </c>
    </row>
    <row r="1257" spans="1:41" x14ac:dyDescent="0.3">
      <c r="A1257" s="21" t="str">
        <f t="shared" si="272"/>
        <v>UHID-01256</v>
      </c>
      <c r="B1257" s="18">
        <v>73</v>
      </c>
      <c r="C1257" s="10" t="s">
        <v>18</v>
      </c>
      <c r="D1257" s="13" t="s">
        <v>27</v>
      </c>
      <c r="E1257" s="13" t="s">
        <v>11</v>
      </c>
      <c r="F1257" s="15">
        <v>46183.811850682898</v>
      </c>
      <c r="G1257" s="4">
        <v>46183</v>
      </c>
      <c r="H1257" s="1">
        <v>46187.599371817101</v>
      </c>
      <c r="I1257" s="22">
        <v>46187</v>
      </c>
      <c r="J1257" s="24">
        <f t="shared" si="266"/>
        <v>46187.424653664639</v>
      </c>
      <c r="K1257" s="24">
        <f t="shared" si="267"/>
        <v>0.59937181710120058</v>
      </c>
      <c r="L1257" s="29">
        <f t="shared" si="273"/>
        <v>46186</v>
      </c>
      <c r="M1257" s="27" t="str">
        <f t="shared" si="268"/>
        <v>Medication Change</v>
      </c>
      <c r="N1257" s="31">
        <f t="shared" si="269"/>
        <v>4</v>
      </c>
      <c r="O1257" s="27"/>
      <c r="Q1257" s="8">
        <v>5.555764918473427E-3</v>
      </c>
      <c r="R1257" s="8" t="str">
        <f t="shared" si="270"/>
        <v>Major Delay</v>
      </c>
      <c r="S1257" s="33">
        <v>1.1932356590342399</v>
      </c>
      <c r="T1257" t="s">
        <v>30</v>
      </c>
      <c r="U1257" s="3">
        <v>3</v>
      </c>
      <c r="V1257" s="3" t="str">
        <f t="shared" si="274"/>
        <v/>
      </c>
      <c r="W1257" s="3" t="s">
        <v>50</v>
      </c>
      <c r="X1257" s="32">
        <f t="shared" si="271"/>
        <v>0.1747181524624466</v>
      </c>
      <c r="Z1257" s="38">
        <f t="shared" si="275"/>
        <v>4.9718152462446596E-2</v>
      </c>
      <c r="AC1257" s="36">
        <v>0.125</v>
      </c>
      <c r="AL1257" t="str">
        <f t="shared" si="276"/>
        <v>Medication Change</v>
      </c>
      <c r="AM1257" t="str">
        <f t="shared" si="277"/>
        <v>No</v>
      </c>
      <c r="AN1257" t="str">
        <f t="shared" si="278"/>
        <v>Elective</v>
      </c>
      <c r="AO1257" t="str">
        <f t="shared" si="279"/>
        <v>HDU</v>
      </c>
    </row>
    <row r="1258" spans="1:41" x14ac:dyDescent="0.3">
      <c r="A1258" s="21" t="str">
        <f t="shared" si="272"/>
        <v>UHID-01257</v>
      </c>
      <c r="B1258" s="18">
        <v>35</v>
      </c>
      <c r="C1258" s="10" t="s">
        <v>18</v>
      </c>
      <c r="D1258" s="13" t="s">
        <v>27</v>
      </c>
      <c r="E1258" s="13" t="s">
        <v>11</v>
      </c>
      <c r="F1258" s="15">
        <v>46185.7115259028</v>
      </c>
      <c r="G1258" s="4">
        <v>46185</v>
      </c>
      <c r="H1258" s="1">
        <v>46188.561791655098</v>
      </c>
      <c r="I1258" s="22">
        <v>46188</v>
      </c>
      <c r="J1258" s="24">
        <f t="shared" si="266"/>
        <v>46188.320373812385</v>
      </c>
      <c r="K1258" s="24">
        <f t="shared" si="267"/>
        <v>0.5617916550982045</v>
      </c>
      <c r="L1258" s="29">
        <f t="shared" si="273"/>
        <v>46187</v>
      </c>
      <c r="M1258" s="27" t="str">
        <f t="shared" si="268"/>
        <v>Health Deterioration</v>
      </c>
      <c r="N1258" s="31">
        <f t="shared" si="269"/>
        <v>3</v>
      </c>
      <c r="O1258" s="27"/>
      <c r="Q1258" s="8">
        <v>0.39908549775068625</v>
      </c>
      <c r="R1258" s="8" t="str">
        <f t="shared" si="270"/>
        <v>Critical Delay</v>
      </c>
      <c r="S1258" s="33">
        <v>1.7940282250992257</v>
      </c>
      <c r="T1258" t="s">
        <v>31</v>
      </c>
      <c r="U1258" s="3">
        <v>4</v>
      </c>
      <c r="V1258" s="3" t="str">
        <f t="shared" si="274"/>
        <v>Normal</v>
      </c>
      <c r="W1258" s="3" t="s">
        <v>50</v>
      </c>
      <c r="X1258" s="32">
        <f t="shared" si="271"/>
        <v>0.24141784271341749</v>
      </c>
      <c r="Z1258" s="38">
        <f t="shared" si="275"/>
        <v>0.11641784271341749</v>
      </c>
      <c r="AC1258" s="36">
        <v>0.125</v>
      </c>
      <c r="AL1258" t="str">
        <f t="shared" si="276"/>
        <v>Health Deterioration</v>
      </c>
      <c r="AM1258" t="str">
        <f t="shared" si="277"/>
        <v>No</v>
      </c>
      <c r="AN1258" t="str">
        <f t="shared" si="278"/>
        <v>Emergency</v>
      </c>
      <c r="AO1258" t="str">
        <f t="shared" si="279"/>
        <v>General Ward</v>
      </c>
    </row>
    <row r="1259" spans="1:41" x14ac:dyDescent="0.3">
      <c r="A1259" s="21" t="str">
        <f t="shared" si="272"/>
        <v>UHID-01258</v>
      </c>
      <c r="B1259" s="18">
        <v>36</v>
      </c>
      <c r="C1259" s="10" t="s">
        <v>18</v>
      </c>
      <c r="D1259" s="13" t="s">
        <v>27</v>
      </c>
      <c r="E1259" s="13" t="s">
        <v>11</v>
      </c>
      <c r="F1259" s="15">
        <v>46187.002438310199</v>
      </c>
      <c r="G1259" s="4">
        <v>46187</v>
      </c>
      <c r="H1259" s="1">
        <v>46188.528560949097</v>
      </c>
      <c r="I1259" s="22">
        <v>46188</v>
      </c>
      <c r="J1259" s="24">
        <f t="shared" si="266"/>
        <v>46188.445790763915</v>
      </c>
      <c r="K1259" s="24">
        <f t="shared" si="267"/>
        <v>0.52856094909657259</v>
      </c>
      <c r="L1259" s="29">
        <f t="shared" si="273"/>
        <v>46187</v>
      </c>
      <c r="M1259" s="27" t="str">
        <f t="shared" si="268"/>
        <v>Normal</v>
      </c>
      <c r="N1259" s="31">
        <f t="shared" si="269"/>
        <v>1</v>
      </c>
      <c r="O1259" s="27"/>
      <c r="Q1259" s="8">
        <v>9.1667446709699507E-2</v>
      </c>
      <c r="R1259" s="8" t="str">
        <f t="shared" si="270"/>
        <v>On Time</v>
      </c>
      <c r="S1259" s="33">
        <v>1.9864844443152911</v>
      </c>
      <c r="T1259" t="s">
        <v>30</v>
      </c>
      <c r="U1259" s="3">
        <v>0</v>
      </c>
      <c r="V1259" s="3" t="str">
        <f t="shared" si="274"/>
        <v/>
      </c>
      <c r="W1259" s="3" t="s">
        <v>51</v>
      </c>
      <c r="X1259" s="32">
        <f t="shared" si="271"/>
        <v>8.277018518128898E-2</v>
      </c>
      <c r="Z1259" s="38">
        <f t="shared" si="275"/>
        <v>0</v>
      </c>
      <c r="AC1259" s="36">
        <v>0.125</v>
      </c>
      <c r="AL1259" t="str">
        <f t="shared" si="276"/>
        <v>Normal</v>
      </c>
      <c r="AM1259" t="str">
        <f t="shared" si="277"/>
        <v>No</v>
      </c>
      <c r="AN1259" t="str">
        <f t="shared" si="278"/>
        <v>Elective</v>
      </c>
      <c r="AO1259" t="str">
        <f t="shared" si="279"/>
        <v>General Ward</v>
      </c>
    </row>
    <row r="1260" spans="1:41" x14ac:dyDescent="0.3">
      <c r="A1260" s="21" t="str">
        <f t="shared" si="272"/>
        <v>UHID-01259</v>
      </c>
      <c r="B1260" s="18">
        <v>41</v>
      </c>
      <c r="C1260" s="10" t="s">
        <v>18</v>
      </c>
      <c r="D1260" s="13" t="s">
        <v>27</v>
      </c>
      <c r="E1260" s="13" t="s">
        <v>11</v>
      </c>
      <c r="F1260" s="15">
        <v>46188.507460011599</v>
      </c>
      <c r="G1260" s="4">
        <v>46188</v>
      </c>
      <c r="H1260" s="1">
        <v>46188.724391018499</v>
      </c>
      <c r="I1260" s="22">
        <v>46188</v>
      </c>
      <c r="J1260" s="24">
        <f t="shared" si="266"/>
        <v>46188.664334371657</v>
      </c>
      <c r="K1260" s="24">
        <f t="shared" si="267"/>
        <v>0.72439101849886356</v>
      </c>
      <c r="L1260" s="29">
        <f t="shared" si="273"/>
        <v>46187</v>
      </c>
      <c r="M1260" s="27" t="str">
        <f t="shared" si="268"/>
        <v>Normal</v>
      </c>
      <c r="N1260" s="31">
        <f t="shared" si="269"/>
        <v>0</v>
      </c>
      <c r="O1260" s="27"/>
      <c r="Q1260" s="8">
        <v>0.3416885516252991</v>
      </c>
      <c r="R1260" s="8" t="str">
        <f t="shared" si="270"/>
        <v>On Time</v>
      </c>
      <c r="S1260" s="33">
        <v>1.4413595241729245</v>
      </c>
      <c r="T1260" t="s">
        <v>30</v>
      </c>
      <c r="U1260" s="3">
        <v>0</v>
      </c>
      <c r="V1260" s="3" t="str">
        <f t="shared" si="274"/>
        <v/>
      </c>
      <c r="W1260" s="3" t="s">
        <v>51</v>
      </c>
      <c r="X1260" s="32">
        <f t="shared" si="271"/>
        <v>6.0056646841985639E-2</v>
      </c>
      <c r="Z1260" s="38">
        <f t="shared" si="275"/>
        <v>0</v>
      </c>
      <c r="AC1260" s="36">
        <v>0.125</v>
      </c>
      <c r="AL1260" t="str">
        <f t="shared" si="276"/>
        <v>Normal</v>
      </c>
      <c r="AM1260" t="str">
        <f t="shared" si="277"/>
        <v>No</v>
      </c>
      <c r="AN1260" t="str">
        <f t="shared" si="278"/>
        <v>Elective</v>
      </c>
      <c r="AO1260" t="str">
        <f t="shared" si="279"/>
        <v>General Ward</v>
      </c>
    </row>
    <row r="1261" spans="1:41" x14ac:dyDescent="0.3">
      <c r="A1261" s="21" t="str">
        <f t="shared" si="272"/>
        <v>UHID-01260</v>
      </c>
      <c r="B1261" s="18">
        <v>16</v>
      </c>
      <c r="C1261" s="10" t="s">
        <v>17</v>
      </c>
      <c r="D1261" s="13" t="s">
        <v>27</v>
      </c>
      <c r="E1261" s="13" t="s">
        <v>11</v>
      </c>
      <c r="F1261" s="15">
        <v>46188.330654386598</v>
      </c>
      <c r="G1261" s="4">
        <v>46188</v>
      </c>
      <c r="H1261" s="1">
        <v>46188.765329768503</v>
      </c>
      <c r="I1261" s="22">
        <v>46188</v>
      </c>
      <c r="J1261" s="24">
        <f t="shared" si="266"/>
        <v>46188.712756815679</v>
      </c>
      <c r="K1261" s="24">
        <f t="shared" si="267"/>
        <v>0.76532976850285195</v>
      </c>
      <c r="L1261" s="29">
        <f t="shared" si="273"/>
        <v>46187</v>
      </c>
      <c r="M1261" s="27" t="str">
        <f t="shared" si="268"/>
        <v>Normal</v>
      </c>
      <c r="N1261" s="31">
        <f t="shared" si="269"/>
        <v>0</v>
      </c>
      <c r="O1261" s="27"/>
      <c r="Q1261" s="8">
        <v>8.7900769630435471E-2</v>
      </c>
      <c r="R1261" s="8" t="str">
        <f t="shared" si="270"/>
        <v>On Time</v>
      </c>
      <c r="S1261" s="33">
        <v>1.2617508678049192</v>
      </c>
      <c r="T1261" t="s">
        <v>30</v>
      </c>
      <c r="U1261" s="3">
        <v>0</v>
      </c>
      <c r="V1261" s="3" t="str">
        <f t="shared" si="274"/>
        <v/>
      </c>
      <c r="W1261" s="3" t="s">
        <v>51</v>
      </c>
      <c r="X1261" s="32">
        <f t="shared" si="271"/>
        <v>5.2572952823538799E-2</v>
      </c>
      <c r="Z1261" s="38">
        <f t="shared" si="275"/>
        <v>0</v>
      </c>
      <c r="AC1261" s="36">
        <v>0.125</v>
      </c>
      <c r="AL1261" t="str">
        <f t="shared" si="276"/>
        <v>Normal</v>
      </c>
      <c r="AM1261" t="str">
        <f t="shared" si="277"/>
        <v>No</v>
      </c>
      <c r="AN1261" t="str">
        <f t="shared" si="278"/>
        <v>Elective</v>
      </c>
      <c r="AO1261" t="str">
        <f t="shared" si="279"/>
        <v>General Ward</v>
      </c>
    </row>
    <row r="1262" spans="1:41" x14ac:dyDescent="0.3">
      <c r="A1262" s="21" t="str">
        <f t="shared" si="272"/>
        <v>UHID-01261</v>
      </c>
      <c r="B1262" s="18">
        <v>27</v>
      </c>
      <c r="C1262" s="10" t="s">
        <v>17</v>
      </c>
      <c r="D1262" s="13" t="s">
        <v>27</v>
      </c>
      <c r="E1262" s="13" t="s">
        <v>11</v>
      </c>
      <c r="F1262" s="15">
        <v>46187.930016400504</v>
      </c>
      <c r="G1262" s="4">
        <v>46187</v>
      </c>
      <c r="H1262" s="1">
        <v>46188.882016030097</v>
      </c>
      <c r="I1262" s="22">
        <v>46188</v>
      </c>
      <c r="J1262" s="24">
        <f t="shared" si="266"/>
        <v>46188.800892199397</v>
      </c>
      <c r="K1262" s="24">
        <f t="shared" si="267"/>
        <v>0.88201603009656537</v>
      </c>
      <c r="L1262" s="29">
        <f t="shared" si="273"/>
        <v>46187</v>
      </c>
      <c r="M1262" s="27" t="str">
        <f t="shared" si="268"/>
        <v>Normal</v>
      </c>
      <c r="N1262" s="31">
        <f t="shared" si="269"/>
        <v>1</v>
      </c>
      <c r="O1262" s="27"/>
      <c r="Q1262" s="8">
        <v>0.48653467463228051</v>
      </c>
      <c r="R1262" s="8" t="str">
        <f t="shared" si="270"/>
        <v>On Time</v>
      </c>
      <c r="S1262" s="33">
        <v>1.9469719368125094</v>
      </c>
      <c r="T1262" t="s">
        <v>31</v>
      </c>
      <c r="U1262" s="3">
        <v>0</v>
      </c>
      <c r="V1262" s="3" t="str">
        <f t="shared" si="274"/>
        <v>Normal</v>
      </c>
      <c r="W1262" s="3" t="s">
        <v>51</v>
      </c>
      <c r="X1262" s="32">
        <f t="shared" si="271"/>
        <v>8.1123830699652899E-2</v>
      </c>
      <c r="Z1262" s="38">
        <f t="shared" si="275"/>
        <v>0</v>
      </c>
      <c r="AC1262" s="36">
        <v>0.125</v>
      </c>
      <c r="AL1262" t="str">
        <f t="shared" si="276"/>
        <v>Normal</v>
      </c>
      <c r="AM1262" t="str">
        <f t="shared" si="277"/>
        <v>No</v>
      </c>
      <c r="AN1262" t="str">
        <f t="shared" si="278"/>
        <v>Elective</v>
      </c>
      <c r="AO1262" t="str">
        <f t="shared" si="279"/>
        <v>General Ward</v>
      </c>
    </row>
    <row r="1263" spans="1:41" x14ac:dyDescent="0.3">
      <c r="A1263" s="21" t="str">
        <f t="shared" si="272"/>
        <v>UHID-01262</v>
      </c>
      <c r="B1263" s="18">
        <v>32</v>
      </c>
      <c r="C1263" s="10" t="s">
        <v>18</v>
      </c>
      <c r="D1263" s="13" t="s">
        <v>26</v>
      </c>
      <c r="E1263" s="13" t="s">
        <v>11</v>
      </c>
      <c r="F1263" s="15">
        <v>46188.3585735417</v>
      </c>
      <c r="G1263" s="4">
        <v>46188</v>
      </c>
      <c r="H1263" s="1">
        <v>46189.607263437501</v>
      </c>
      <c r="I1263" s="22">
        <v>46189</v>
      </c>
      <c r="J1263" s="24">
        <f t="shared" si="266"/>
        <v>46189.452320545584</v>
      </c>
      <c r="K1263" s="24">
        <f t="shared" si="267"/>
        <v>0.60726343750138767</v>
      </c>
      <c r="L1263" s="29">
        <f t="shared" si="273"/>
        <v>46188</v>
      </c>
      <c r="M1263" s="27" t="str">
        <f t="shared" si="268"/>
        <v>TPA Approval Delay</v>
      </c>
      <c r="N1263" s="31">
        <f t="shared" si="269"/>
        <v>1</v>
      </c>
      <c r="O1263" s="27"/>
      <c r="Q1263" s="8">
        <v>0.74274709946753925</v>
      </c>
      <c r="R1263" s="8" t="str">
        <f t="shared" si="270"/>
        <v>Major Delay</v>
      </c>
      <c r="S1263" s="33">
        <v>3.7186294059956642</v>
      </c>
      <c r="T1263" t="s">
        <v>31</v>
      </c>
      <c r="U1263" s="3">
        <v>0</v>
      </c>
      <c r="V1263" s="3" t="str">
        <f t="shared" si="274"/>
        <v>Normal</v>
      </c>
      <c r="W1263" s="3" t="s">
        <v>51</v>
      </c>
      <c r="X1263" s="32">
        <f t="shared" si="271"/>
        <v>0.15494289191701682</v>
      </c>
      <c r="Z1263" s="38">
        <f t="shared" si="275"/>
        <v>2.9942891917016823E-2</v>
      </c>
      <c r="AC1263" s="36">
        <v>0.125</v>
      </c>
      <c r="AL1263" t="str">
        <f t="shared" si="276"/>
        <v>TPA Approval Delay</v>
      </c>
      <c r="AM1263" t="str">
        <f t="shared" si="277"/>
        <v>No</v>
      </c>
      <c r="AN1263" t="str">
        <f t="shared" si="278"/>
        <v>Elective</v>
      </c>
      <c r="AO1263" t="str">
        <f t="shared" si="279"/>
        <v>General Ward</v>
      </c>
    </row>
    <row r="1264" spans="1:41" x14ac:dyDescent="0.3">
      <c r="A1264" s="21" t="str">
        <f t="shared" si="272"/>
        <v>UHID-01263</v>
      </c>
      <c r="B1264" s="18">
        <v>27</v>
      </c>
      <c r="C1264" s="10" t="s">
        <v>17</v>
      </c>
      <c r="D1264" s="13" t="s">
        <v>27</v>
      </c>
      <c r="E1264" s="13" t="s">
        <v>11</v>
      </c>
      <c r="F1264" s="15">
        <v>46189.391748194401</v>
      </c>
      <c r="G1264" s="4">
        <v>46189</v>
      </c>
      <c r="H1264" s="1">
        <v>46189.664006099498</v>
      </c>
      <c r="I1264" s="22">
        <v>46189</v>
      </c>
      <c r="J1264" s="24">
        <f t="shared" si="266"/>
        <v>46189.466789124286</v>
      </c>
      <c r="K1264" s="24">
        <f t="shared" si="267"/>
        <v>0.664006099497783</v>
      </c>
      <c r="L1264" s="29">
        <f t="shared" si="273"/>
        <v>46188</v>
      </c>
      <c r="M1264" s="27" t="str">
        <f t="shared" si="268"/>
        <v>Medication Change</v>
      </c>
      <c r="N1264" s="31">
        <f t="shared" si="269"/>
        <v>0</v>
      </c>
      <c r="O1264" s="27"/>
      <c r="Q1264" s="8">
        <v>9.1270003940941646E-2</v>
      </c>
      <c r="R1264" s="8" t="str">
        <f t="shared" si="270"/>
        <v>Major Delay</v>
      </c>
      <c r="S1264" s="33">
        <v>1.7332074051533946</v>
      </c>
      <c r="T1264" t="s">
        <v>30</v>
      </c>
      <c r="U1264" s="3">
        <v>3</v>
      </c>
      <c r="V1264" s="3" t="str">
        <f t="shared" si="274"/>
        <v/>
      </c>
      <c r="W1264" s="3" t="s">
        <v>50</v>
      </c>
      <c r="X1264" s="32">
        <f t="shared" si="271"/>
        <v>0.19721697521163151</v>
      </c>
      <c r="Z1264" s="38">
        <f t="shared" si="275"/>
        <v>7.2216975211631507E-2</v>
      </c>
      <c r="AC1264" s="36">
        <v>0.125</v>
      </c>
      <c r="AL1264" t="str">
        <f t="shared" si="276"/>
        <v>Medication Change</v>
      </c>
      <c r="AM1264" t="str">
        <f t="shared" si="277"/>
        <v>No</v>
      </c>
      <c r="AN1264" t="str">
        <f t="shared" si="278"/>
        <v>Elective</v>
      </c>
      <c r="AO1264" t="str">
        <f t="shared" si="279"/>
        <v>General Ward</v>
      </c>
    </row>
    <row r="1265" spans="1:41" x14ac:dyDescent="0.3">
      <c r="A1265" s="21" t="str">
        <f t="shared" si="272"/>
        <v>UHID-01264</v>
      </c>
      <c r="B1265" s="18">
        <v>67</v>
      </c>
      <c r="C1265" s="10" t="s">
        <v>18</v>
      </c>
      <c r="D1265" s="13" t="s">
        <v>27</v>
      </c>
      <c r="E1265" s="13" t="s">
        <v>11</v>
      </c>
      <c r="F1265" s="15">
        <v>46188.385723831001</v>
      </c>
      <c r="G1265" s="4">
        <v>46188</v>
      </c>
      <c r="H1265" s="1">
        <v>46189.548022962997</v>
      </c>
      <c r="I1265" s="22">
        <v>46189</v>
      </c>
      <c r="J1265" s="24">
        <f t="shared" si="266"/>
        <v>46189.465793298208</v>
      </c>
      <c r="K1265" s="24">
        <f t="shared" si="267"/>
        <v>0.54802296299749287</v>
      </c>
      <c r="L1265" s="29">
        <f t="shared" si="273"/>
        <v>46188</v>
      </c>
      <c r="M1265" s="27" t="str">
        <f t="shared" si="268"/>
        <v>Normal</v>
      </c>
      <c r="N1265" s="31">
        <f t="shared" si="269"/>
        <v>1</v>
      </c>
      <c r="O1265" s="27"/>
      <c r="Q1265" s="8">
        <v>4.4008583912577337E-2</v>
      </c>
      <c r="R1265" s="8" t="str">
        <f t="shared" si="270"/>
        <v>On Time</v>
      </c>
      <c r="S1265" s="33">
        <v>1.9735119549134614</v>
      </c>
      <c r="T1265" t="s">
        <v>30</v>
      </c>
      <c r="U1265" s="3">
        <v>0</v>
      </c>
      <c r="V1265" s="3" t="str">
        <f t="shared" si="274"/>
        <v/>
      </c>
      <c r="W1265" s="3" t="s">
        <v>51</v>
      </c>
      <c r="X1265" s="32">
        <f t="shared" si="271"/>
        <v>8.2229664789338131E-2</v>
      </c>
      <c r="Z1265" s="38">
        <f t="shared" si="275"/>
        <v>0</v>
      </c>
      <c r="AC1265" s="36">
        <v>0.125</v>
      </c>
      <c r="AL1265" t="str">
        <f t="shared" si="276"/>
        <v>Normal</v>
      </c>
      <c r="AM1265" t="str">
        <f t="shared" si="277"/>
        <v>No</v>
      </c>
      <c r="AN1265" t="str">
        <f t="shared" si="278"/>
        <v>Elective</v>
      </c>
      <c r="AO1265" t="str">
        <f t="shared" si="279"/>
        <v>General Ward</v>
      </c>
    </row>
    <row r="1266" spans="1:41" x14ac:dyDescent="0.3">
      <c r="A1266" s="21" t="str">
        <f t="shared" si="272"/>
        <v>UHID-01265</v>
      </c>
      <c r="B1266" s="18">
        <v>78</v>
      </c>
      <c r="C1266" s="10" t="s">
        <v>18</v>
      </c>
      <c r="D1266" s="13" t="s">
        <v>28</v>
      </c>
      <c r="E1266" s="13" t="s">
        <v>11</v>
      </c>
      <c r="F1266" s="15">
        <v>46189.374195868098</v>
      </c>
      <c r="G1266" s="4">
        <v>46189</v>
      </c>
      <c r="H1266" s="1">
        <v>46189.547650451401</v>
      </c>
      <c r="I1266" s="22">
        <v>46189</v>
      </c>
      <c r="J1266" s="24">
        <f t="shared" si="266"/>
        <v>46189.339140566917</v>
      </c>
      <c r="K1266" s="24">
        <f t="shared" si="267"/>
        <v>0.54765045140084112</v>
      </c>
      <c r="L1266" s="29">
        <f t="shared" si="273"/>
        <v>46188</v>
      </c>
      <c r="M1266" s="27" t="str">
        <f t="shared" si="268"/>
        <v>Health Deterioration</v>
      </c>
      <c r="N1266" s="31">
        <f t="shared" si="269"/>
        <v>0</v>
      </c>
      <c r="O1266" s="27"/>
      <c r="Q1266" s="8">
        <v>0.95374437064320217</v>
      </c>
      <c r="R1266" s="8" t="str">
        <f t="shared" si="270"/>
        <v>Critical Delay</v>
      </c>
      <c r="S1266" s="33">
        <v>2.0042372276128075</v>
      </c>
      <c r="T1266" t="s">
        <v>31</v>
      </c>
      <c r="U1266" s="3">
        <v>3</v>
      </c>
      <c r="V1266" s="3" t="str">
        <f t="shared" si="274"/>
        <v>Normal</v>
      </c>
      <c r="W1266" s="3" t="s">
        <v>50</v>
      </c>
      <c r="X1266" s="32">
        <f t="shared" si="271"/>
        <v>0.2085098844836466</v>
      </c>
      <c r="Z1266" s="38">
        <f t="shared" si="275"/>
        <v>8.3509884483646601E-2</v>
      </c>
      <c r="AC1266" s="36">
        <v>0.125</v>
      </c>
      <c r="AL1266" t="str">
        <f t="shared" si="276"/>
        <v>Health Deterioration</v>
      </c>
      <c r="AM1266" t="str">
        <f t="shared" si="277"/>
        <v>Yes</v>
      </c>
      <c r="AN1266" t="str">
        <f t="shared" si="278"/>
        <v>Emergency</v>
      </c>
      <c r="AO1266" t="str">
        <f t="shared" si="279"/>
        <v>General Ward</v>
      </c>
    </row>
    <row r="1267" spans="1:41" x14ac:dyDescent="0.3">
      <c r="A1267" s="21" t="str">
        <f t="shared" si="272"/>
        <v>UHID-01266</v>
      </c>
      <c r="B1267" s="18">
        <v>34</v>
      </c>
      <c r="C1267" s="10" t="s">
        <v>18</v>
      </c>
      <c r="D1267" s="13" t="s">
        <v>27</v>
      </c>
      <c r="E1267" s="13" t="s">
        <v>11</v>
      </c>
      <c r="F1267" s="15">
        <v>46189.368927048599</v>
      </c>
      <c r="G1267" s="4">
        <v>46189</v>
      </c>
      <c r="H1267" s="1">
        <v>46189.675864074103</v>
      </c>
      <c r="I1267" s="22">
        <v>46189</v>
      </c>
      <c r="J1267" s="24">
        <f t="shared" si="266"/>
        <v>46189.613962298965</v>
      </c>
      <c r="K1267" s="24">
        <f t="shared" si="267"/>
        <v>0.67586407410271931</v>
      </c>
      <c r="L1267" s="29">
        <f t="shared" si="273"/>
        <v>46188</v>
      </c>
      <c r="M1267" s="27" t="str">
        <f t="shared" si="268"/>
        <v>Normal</v>
      </c>
      <c r="N1267" s="31">
        <f t="shared" si="269"/>
        <v>0</v>
      </c>
      <c r="O1267" s="27"/>
      <c r="Q1267" s="8">
        <v>0.34425634589763621</v>
      </c>
      <c r="R1267" s="8" t="str">
        <f t="shared" si="270"/>
        <v>On Time</v>
      </c>
      <c r="S1267" s="33">
        <v>1.4856426032544441</v>
      </c>
      <c r="T1267" t="s">
        <v>30</v>
      </c>
      <c r="U1267" s="3">
        <v>0</v>
      </c>
      <c r="V1267" s="3" t="str">
        <f t="shared" si="274"/>
        <v/>
      </c>
      <c r="W1267" s="3" t="s">
        <v>51</v>
      </c>
      <c r="X1267" s="32">
        <f t="shared" si="271"/>
        <v>6.1901775137812365E-2</v>
      </c>
      <c r="Z1267" s="38">
        <f t="shared" si="275"/>
        <v>0</v>
      </c>
      <c r="AC1267" s="36">
        <v>0.125</v>
      </c>
      <c r="AL1267" t="str">
        <f t="shared" si="276"/>
        <v>Normal</v>
      </c>
      <c r="AM1267" t="str">
        <f t="shared" si="277"/>
        <v>No</v>
      </c>
      <c r="AN1267" t="str">
        <f t="shared" si="278"/>
        <v>Elective</v>
      </c>
      <c r="AO1267" t="str">
        <f t="shared" si="279"/>
        <v>General Ward</v>
      </c>
    </row>
    <row r="1268" spans="1:41" x14ac:dyDescent="0.3">
      <c r="A1268" s="21" t="str">
        <f t="shared" si="272"/>
        <v>UHID-01267</v>
      </c>
      <c r="B1268" s="18">
        <v>63</v>
      </c>
      <c r="C1268" s="10" t="s">
        <v>18</v>
      </c>
      <c r="D1268" s="13" t="s">
        <v>27</v>
      </c>
      <c r="E1268" s="13" t="s">
        <v>11</v>
      </c>
      <c r="F1268" s="15">
        <v>46189.348976157402</v>
      </c>
      <c r="G1268" s="4">
        <v>46189</v>
      </c>
      <c r="H1268" s="1">
        <v>46189.761241099499</v>
      </c>
      <c r="I1268" s="22">
        <v>46189</v>
      </c>
      <c r="J1268" s="24">
        <f t="shared" si="266"/>
        <v>46189.543661936703</v>
      </c>
      <c r="K1268" s="24">
        <f t="shared" si="267"/>
        <v>0.76124109949887497</v>
      </c>
      <c r="L1268" s="29">
        <f t="shared" si="273"/>
        <v>46188</v>
      </c>
      <c r="M1268" s="27" t="str">
        <f t="shared" si="268"/>
        <v>Health Deterioration</v>
      </c>
      <c r="N1268" s="31">
        <f t="shared" si="269"/>
        <v>0</v>
      </c>
      <c r="O1268" s="27"/>
      <c r="Q1268" s="8">
        <v>0.44368278255282201</v>
      </c>
      <c r="R1268" s="8" t="str">
        <f t="shared" si="270"/>
        <v>Critical Delay</v>
      </c>
      <c r="S1268" s="33">
        <v>1.2218999071775416</v>
      </c>
      <c r="T1268" t="s">
        <v>31</v>
      </c>
      <c r="U1268" s="3">
        <v>4</v>
      </c>
      <c r="V1268" s="3" t="str">
        <f t="shared" si="274"/>
        <v>Normal</v>
      </c>
      <c r="W1268" s="3" t="s">
        <v>50</v>
      </c>
      <c r="X1268" s="32">
        <f t="shared" si="271"/>
        <v>0.21757916279602796</v>
      </c>
      <c r="Z1268" s="38">
        <f t="shared" si="275"/>
        <v>9.2579162796027958E-2</v>
      </c>
      <c r="AC1268" s="36">
        <v>0.125</v>
      </c>
      <c r="AL1268" t="str">
        <f t="shared" si="276"/>
        <v>Health Deterioration</v>
      </c>
      <c r="AM1268" t="str">
        <f t="shared" si="277"/>
        <v>No</v>
      </c>
      <c r="AN1268" t="str">
        <f t="shared" si="278"/>
        <v>Emergency</v>
      </c>
      <c r="AO1268" t="str">
        <f t="shared" si="279"/>
        <v>General Ward</v>
      </c>
    </row>
    <row r="1269" spans="1:41" x14ac:dyDescent="0.3">
      <c r="A1269" s="21" t="str">
        <f t="shared" si="272"/>
        <v>UHID-01268</v>
      </c>
      <c r="B1269" s="18">
        <v>17</v>
      </c>
      <c r="C1269" s="10" t="s">
        <v>18</v>
      </c>
      <c r="D1269" s="13" t="s">
        <v>27</v>
      </c>
      <c r="E1269" s="13" t="s">
        <v>11</v>
      </c>
      <c r="F1269" s="15">
        <v>46186.817797256903</v>
      </c>
      <c r="G1269" s="4">
        <v>46186</v>
      </c>
      <c r="H1269" s="1">
        <v>46189.737551354199</v>
      </c>
      <c r="I1269" s="22">
        <v>46189</v>
      </c>
      <c r="J1269" s="24">
        <f t="shared" si="266"/>
        <v>46189.536389407425</v>
      </c>
      <c r="K1269" s="24">
        <f t="shared" si="267"/>
        <v>0.73755135419924045</v>
      </c>
      <c r="L1269" s="29">
        <f t="shared" si="273"/>
        <v>46188</v>
      </c>
      <c r="M1269" s="27" t="str">
        <f t="shared" si="268"/>
        <v>Medication Change</v>
      </c>
      <c r="N1269" s="31">
        <f t="shared" si="269"/>
        <v>3</v>
      </c>
      <c r="O1269" s="27"/>
      <c r="Q1269" s="8">
        <v>2.6881568788200361E-2</v>
      </c>
      <c r="R1269" s="8" t="str">
        <f t="shared" si="270"/>
        <v>Major Delay</v>
      </c>
      <c r="S1269" s="33">
        <v>1.8278867225077722</v>
      </c>
      <c r="T1269" t="s">
        <v>30</v>
      </c>
      <c r="U1269" s="3">
        <v>3</v>
      </c>
      <c r="V1269" s="3" t="str">
        <f t="shared" si="274"/>
        <v/>
      </c>
      <c r="W1269" s="3" t="s">
        <v>50</v>
      </c>
      <c r="X1269" s="32">
        <f t="shared" si="271"/>
        <v>0.20116194677393651</v>
      </c>
      <c r="Z1269" s="38">
        <f t="shared" si="275"/>
        <v>7.6161946773936506E-2</v>
      </c>
      <c r="AC1269" s="36">
        <v>0.125</v>
      </c>
      <c r="AL1269" t="str">
        <f t="shared" si="276"/>
        <v>Medication Change</v>
      </c>
      <c r="AM1269" t="str">
        <f t="shared" si="277"/>
        <v>No</v>
      </c>
      <c r="AN1269" t="str">
        <f t="shared" si="278"/>
        <v>Elective</v>
      </c>
      <c r="AO1269" t="str">
        <f t="shared" si="279"/>
        <v>General Ward</v>
      </c>
    </row>
    <row r="1270" spans="1:41" x14ac:dyDescent="0.3">
      <c r="A1270" s="21" t="str">
        <f t="shared" si="272"/>
        <v>UHID-01269</v>
      </c>
      <c r="B1270" s="18">
        <v>46</v>
      </c>
      <c r="C1270" s="10" t="s">
        <v>18</v>
      </c>
      <c r="D1270" s="13" t="s">
        <v>27</v>
      </c>
      <c r="E1270" s="13" t="s">
        <v>11</v>
      </c>
      <c r="F1270" s="15">
        <v>46187.623805115698</v>
      </c>
      <c r="G1270" s="4">
        <v>46187</v>
      </c>
      <c r="H1270" s="1">
        <v>46190.592648877297</v>
      </c>
      <c r="I1270" s="22">
        <v>46190</v>
      </c>
      <c r="J1270" s="24">
        <f t="shared" si="266"/>
        <v>46190.397324684556</v>
      </c>
      <c r="K1270" s="24">
        <f t="shared" si="267"/>
        <v>0.59264887729659677</v>
      </c>
      <c r="L1270" s="29">
        <f t="shared" si="273"/>
        <v>46189</v>
      </c>
      <c r="M1270" s="27" t="str">
        <f t="shared" si="268"/>
        <v>Medication Change</v>
      </c>
      <c r="N1270" s="31">
        <f t="shared" si="269"/>
        <v>3</v>
      </c>
      <c r="O1270" s="27"/>
      <c r="Q1270" s="8">
        <v>0.17040222936476523</v>
      </c>
      <c r="R1270" s="8" t="str">
        <f t="shared" si="270"/>
        <v>Major Delay</v>
      </c>
      <c r="S1270" s="33">
        <v>1.6877806257588737</v>
      </c>
      <c r="T1270" t="s">
        <v>30</v>
      </c>
      <c r="U1270" s="3">
        <v>3</v>
      </c>
      <c r="V1270" s="3" t="str">
        <f t="shared" si="274"/>
        <v/>
      </c>
      <c r="W1270" s="3" t="s">
        <v>50</v>
      </c>
      <c r="X1270" s="32">
        <f t="shared" si="271"/>
        <v>0.19532419274037238</v>
      </c>
      <c r="Z1270" s="38">
        <f t="shared" si="275"/>
        <v>7.0324192740372382E-2</v>
      </c>
      <c r="AC1270" s="36">
        <v>0.125</v>
      </c>
      <c r="AL1270" t="str">
        <f t="shared" si="276"/>
        <v>Medication Change</v>
      </c>
      <c r="AM1270" t="str">
        <f t="shared" si="277"/>
        <v>No</v>
      </c>
      <c r="AN1270" t="str">
        <f t="shared" si="278"/>
        <v>Elective</v>
      </c>
      <c r="AO1270" t="str">
        <f t="shared" si="279"/>
        <v>General Ward</v>
      </c>
    </row>
    <row r="1271" spans="1:41" x14ac:dyDescent="0.3">
      <c r="A1271" s="21" t="str">
        <f t="shared" si="272"/>
        <v>UHID-01270</v>
      </c>
      <c r="B1271" s="18">
        <v>22</v>
      </c>
      <c r="C1271" s="10" t="s">
        <v>17</v>
      </c>
      <c r="D1271" s="13" t="s">
        <v>27</v>
      </c>
      <c r="E1271" s="13" t="s">
        <v>11</v>
      </c>
      <c r="F1271" s="15">
        <v>46190.399529178198</v>
      </c>
      <c r="G1271" s="4">
        <v>46190</v>
      </c>
      <c r="H1271" s="1">
        <v>46190.744801088003</v>
      </c>
      <c r="I1271" s="22">
        <v>46190</v>
      </c>
      <c r="J1271" s="24">
        <f t="shared" si="266"/>
        <v>46190.602199271671</v>
      </c>
      <c r="K1271" s="24">
        <f t="shared" si="267"/>
        <v>0.74480108800344169</v>
      </c>
      <c r="L1271" s="29">
        <f t="shared" si="273"/>
        <v>46189</v>
      </c>
      <c r="M1271" s="27" t="str">
        <f t="shared" si="268"/>
        <v>Medication Change</v>
      </c>
      <c r="N1271" s="31">
        <f t="shared" si="269"/>
        <v>0</v>
      </c>
      <c r="O1271" s="27"/>
      <c r="Q1271" s="8">
        <v>0.24207334254669766</v>
      </c>
      <c r="R1271" s="8" t="str">
        <f t="shared" si="270"/>
        <v>Major Delay</v>
      </c>
      <c r="S1271" s="33">
        <v>1.4224435919879892</v>
      </c>
      <c r="T1271" t="s">
        <v>30</v>
      </c>
      <c r="U1271" s="3">
        <v>2</v>
      </c>
      <c r="V1271" s="3" t="str">
        <f t="shared" si="274"/>
        <v/>
      </c>
      <c r="W1271" s="3" t="s">
        <v>50</v>
      </c>
      <c r="X1271" s="32">
        <f t="shared" si="271"/>
        <v>0.14260181633289903</v>
      </c>
      <c r="Z1271" s="38">
        <f t="shared" si="275"/>
        <v>1.7601816332899034E-2</v>
      </c>
      <c r="AC1271" s="36">
        <v>0.125</v>
      </c>
      <c r="AL1271" t="str">
        <f t="shared" si="276"/>
        <v>Medication Change</v>
      </c>
      <c r="AM1271" t="str">
        <f t="shared" si="277"/>
        <v>No</v>
      </c>
      <c r="AN1271" t="str">
        <f t="shared" si="278"/>
        <v>Elective</v>
      </c>
      <c r="AO1271" t="str">
        <f t="shared" si="279"/>
        <v>General Ward</v>
      </c>
    </row>
    <row r="1272" spans="1:41" x14ac:dyDescent="0.3">
      <c r="A1272" s="21" t="str">
        <f t="shared" si="272"/>
        <v>UHID-01271</v>
      </c>
      <c r="B1272" s="18">
        <v>80</v>
      </c>
      <c r="C1272" s="10" t="s">
        <v>18</v>
      </c>
      <c r="D1272" s="13" t="s">
        <v>27</v>
      </c>
      <c r="E1272" s="13" t="s">
        <v>11</v>
      </c>
      <c r="F1272" s="15">
        <v>46186.413667384302</v>
      </c>
      <c r="G1272" s="4">
        <v>46186</v>
      </c>
      <c r="H1272" s="1">
        <v>46190.566014374999</v>
      </c>
      <c r="I1272" s="22">
        <v>46190</v>
      </c>
      <c r="J1272" s="24">
        <f t="shared" si="266"/>
        <v>46190.501594982758</v>
      </c>
      <c r="K1272" s="24">
        <f t="shared" si="267"/>
        <v>0.56601437499921303</v>
      </c>
      <c r="L1272" s="29">
        <f t="shared" si="273"/>
        <v>46189</v>
      </c>
      <c r="M1272" s="27" t="str">
        <f t="shared" si="268"/>
        <v>Normal</v>
      </c>
      <c r="N1272" s="31">
        <f t="shared" si="269"/>
        <v>4</v>
      </c>
      <c r="O1272" s="27"/>
      <c r="Q1272" s="8">
        <v>0.18597259154116541</v>
      </c>
      <c r="R1272" s="8" t="str">
        <f t="shared" si="270"/>
        <v>On Time</v>
      </c>
      <c r="S1272" s="33">
        <v>1.5460654138651095</v>
      </c>
      <c r="T1272" t="s">
        <v>30</v>
      </c>
      <c r="U1272" s="3">
        <v>0</v>
      </c>
      <c r="V1272" s="3" t="str">
        <f t="shared" si="274"/>
        <v/>
      </c>
      <c r="W1272" s="3" t="s">
        <v>51</v>
      </c>
      <c r="X1272" s="32">
        <f t="shared" si="271"/>
        <v>6.4419392241688911E-2</v>
      </c>
      <c r="Z1272" s="38">
        <f t="shared" si="275"/>
        <v>0</v>
      </c>
      <c r="AC1272" s="36">
        <v>0.125</v>
      </c>
      <c r="AL1272" t="str">
        <f t="shared" si="276"/>
        <v>Normal</v>
      </c>
      <c r="AM1272" t="str">
        <f t="shared" si="277"/>
        <v>No</v>
      </c>
      <c r="AN1272" t="str">
        <f t="shared" si="278"/>
        <v>Elective</v>
      </c>
      <c r="AO1272" t="str">
        <f t="shared" si="279"/>
        <v>HDU</v>
      </c>
    </row>
    <row r="1273" spans="1:41" x14ac:dyDescent="0.3">
      <c r="A1273" s="21" t="str">
        <f t="shared" si="272"/>
        <v>UHID-01272</v>
      </c>
      <c r="B1273" s="18">
        <v>59</v>
      </c>
      <c r="C1273" s="10" t="s">
        <v>18</v>
      </c>
      <c r="D1273" s="13" t="s">
        <v>27</v>
      </c>
      <c r="E1273" s="13" t="s">
        <v>11</v>
      </c>
      <c r="F1273" s="15">
        <v>46189.379387789399</v>
      </c>
      <c r="G1273" s="4">
        <v>46189</v>
      </c>
      <c r="H1273" s="1">
        <v>46190.661918946797</v>
      </c>
      <c r="I1273" s="22">
        <v>46190</v>
      </c>
      <c r="J1273" s="24">
        <f t="shared" si="266"/>
        <v>46190.610252770028</v>
      </c>
      <c r="K1273" s="24">
        <f t="shared" si="267"/>
        <v>0.66191894679650431</v>
      </c>
      <c r="L1273" s="29">
        <f t="shared" si="273"/>
        <v>46189</v>
      </c>
      <c r="M1273" s="27" t="str">
        <f t="shared" si="268"/>
        <v>Normal</v>
      </c>
      <c r="N1273" s="31">
        <f t="shared" si="269"/>
        <v>1</v>
      </c>
      <c r="O1273" s="27"/>
      <c r="Q1273" s="8">
        <v>0.29947667833334213</v>
      </c>
      <c r="R1273" s="8" t="str">
        <f t="shared" si="270"/>
        <v>On Time</v>
      </c>
      <c r="S1273" s="33">
        <v>1.2399882424725179</v>
      </c>
      <c r="T1273" t="s">
        <v>30</v>
      </c>
      <c r="U1273" s="3">
        <v>0</v>
      </c>
      <c r="V1273" s="3" t="str">
        <f t="shared" si="274"/>
        <v/>
      </c>
      <c r="W1273" s="3" t="s">
        <v>51</v>
      </c>
      <c r="X1273" s="32">
        <f t="shared" si="271"/>
        <v>5.1666176768776495E-2</v>
      </c>
      <c r="Z1273" s="38">
        <f t="shared" si="275"/>
        <v>0</v>
      </c>
      <c r="AC1273" s="36">
        <v>0.125</v>
      </c>
      <c r="AL1273" t="str">
        <f t="shared" si="276"/>
        <v>Normal</v>
      </c>
      <c r="AM1273" t="str">
        <f t="shared" si="277"/>
        <v>No</v>
      </c>
      <c r="AN1273" t="str">
        <f t="shared" si="278"/>
        <v>Elective</v>
      </c>
      <c r="AO1273" t="str">
        <f t="shared" si="279"/>
        <v>General Ward</v>
      </c>
    </row>
    <row r="1274" spans="1:41" x14ac:dyDescent="0.3">
      <c r="A1274" s="21" t="str">
        <f t="shared" si="272"/>
        <v>UHID-01273</v>
      </c>
      <c r="B1274" s="18">
        <v>54</v>
      </c>
      <c r="C1274" s="10" t="s">
        <v>18</v>
      </c>
      <c r="D1274" s="13" t="s">
        <v>26</v>
      </c>
      <c r="E1274" s="13" t="s">
        <v>11</v>
      </c>
      <c r="F1274" s="15">
        <v>46188.934843819399</v>
      </c>
      <c r="G1274" s="4">
        <v>46188</v>
      </c>
      <c r="H1274" s="1">
        <v>46190.686248518497</v>
      </c>
      <c r="I1274" s="22">
        <v>46190</v>
      </c>
      <c r="J1274" s="24">
        <f t="shared" si="266"/>
        <v>46190.520251497284</v>
      </c>
      <c r="K1274" s="24">
        <f t="shared" si="267"/>
        <v>0.68624851849745028</v>
      </c>
      <c r="L1274" s="29">
        <f t="shared" si="273"/>
        <v>46189</v>
      </c>
      <c r="M1274" s="27" t="str">
        <f t="shared" si="268"/>
        <v>TPA Approval Delay</v>
      </c>
      <c r="N1274" s="31">
        <f t="shared" si="269"/>
        <v>2</v>
      </c>
      <c r="O1274" s="27"/>
      <c r="Q1274" s="8">
        <v>0.7783510200072794</v>
      </c>
      <c r="R1274" s="8" t="str">
        <f t="shared" si="270"/>
        <v>Major Delay</v>
      </c>
      <c r="S1274" s="33">
        <v>3.9839285091851524</v>
      </c>
      <c r="T1274" t="s">
        <v>31</v>
      </c>
      <c r="U1274" s="3">
        <v>0</v>
      </c>
      <c r="V1274" s="3" t="str">
        <f t="shared" si="274"/>
        <v>Normal</v>
      </c>
      <c r="W1274" s="3" t="s">
        <v>51</v>
      </c>
      <c r="X1274" s="32">
        <f t="shared" si="271"/>
        <v>0.16599702121311566</v>
      </c>
      <c r="Z1274" s="38">
        <f t="shared" si="275"/>
        <v>4.0997021213115659E-2</v>
      </c>
      <c r="AC1274" s="36">
        <v>0.125</v>
      </c>
      <c r="AL1274" t="str">
        <f t="shared" si="276"/>
        <v>TPA Approval Delay</v>
      </c>
      <c r="AM1274" t="str">
        <f t="shared" si="277"/>
        <v>No</v>
      </c>
      <c r="AN1274" t="str">
        <f t="shared" si="278"/>
        <v>Elective</v>
      </c>
      <c r="AO1274" t="str">
        <f t="shared" si="279"/>
        <v>General Ward</v>
      </c>
    </row>
    <row r="1275" spans="1:41" x14ac:dyDescent="0.3">
      <c r="A1275" s="21" t="str">
        <f t="shared" si="272"/>
        <v>UHID-01274</v>
      </c>
      <c r="B1275" s="18">
        <v>79</v>
      </c>
      <c r="C1275" s="10" t="s">
        <v>18</v>
      </c>
      <c r="D1275" s="13" t="s">
        <v>27</v>
      </c>
      <c r="E1275" s="13" t="s">
        <v>11</v>
      </c>
      <c r="F1275" s="15">
        <v>46190.3906967824</v>
      </c>
      <c r="G1275" s="4">
        <v>46190</v>
      </c>
      <c r="H1275" s="1">
        <v>46190.743847465303</v>
      </c>
      <c r="I1275" s="22">
        <v>46190</v>
      </c>
      <c r="J1275" s="24">
        <f t="shared" si="266"/>
        <v>46190.602141088442</v>
      </c>
      <c r="K1275" s="24">
        <f t="shared" si="267"/>
        <v>0.74384746530267876</v>
      </c>
      <c r="L1275" s="29">
        <f t="shared" si="273"/>
        <v>46189</v>
      </c>
      <c r="M1275" s="27" t="str">
        <f t="shared" si="268"/>
        <v>Medication Change</v>
      </c>
      <c r="N1275" s="31">
        <f t="shared" si="269"/>
        <v>0</v>
      </c>
      <c r="O1275" s="27"/>
      <c r="Q1275" s="8">
        <v>0.43284036154850303</v>
      </c>
      <c r="R1275" s="8" t="str">
        <f t="shared" si="270"/>
        <v>Major Delay</v>
      </c>
      <c r="S1275" s="33">
        <v>1.4009530446398935</v>
      </c>
      <c r="T1275" t="s">
        <v>31</v>
      </c>
      <c r="U1275" s="3">
        <v>2</v>
      </c>
      <c r="V1275" s="3" t="str">
        <f t="shared" si="274"/>
        <v>Normal</v>
      </c>
      <c r="W1275" s="3" t="s">
        <v>50</v>
      </c>
      <c r="X1275" s="32">
        <f t="shared" si="271"/>
        <v>0.1417063768603839</v>
      </c>
      <c r="Z1275" s="38">
        <f t="shared" si="275"/>
        <v>1.6706376860383898E-2</v>
      </c>
      <c r="AC1275" s="36">
        <v>0.125</v>
      </c>
      <c r="AL1275" t="str">
        <f t="shared" si="276"/>
        <v>Medication Change</v>
      </c>
      <c r="AM1275" t="str">
        <f t="shared" si="277"/>
        <v>No</v>
      </c>
      <c r="AN1275" t="str">
        <f t="shared" si="278"/>
        <v>Elective</v>
      </c>
      <c r="AO1275" t="str">
        <f t="shared" si="279"/>
        <v>General Ward</v>
      </c>
    </row>
    <row r="1276" spans="1:41" x14ac:dyDescent="0.3">
      <c r="A1276" s="21" t="str">
        <f t="shared" si="272"/>
        <v>UHID-01275</v>
      </c>
      <c r="B1276" s="18">
        <v>63</v>
      </c>
      <c r="C1276" s="10" t="s">
        <v>18</v>
      </c>
      <c r="D1276" s="13" t="s">
        <v>26</v>
      </c>
      <c r="E1276" s="13" t="s">
        <v>11</v>
      </c>
      <c r="F1276" s="15">
        <v>46189.473473622696</v>
      </c>
      <c r="G1276" s="4">
        <v>46189</v>
      </c>
      <c r="H1276" s="1">
        <v>46190.824192013897</v>
      </c>
      <c r="I1276" s="22">
        <v>46190</v>
      </c>
      <c r="J1276" s="24">
        <f t="shared" si="266"/>
        <v>46190.671714298427</v>
      </c>
      <c r="K1276" s="24">
        <f t="shared" si="267"/>
        <v>0.82419201389711816</v>
      </c>
      <c r="L1276" s="29">
        <f t="shared" si="273"/>
        <v>46189</v>
      </c>
      <c r="M1276" s="27" t="str">
        <f t="shared" si="268"/>
        <v>TPA Approval Delay</v>
      </c>
      <c r="N1276" s="31">
        <f t="shared" si="269"/>
        <v>1</v>
      </c>
      <c r="O1276" s="27"/>
      <c r="Q1276" s="8">
        <v>0.6630200503543785</v>
      </c>
      <c r="R1276" s="8" t="str">
        <f t="shared" si="270"/>
        <v>Major Delay</v>
      </c>
      <c r="S1276" s="33">
        <v>3.6594651712212762</v>
      </c>
      <c r="T1276" t="s">
        <v>31</v>
      </c>
      <c r="U1276" s="3">
        <v>0</v>
      </c>
      <c r="V1276" s="3" t="str">
        <f t="shared" si="274"/>
        <v>Normal</v>
      </c>
      <c r="W1276" s="3" t="s">
        <v>51</v>
      </c>
      <c r="X1276" s="32">
        <f t="shared" si="271"/>
        <v>0.15247771547001321</v>
      </c>
      <c r="Z1276" s="38">
        <f t="shared" si="275"/>
        <v>2.7477715470013209E-2</v>
      </c>
      <c r="AC1276" s="36">
        <v>0.125</v>
      </c>
      <c r="AL1276" t="str">
        <f t="shared" si="276"/>
        <v>TPA Approval Delay</v>
      </c>
      <c r="AM1276" t="str">
        <f t="shared" si="277"/>
        <v>No</v>
      </c>
      <c r="AN1276" t="str">
        <f t="shared" si="278"/>
        <v>Elective</v>
      </c>
      <c r="AO1276" t="str">
        <f t="shared" si="279"/>
        <v>General Ward</v>
      </c>
    </row>
    <row r="1277" spans="1:41" x14ac:dyDescent="0.3">
      <c r="A1277" s="21" t="str">
        <f t="shared" si="272"/>
        <v>UHID-01276</v>
      </c>
      <c r="B1277" s="18">
        <v>57</v>
      </c>
      <c r="C1277" s="10" t="s">
        <v>17</v>
      </c>
      <c r="D1277" s="13" t="s">
        <v>26</v>
      </c>
      <c r="E1277" s="13" t="s">
        <v>11</v>
      </c>
      <c r="F1277" s="15">
        <v>46190.907492546299</v>
      </c>
      <c r="G1277" s="4">
        <v>46190</v>
      </c>
      <c r="H1277" s="1">
        <v>46191.691120162002</v>
      </c>
      <c r="I1277" s="22">
        <v>46191</v>
      </c>
      <c r="J1277" s="24">
        <f t="shared" si="266"/>
        <v>46191.543718279034</v>
      </c>
      <c r="K1277" s="24">
        <f t="shared" si="267"/>
        <v>0.69112016200233484</v>
      </c>
      <c r="L1277" s="29">
        <f t="shared" si="273"/>
        <v>46190</v>
      </c>
      <c r="M1277" s="27" t="str">
        <f t="shared" si="268"/>
        <v>TPA Approval Delay</v>
      </c>
      <c r="N1277" s="31">
        <f t="shared" si="269"/>
        <v>1</v>
      </c>
      <c r="O1277" s="27"/>
      <c r="Q1277" s="8">
        <v>0.57036882009820644</v>
      </c>
      <c r="R1277" s="8" t="str">
        <f t="shared" si="270"/>
        <v>Major Delay</v>
      </c>
      <c r="S1277" s="33">
        <v>3.5376451912936715</v>
      </c>
      <c r="T1277" t="s">
        <v>31</v>
      </c>
      <c r="U1277" s="3">
        <v>0</v>
      </c>
      <c r="V1277" s="3" t="str">
        <f t="shared" si="274"/>
        <v>Normal</v>
      </c>
      <c r="W1277" s="3" t="s">
        <v>51</v>
      </c>
      <c r="X1277" s="32">
        <f t="shared" si="271"/>
        <v>0.14740188296855194</v>
      </c>
      <c r="Z1277" s="38">
        <f t="shared" si="275"/>
        <v>2.2401882968551945E-2</v>
      </c>
      <c r="AC1277" s="36">
        <v>0.125</v>
      </c>
      <c r="AL1277" t="str">
        <f t="shared" si="276"/>
        <v>TPA Approval Delay</v>
      </c>
      <c r="AM1277" t="str">
        <f t="shared" si="277"/>
        <v>No</v>
      </c>
      <c r="AN1277" t="str">
        <f t="shared" si="278"/>
        <v>Elective</v>
      </c>
      <c r="AO1277" t="str">
        <f t="shared" si="279"/>
        <v>General Ward</v>
      </c>
    </row>
    <row r="1278" spans="1:41" x14ac:dyDescent="0.3">
      <c r="A1278" s="21" t="str">
        <f t="shared" si="272"/>
        <v>UHID-01277</v>
      </c>
      <c r="B1278" s="18">
        <v>46</v>
      </c>
      <c r="C1278" s="10" t="s">
        <v>18</v>
      </c>
      <c r="D1278" s="13" t="s">
        <v>26</v>
      </c>
      <c r="E1278" s="13" t="s">
        <v>11</v>
      </c>
      <c r="F1278" s="15">
        <v>46189.786391111098</v>
      </c>
      <c r="G1278" s="4">
        <v>46189</v>
      </c>
      <c r="H1278" s="1">
        <v>46191.634841851897</v>
      </c>
      <c r="I1278" s="22">
        <v>46191</v>
      </c>
      <c r="J1278" s="24">
        <f t="shared" si="266"/>
        <v>46191.509468865777</v>
      </c>
      <c r="K1278" s="24">
        <f t="shared" si="267"/>
        <v>0.63484185189736309</v>
      </c>
      <c r="L1278" s="29">
        <f t="shared" si="273"/>
        <v>46190</v>
      </c>
      <c r="M1278" s="27" t="str">
        <f t="shared" si="268"/>
        <v>TPA Approval Delay</v>
      </c>
      <c r="N1278" s="31">
        <f t="shared" si="269"/>
        <v>2</v>
      </c>
      <c r="O1278" s="27"/>
      <c r="Q1278" s="8">
        <v>0.55771188575777131</v>
      </c>
      <c r="R1278" s="8" t="str">
        <f t="shared" si="270"/>
        <v>Major Delay</v>
      </c>
      <c r="S1278" s="33">
        <v>3.008951666945276</v>
      </c>
      <c r="T1278" t="s">
        <v>31</v>
      </c>
      <c r="U1278" s="3">
        <v>0</v>
      </c>
      <c r="V1278" s="3" t="str">
        <f t="shared" si="274"/>
        <v>Normal</v>
      </c>
      <c r="W1278" s="3" t="s">
        <v>51</v>
      </c>
      <c r="X1278" s="32">
        <f t="shared" si="271"/>
        <v>0.12537298612005543</v>
      </c>
      <c r="Z1278" s="38">
        <f t="shared" si="275"/>
        <v>3.7298612005542964E-4</v>
      </c>
      <c r="AC1278" s="36">
        <v>0.125</v>
      </c>
      <c r="AL1278" t="str">
        <f t="shared" si="276"/>
        <v>TPA Approval Delay</v>
      </c>
      <c r="AM1278" t="str">
        <f t="shared" si="277"/>
        <v>No</v>
      </c>
      <c r="AN1278" t="str">
        <f t="shared" si="278"/>
        <v>Elective</v>
      </c>
      <c r="AO1278" t="str">
        <f t="shared" si="279"/>
        <v>General Ward</v>
      </c>
    </row>
    <row r="1279" spans="1:41" x14ac:dyDescent="0.3">
      <c r="A1279" s="21" t="str">
        <f t="shared" si="272"/>
        <v>UHID-01278</v>
      </c>
      <c r="B1279" s="18">
        <v>46</v>
      </c>
      <c r="C1279" s="10" t="s">
        <v>18</v>
      </c>
      <c r="D1279" s="13" t="s">
        <v>26</v>
      </c>
      <c r="E1279" s="13" t="s">
        <v>11</v>
      </c>
      <c r="F1279" s="15">
        <v>46189.665783865697</v>
      </c>
      <c r="G1279" s="4">
        <v>46189</v>
      </c>
      <c r="H1279" s="1">
        <v>46191.566072256901</v>
      </c>
      <c r="I1279" s="22">
        <v>46191</v>
      </c>
      <c r="J1279" s="24">
        <f t="shared" si="266"/>
        <v>46191.399491753196</v>
      </c>
      <c r="K1279" s="24">
        <f t="shared" si="267"/>
        <v>0.5660722569009522</v>
      </c>
      <c r="L1279" s="29">
        <f t="shared" si="273"/>
        <v>46190</v>
      </c>
      <c r="M1279" s="27" t="str">
        <f t="shared" si="268"/>
        <v>TPA Approval Delay</v>
      </c>
      <c r="N1279" s="31">
        <f t="shared" si="269"/>
        <v>2</v>
      </c>
      <c r="O1279" s="27"/>
      <c r="Q1279" s="8">
        <v>0.54414845598448358</v>
      </c>
      <c r="R1279" s="8" t="str">
        <f t="shared" si="270"/>
        <v>Major Delay</v>
      </c>
      <c r="S1279" s="33">
        <v>3.9979320888403072</v>
      </c>
      <c r="T1279" t="s">
        <v>31</v>
      </c>
      <c r="U1279" s="3">
        <v>0</v>
      </c>
      <c r="V1279" s="3" t="str">
        <f t="shared" si="274"/>
        <v>Normal</v>
      </c>
      <c r="W1279" s="3" t="s">
        <v>51</v>
      </c>
      <c r="X1279" s="32">
        <f t="shared" si="271"/>
        <v>0.16658050370460842</v>
      </c>
      <c r="Z1279" s="38">
        <f t="shared" si="275"/>
        <v>4.1580503704608418E-2</v>
      </c>
      <c r="AC1279" s="36">
        <v>0.125</v>
      </c>
      <c r="AL1279" t="str">
        <f t="shared" si="276"/>
        <v>TPA Approval Delay</v>
      </c>
      <c r="AM1279" t="str">
        <f t="shared" si="277"/>
        <v>No</v>
      </c>
      <c r="AN1279" t="str">
        <f t="shared" si="278"/>
        <v>Elective</v>
      </c>
      <c r="AO1279" t="str">
        <f t="shared" si="279"/>
        <v>General Ward</v>
      </c>
    </row>
    <row r="1280" spans="1:41" x14ac:dyDescent="0.3">
      <c r="A1280" s="21" t="str">
        <f t="shared" si="272"/>
        <v>UHID-01279</v>
      </c>
      <c r="B1280" s="18">
        <v>9</v>
      </c>
      <c r="C1280" s="10" t="s">
        <v>18</v>
      </c>
      <c r="D1280" s="13" t="s">
        <v>27</v>
      </c>
      <c r="E1280" s="13" t="s">
        <v>11</v>
      </c>
      <c r="F1280" s="15">
        <v>46191.388074409697</v>
      </c>
      <c r="G1280" s="4">
        <v>46191</v>
      </c>
      <c r="H1280" s="1">
        <v>46191.700753460602</v>
      </c>
      <c r="I1280" s="22">
        <v>46191</v>
      </c>
      <c r="J1280" s="24">
        <f t="shared" si="266"/>
        <v>46191.64522578536</v>
      </c>
      <c r="K1280" s="24">
        <f t="shared" si="267"/>
        <v>0.70075346060184529</v>
      </c>
      <c r="L1280" s="29">
        <f t="shared" si="273"/>
        <v>46190</v>
      </c>
      <c r="M1280" s="27" t="str">
        <f t="shared" si="268"/>
        <v>Normal</v>
      </c>
      <c r="N1280" s="31">
        <f t="shared" si="269"/>
        <v>0</v>
      </c>
      <c r="O1280" s="27"/>
      <c r="Q1280" s="8">
        <v>3.9419898839553547E-2</v>
      </c>
      <c r="R1280" s="8" t="str">
        <f t="shared" si="270"/>
        <v>On Time</v>
      </c>
      <c r="S1280" s="33">
        <v>1.3326642058267502</v>
      </c>
      <c r="T1280" t="s">
        <v>30</v>
      </c>
      <c r="U1280" s="3">
        <v>0</v>
      </c>
      <c r="V1280" s="3" t="str">
        <f t="shared" si="274"/>
        <v/>
      </c>
      <c r="W1280" s="3" t="s">
        <v>51</v>
      </c>
      <c r="X1280" s="32">
        <f t="shared" si="271"/>
        <v>5.5527675242046826E-2</v>
      </c>
      <c r="Z1280" s="38">
        <f t="shared" si="275"/>
        <v>0</v>
      </c>
      <c r="AC1280" s="36">
        <v>0.125</v>
      </c>
      <c r="AL1280" t="str">
        <f t="shared" si="276"/>
        <v>Normal</v>
      </c>
      <c r="AM1280" t="str">
        <f t="shared" si="277"/>
        <v>No</v>
      </c>
      <c r="AN1280" t="str">
        <f t="shared" si="278"/>
        <v>Elective</v>
      </c>
      <c r="AO1280" t="str">
        <f t="shared" si="279"/>
        <v>General Ward</v>
      </c>
    </row>
    <row r="1281" spans="1:41" x14ac:dyDescent="0.3">
      <c r="A1281" s="21" t="str">
        <f t="shared" si="272"/>
        <v>UHID-01280</v>
      </c>
      <c r="B1281" s="18">
        <v>58</v>
      </c>
      <c r="C1281" s="10" t="s">
        <v>18</v>
      </c>
      <c r="D1281" s="13" t="s">
        <v>27</v>
      </c>
      <c r="E1281" s="13" t="s">
        <v>11</v>
      </c>
      <c r="F1281" s="15">
        <v>46191.4347228935</v>
      </c>
      <c r="G1281" s="4">
        <v>46191</v>
      </c>
      <c r="H1281" s="1">
        <v>46191.674673865702</v>
      </c>
      <c r="I1281" s="22">
        <v>46191</v>
      </c>
      <c r="J1281" s="24">
        <f t="shared" si="266"/>
        <v>46191.535831463967</v>
      </c>
      <c r="K1281" s="24">
        <f t="shared" si="267"/>
        <v>0.67467386570206145</v>
      </c>
      <c r="L1281" s="29">
        <f t="shared" si="273"/>
        <v>46190</v>
      </c>
      <c r="M1281" s="27" t="str">
        <f t="shared" si="268"/>
        <v>Medication Change</v>
      </c>
      <c r="N1281" s="31">
        <f t="shared" si="269"/>
        <v>0</v>
      </c>
      <c r="O1281" s="27"/>
      <c r="Q1281" s="8">
        <v>0.3856328981892363</v>
      </c>
      <c r="R1281" s="8" t="str">
        <f t="shared" si="270"/>
        <v>Major Delay</v>
      </c>
      <c r="S1281" s="33">
        <v>1.3322176416380129</v>
      </c>
      <c r="T1281" t="s">
        <v>31</v>
      </c>
      <c r="U1281" s="3">
        <v>2</v>
      </c>
      <c r="V1281" s="3" t="str">
        <f t="shared" si="274"/>
        <v>Normal</v>
      </c>
      <c r="W1281" s="3" t="s">
        <v>50</v>
      </c>
      <c r="X1281" s="32">
        <f t="shared" si="271"/>
        <v>0.13884240173501894</v>
      </c>
      <c r="Z1281" s="38">
        <f t="shared" si="275"/>
        <v>1.3842401735018939E-2</v>
      </c>
      <c r="AC1281" s="36">
        <v>0.125</v>
      </c>
      <c r="AL1281" t="str">
        <f t="shared" si="276"/>
        <v>Medication Change</v>
      </c>
      <c r="AM1281" t="str">
        <f t="shared" si="277"/>
        <v>No</v>
      </c>
      <c r="AN1281" t="str">
        <f t="shared" si="278"/>
        <v>Elective</v>
      </c>
      <c r="AO1281" t="str">
        <f t="shared" si="279"/>
        <v>General Ward</v>
      </c>
    </row>
    <row r="1282" spans="1:41" x14ac:dyDescent="0.3">
      <c r="A1282" s="21" t="str">
        <f t="shared" si="272"/>
        <v>UHID-01281</v>
      </c>
      <c r="B1282" s="18">
        <v>39</v>
      </c>
      <c r="C1282" s="10" t="s">
        <v>17</v>
      </c>
      <c r="D1282" s="13" t="s">
        <v>26</v>
      </c>
      <c r="E1282" s="13" t="s">
        <v>11</v>
      </c>
      <c r="F1282" s="15">
        <v>46191.368565787001</v>
      </c>
      <c r="G1282" s="4">
        <v>46191</v>
      </c>
      <c r="H1282" s="1">
        <v>46191.671904872703</v>
      </c>
      <c r="I1282" s="22">
        <v>46191</v>
      </c>
      <c r="J1282" s="24">
        <f t="shared" ref="J1282:J1334" si="280">I1282+K1282-((S1282+U1282)/24)</f>
        <v>46191.454722305898</v>
      </c>
      <c r="K1282" s="24">
        <f t="shared" ref="K1282:K1334" si="281">MOD(H1282,1)</f>
        <v>0.6719048727027257</v>
      </c>
      <c r="L1282" s="29">
        <f t="shared" si="273"/>
        <v>46190</v>
      </c>
      <c r="M1282" s="27" t="str">
        <f t="shared" ref="M1282:M1334" si="282">IF(X1282="","",IF(X1282&lt;=TIME(2,0,0),"Normal",IF(X1282&lt;=TIME(3,0,0),IF(D1282="CASH","Bill Settlement Delay","Doctor Round Delay/Report Delay"),IF(X1282&lt;=TIME(5,0,0),IF(D1282="TPA","TPA Approval Delay","Medication Change"),IF(D1282="TPA","Health Deterioration/TPA Approval Delay","Health Deterioration")))))</f>
        <v>Health Deterioration/TPA Approval Delay</v>
      </c>
      <c r="N1282" s="31">
        <f t="shared" ref="N1282:N1334" si="283">I1282-G1282</f>
        <v>0</v>
      </c>
      <c r="O1282" s="27"/>
      <c r="Q1282" s="8">
        <v>0.56843963100034045</v>
      </c>
      <c r="R1282" s="8" t="str">
        <f t="shared" ref="R1282:R1334" si="284">IF(X1282="","",IF(X1282&lt;=TIME(2,0,0),"On Time",IF(X1282&lt;=TIME(3,0,0),"Minor Delay",IF(X1282&lt;=TIME(5,0,0),"Major Delay","Critical Delay"))))</f>
        <v>Critical Delay</v>
      </c>
      <c r="S1282" s="33">
        <v>3.212381603290666</v>
      </c>
      <c r="T1282" t="s">
        <v>31</v>
      </c>
      <c r="U1282" s="3">
        <v>2</v>
      </c>
      <c r="V1282" s="3" t="str">
        <f t="shared" si="274"/>
        <v>Normal</v>
      </c>
      <c r="W1282" s="3" t="s">
        <v>50</v>
      </c>
      <c r="X1282" s="32">
        <f t="shared" ref="X1282:X1334" si="285">MOD(K1282-J1282,1)</f>
        <v>0.21718256680469494</v>
      </c>
      <c r="Z1282" s="38">
        <f t="shared" si="275"/>
        <v>9.2182566804694943E-2</v>
      </c>
      <c r="AC1282" s="36">
        <v>0.125</v>
      </c>
      <c r="AL1282" t="str">
        <f t="shared" si="276"/>
        <v>Health Deterioration/TPA Approval Delay</v>
      </c>
      <c r="AM1282" t="str">
        <f t="shared" si="277"/>
        <v>No</v>
      </c>
      <c r="AN1282" t="str">
        <f t="shared" si="278"/>
        <v>Emergency</v>
      </c>
      <c r="AO1282" t="str">
        <f t="shared" si="279"/>
        <v>General Ward</v>
      </c>
    </row>
    <row r="1283" spans="1:41" x14ac:dyDescent="0.3">
      <c r="A1283" s="21" t="str">
        <f t="shared" ref="A1283:A1334" si="286">"UHID-"&amp;TEXT(ROW(A1283)-1,"00000")</f>
        <v>UHID-01282</v>
      </c>
      <c r="B1283" s="18">
        <v>57</v>
      </c>
      <c r="C1283" s="10" t="s">
        <v>18</v>
      </c>
      <c r="D1283" s="13" t="s">
        <v>27</v>
      </c>
      <c r="E1283" s="13" t="s">
        <v>11</v>
      </c>
      <c r="F1283" s="15">
        <v>46191.422869456001</v>
      </c>
      <c r="G1283" s="4">
        <v>46191</v>
      </c>
      <c r="H1283" s="1">
        <v>46191.673515243099</v>
      </c>
      <c r="I1283" s="22">
        <v>46191</v>
      </c>
      <c r="J1283" s="24">
        <f t="shared" si="280"/>
        <v>46191.443554109028</v>
      </c>
      <c r="K1283" s="24">
        <f t="shared" si="281"/>
        <v>0.67351524309924571</v>
      </c>
      <c r="L1283" s="29">
        <f t="shared" ref="L1283:L1334" si="287">IF(J1283&gt;MOD(H1283,1),INT(H1283)-1,INT(H1283))</f>
        <v>46190</v>
      </c>
      <c r="M1283" s="27" t="str">
        <f t="shared" si="282"/>
        <v>Health Deterioration</v>
      </c>
      <c r="N1283" s="31">
        <f t="shared" si="283"/>
        <v>0</v>
      </c>
      <c r="O1283" s="27"/>
      <c r="Q1283" s="8">
        <v>0.17593143846740456</v>
      </c>
      <c r="R1283" s="8" t="str">
        <f t="shared" si="284"/>
        <v>Critical Delay</v>
      </c>
      <c r="S1283" s="33">
        <v>1.5190672177593358</v>
      </c>
      <c r="T1283" t="s">
        <v>30</v>
      </c>
      <c r="U1283" s="3">
        <v>4</v>
      </c>
      <c r="V1283" s="3" t="str">
        <f t="shared" ref="V1283:V1334" si="288">IF(T1283="NO","Normal","")</f>
        <v/>
      </c>
      <c r="W1283" s="3" t="s">
        <v>50</v>
      </c>
      <c r="X1283" s="32">
        <f t="shared" si="285"/>
        <v>0.22996113407134544</v>
      </c>
      <c r="Z1283" s="38">
        <f t="shared" ref="Z1283:Z1334" si="289">IF(X1283 &gt; TIME(3,0,0), X1283 - TIME(3,0,0), 0)</f>
        <v>0.10496113407134544</v>
      </c>
      <c r="AC1283" s="36">
        <v>0.125</v>
      </c>
      <c r="AL1283" t="str">
        <f t="shared" ref="AL1283:AL1334" si="290">IF(X1283="","",IF(X1283&lt;=TIME(2,0,0),"Normal",IF(X1283&lt;=TIME(3,0,0),IF(D1283="CASH","Bill Settlement Delay","Doctor Round Delay/Report Delay"),IF(Z1283&lt;=TIME(2,0,0),IF(D1283="TPA","TPA Approval Delay","Medication Change"),IF(D1283="TPA","Health Deterioration/TPA Approval Delay","Health Deterioration")))))</f>
        <v>Health Deterioration</v>
      </c>
      <c r="AM1283" t="str">
        <f t="shared" ref="AM1283:AM1334" si="291">IF(OR(AND(B1283&gt;65, R1283="Critical Delay"), N1283&gt;10), "Yes", "No")</f>
        <v>No</v>
      </c>
      <c r="AN1283" t="str">
        <f t="shared" ref="AN1283:AN1334" si="292">IF(E1283="Cardiology &amp; Cardiothoracic", IF(MOD(ROW(),10)&lt;3, "Emergency", "Elective"), IF(E1283="Neurology &amp; Neurosurgery", IF(MOD(ROW(),10)&lt;4, "Emergency", "Elective"), IF(D1283="COR", IF(MOD(ROW(),20)&lt;7, "Emergency", "Elective"), IF(OR(R1283="Critical Delay", N1283&gt;=7), "Emergency", "Elective"))))</f>
        <v>Emergency</v>
      </c>
      <c r="AO1283" t="str">
        <f t="shared" ref="AO1283:AO1334" si="293">IF(OR(N1283&gt;6, AND(E1283="Cardiology &amp; Cardiothoracic", MOD(ROW(),10)&lt;4), AND(E1283="Neurology &amp; Neurosurgery", MOD(ROW(),10)&lt;6)), "ICU", IF(OR(N1283&gt;3, AND(E1283="Cardiology &amp; Cardiothoracic", MOD(ROW(),10)&lt;6), E1283="Neurology &amp; Neurosurgery"), "HDU", "General Ward"))</f>
        <v>General Ward</v>
      </c>
    </row>
    <row r="1284" spans="1:41" x14ac:dyDescent="0.3">
      <c r="A1284" s="21" t="str">
        <f t="shared" si="286"/>
        <v>UHID-01283</v>
      </c>
      <c r="B1284" s="18">
        <v>74</v>
      </c>
      <c r="C1284" s="10" t="s">
        <v>17</v>
      </c>
      <c r="D1284" s="13" t="s">
        <v>27</v>
      </c>
      <c r="E1284" s="13" t="s">
        <v>11</v>
      </c>
      <c r="F1284" s="15">
        <v>46188.613685069402</v>
      </c>
      <c r="G1284" s="4">
        <v>46188</v>
      </c>
      <c r="H1284" s="1">
        <v>46192.543352118097</v>
      </c>
      <c r="I1284" s="22">
        <v>46192</v>
      </c>
      <c r="J1284" s="24">
        <f t="shared" si="280"/>
        <v>46192.494961337427</v>
      </c>
      <c r="K1284" s="24">
        <f t="shared" si="281"/>
        <v>0.54335211809666362</v>
      </c>
      <c r="L1284" s="29">
        <f t="shared" si="287"/>
        <v>46191</v>
      </c>
      <c r="M1284" s="27" t="str">
        <f t="shared" si="282"/>
        <v>Normal</v>
      </c>
      <c r="N1284" s="31">
        <f t="shared" si="283"/>
        <v>4</v>
      </c>
      <c r="O1284" s="27"/>
      <c r="Q1284" s="8">
        <v>0.3221213251155991</v>
      </c>
      <c r="R1284" s="8" t="str">
        <f t="shared" si="284"/>
        <v>On Time</v>
      </c>
      <c r="S1284" s="33">
        <v>1.1613787360116192</v>
      </c>
      <c r="T1284" t="s">
        <v>30</v>
      </c>
      <c r="U1284" s="3">
        <v>0</v>
      </c>
      <c r="V1284" s="3" t="str">
        <f t="shared" si="288"/>
        <v/>
      </c>
      <c r="W1284" s="3" t="s">
        <v>51</v>
      </c>
      <c r="X1284" s="32">
        <f t="shared" si="285"/>
        <v>4.8390780670160893E-2</v>
      </c>
      <c r="Z1284" s="38">
        <f t="shared" si="289"/>
        <v>0</v>
      </c>
      <c r="AC1284" s="36">
        <v>0.125</v>
      </c>
      <c r="AL1284" t="str">
        <f t="shared" si="290"/>
        <v>Normal</v>
      </c>
      <c r="AM1284" t="str">
        <f t="shared" si="291"/>
        <v>No</v>
      </c>
      <c r="AN1284" t="str">
        <f t="shared" si="292"/>
        <v>Elective</v>
      </c>
      <c r="AO1284" t="str">
        <f t="shared" si="293"/>
        <v>HDU</v>
      </c>
    </row>
    <row r="1285" spans="1:41" x14ac:dyDescent="0.3">
      <c r="A1285" s="21" t="str">
        <f t="shared" si="286"/>
        <v>UHID-01284</v>
      </c>
      <c r="B1285" s="18">
        <v>60</v>
      </c>
      <c r="C1285" s="10" t="s">
        <v>18</v>
      </c>
      <c r="D1285" s="13" t="s">
        <v>26</v>
      </c>
      <c r="E1285" s="13" t="s">
        <v>11</v>
      </c>
      <c r="F1285" s="15">
        <v>46191.501774837998</v>
      </c>
      <c r="G1285" s="4">
        <v>46191</v>
      </c>
      <c r="H1285" s="1">
        <v>46192.657855196798</v>
      </c>
      <c r="I1285" s="22">
        <v>46192</v>
      </c>
      <c r="J1285" s="24">
        <f t="shared" si="280"/>
        <v>46192.523708047302</v>
      </c>
      <c r="K1285" s="24">
        <f t="shared" si="281"/>
        <v>0.65785519679775462</v>
      </c>
      <c r="L1285" s="29">
        <f t="shared" si="287"/>
        <v>46191</v>
      </c>
      <c r="M1285" s="27" t="str">
        <f t="shared" si="282"/>
        <v>TPA Approval Delay</v>
      </c>
      <c r="N1285" s="31">
        <f t="shared" si="283"/>
        <v>1</v>
      </c>
      <c r="O1285" s="27"/>
      <c r="Q1285" s="8">
        <v>0.63787113091285319</v>
      </c>
      <c r="R1285" s="8" t="str">
        <f t="shared" si="284"/>
        <v>Major Delay</v>
      </c>
      <c r="S1285" s="33">
        <v>3.2195315879839557</v>
      </c>
      <c r="T1285" t="s">
        <v>31</v>
      </c>
      <c r="U1285" s="3">
        <v>0</v>
      </c>
      <c r="V1285" s="3" t="str">
        <f t="shared" si="288"/>
        <v>Normal</v>
      </c>
      <c r="W1285" s="3" t="s">
        <v>51</v>
      </c>
      <c r="X1285" s="32">
        <f t="shared" si="285"/>
        <v>0.13414714949612971</v>
      </c>
      <c r="Z1285" s="38">
        <f t="shared" si="289"/>
        <v>9.147149496129714E-3</v>
      </c>
      <c r="AC1285" s="36">
        <v>0.125</v>
      </c>
      <c r="AL1285" t="str">
        <f t="shared" si="290"/>
        <v>TPA Approval Delay</v>
      </c>
      <c r="AM1285" t="str">
        <f t="shared" si="291"/>
        <v>No</v>
      </c>
      <c r="AN1285" t="str">
        <f t="shared" si="292"/>
        <v>Elective</v>
      </c>
      <c r="AO1285" t="str">
        <f t="shared" si="293"/>
        <v>General Ward</v>
      </c>
    </row>
    <row r="1286" spans="1:41" x14ac:dyDescent="0.3">
      <c r="A1286" s="21" t="str">
        <f t="shared" si="286"/>
        <v>UHID-01285</v>
      </c>
      <c r="B1286" s="18">
        <v>14</v>
      </c>
      <c r="C1286" s="10" t="s">
        <v>18</v>
      </c>
      <c r="D1286" s="13" t="s">
        <v>27</v>
      </c>
      <c r="E1286" s="13" t="s">
        <v>11</v>
      </c>
      <c r="F1286" s="15">
        <v>46190.8343763542</v>
      </c>
      <c r="G1286" s="4">
        <v>46190</v>
      </c>
      <c r="H1286" s="1">
        <v>46192.606327499998</v>
      </c>
      <c r="I1286" s="22">
        <v>46192</v>
      </c>
      <c r="J1286" s="24">
        <f t="shared" si="280"/>
        <v>46192.530632000264</v>
      </c>
      <c r="K1286" s="24">
        <f t="shared" si="281"/>
        <v>0.60632749999786029</v>
      </c>
      <c r="L1286" s="29">
        <f t="shared" si="287"/>
        <v>46191</v>
      </c>
      <c r="M1286" s="27" t="str">
        <f t="shared" si="282"/>
        <v>Normal</v>
      </c>
      <c r="N1286" s="31">
        <f t="shared" si="283"/>
        <v>2</v>
      </c>
      <c r="O1286" s="27"/>
      <c r="Q1286" s="8">
        <v>0.10261924883075146</v>
      </c>
      <c r="R1286" s="8" t="str">
        <f t="shared" si="284"/>
        <v>On Time</v>
      </c>
      <c r="S1286" s="33">
        <v>1.8166919935610726</v>
      </c>
      <c r="T1286" t="s">
        <v>30</v>
      </c>
      <c r="U1286" s="3">
        <v>0</v>
      </c>
      <c r="V1286" s="3" t="str">
        <f t="shared" si="288"/>
        <v/>
      </c>
      <c r="W1286" s="3" t="s">
        <v>51</v>
      </c>
      <c r="X1286" s="32">
        <f t="shared" si="285"/>
        <v>7.5695499734138139E-2</v>
      </c>
      <c r="Z1286" s="38">
        <f t="shared" si="289"/>
        <v>0</v>
      </c>
      <c r="AC1286" s="36">
        <v>0.125</v>
      </c>
      <c r="AL1286" t="str">
        <f t="shared" si="290"/>
        <v>Normal</v>
      </c>
      <c r="AM1286" t="str">
        <f t="shared" si="291"/>
        <v>No</v>
      </c>
      <c r="AN1286" t="str">
        <f t="shared" si="292"/>
        <v>Elective</v>
      </c>
      <c r="AO1286" t="str">
        <f t="shared" si="293"/>
        <v>General Ward</v>
      </c>
    </row>
    <row r="1287" spans="1:41" x14ac:dyDescent="0.3">
      <c r="A1287" s="21" t="str">
        <f t="shared" si="286"/>
        <v>UHID-01286</v>
      </c>
      <c r="B1287" s="18">
        <v>12</v>
      </c>
      <c r="C1287" s="10" t="s">
        <v>18</v>
      </c>
      <c r="D1287" s="13" t="s">
        <v>26</v>
      </c>
      <c r="E1287" s="13" t="s">
        <v>11</v>
      </c>
      <c r="F1287" s="15">
        <v>46191.331516759303</v>
      </c>
      <c r="G1287" s="4">
        <v>46191</v>
      </c>
      <c r="H1287" s="1">
        <v>46192.566063599501</v>
      </c>
      <c r="I1287" s="22">
        <v>46192</v>
      </c>
      <c r="J1287" s="24">
        <f t="shared" si="280"/>
        <v>46192.307561363639</v>
      </c>
      <c r="K1287" s="24">
        <f t="shared" si="281"/>
        <v>0.56606359950092155</v>
      </c>
      <c r="L1287" s="29">
        <f t="shared" si="287"/>
        <v>46191</v>
      </c>
      <c r="M1287" s="27" t="str">
        <f t="shared" si="282"/>
        <v>Health Deterioration/TPA Approval Delay</v>
      </c>
      <c r="N1287" s="31">
        <f t="shared" si="283"/>
        <v>1</v>
      </c>
      <c r="O1287" s="27"/>
      <c r="Q1287" s="8">
        <v>0.64373848689291091</v>
      </c>
      <c r="R1287" s="8" t="str">
        <f t="shared" si="284"/>
        <v>Critical Delay</v>
      </c>
      <c r="S1287" s="33">
        <v>3.2040536606050098</v>
      </c>
      <c r="T1287" t="s">
        <v>31</v>
      </c>
      <c r="U1287" s="3">
        <v>3</v>
      </c>
      <c r="V1287" s="3" t="str">
        <f t="shared" si="288"/>
        <v>Normal</v>
      </c>
      <c r="W1287" s="3" t="s">
        <v>50</v>
      </c>
      <c r="X1287" s="32">
        <f t="shared" si="285"/>
        <v>0.25850223586166976</v>
      </c>
      <c r="Z1287" s="38">
        <f t="shared" si="289"/>
        <v>0.13350223586166976</v>
      </c>
      <c r="AC1287" s="36">
        <v>0.125</v>
      </c>
      <c r="AL1287" t="str">
        <f t="shared" si="290"/>
        <v>Health Deterioration/TPA Approval Delay</v>
      </c>
      <c r="AM1287" t="str">
        <f t="shared" si="291"/>
        <v>No</v>
      </c>
      <c r="AN1287" t="str">
        <f t="shared" si="292"/>
        <v>Emergency</v>
      </c>
      <c r="AO1287" t="str">
        <f t="shared" si="293"/>
        <v>General Ward</v>
      </c>
    </row>
    <row r="1288" spans="1:41" x14ac:dyDescent="0.3">
      <c r="A1288" s="21" t="str">
        <f t="shared" si="286"/>
        <v>UHID-01287</v>
      </c>
      <c r="B1288" s="18">
        <v>30</v>
      </c>
      <c r="C1288" s="10" t="s">
        <v>18</v>
      </c>
      <c r="D1288" s="13" t="s">
        <v>27</v>
      </c>
      <c r="E1288" s="13" t="s">
        <v>11</v>
      </c>
      <c r="F1288" s="15">
        <v>46192.445327858797</v>
      </c>
      <c r="G1288" s="4">
        <v>46192</v>
      </c>
      <c r="H1288" s="1">
        <v>46192.753558680597</v>
      </c>
      <c r="I1288" s="22">
        <v>46192</v>
      </c>
      <c r="J1288" s="24">
        <f t="shared" si="280"/>
        <v>46192.702836231001</v>
      </c>
      <c r="K1288" s="24">
        <f t="shared" si="281"/>
        <v>0.75355868059705244</v>
      </c>
      <c r="L1288" s="29">
        <f t="shared" si="287"/>
        <v>46191</v>
      </c>
      <c r="M1288" s="27" t="str">
        <f t="shared" si="282"/>
        <v>Normal</v>
      </c>
      <c r="N1288" s="31">
        <f t="shared" si="283"/>
        <v>0</v>
      </c>
      <c r="O1288" s="27"/>
      <c r="Q1288" s="8">
        <v>6.3562712654768427E-2</v>
      </c>
      <c r="R1288" s="8" t="str">
        <f t="shared" si="284"/>
        <v>On Time</v>
      </c>
      <c r="S1288" s="33">
        <v>1.2173387902312043</v>
      </c>
      <c r="T1288" t="s">
        <v>30</v>
      </c>
      <c r="U1288" s="3">
        <v>0</v>
      </c>
      <c r="V1288" s="3" t="str">
        <f t="shared" si="288"/>
        <v/>
      </c>
      <c r="W1288" s="3" t="s">
        <v>51</v>
      </c>
      <c r="X1288" s="32">
        <f t="shared" si="285"/>
        <v>5.0722449595923536E-2</v>
      </c>
      <c r="Z1288" s="38">
        <f t="shared" si="289"/>
        <v>0</v>
      </c>
      <c r="AC1288" s="36">
        <v>0.125</v>
      </c>
      <c r="AL1288" t="str">
        <f t="shared" si="290"/>
        <v>Normal</v>
      </c>
      <c r="AM1288" t="str">
        <f t="shared" si="291"/>
        <v>No</v>
      </c>
      <c r="AN1288" t="str">
        <f t="shared" si="292"/>
        <v>Elective</v>
      </c>
      <c r="AO1288" t="str">
        <f t="shared" si="293"/>
        <v>General Ward</v>
      </c>
    </row>
    <row r="1289" spans="1:41" x14ac:dyDescent="0.3">
      <c r="A1289" s="21" t="str">
        <f t="shared" si="286"/>
        <v>UHID-01288</v>
      </c>
      <c r="B1289" s="18">
        <v>67</v>
      </c>
      <c r="C1289" s="10" t="s">
        <v>18</v>
      </c>
      <c r="D1289" s="13" t="s">
        <v>27</v>
      </c>
      <c r="E1289" s="13" t="s">
        <v>11</v>
      </c>
      <c r="F1289" s="15">
        <v>46189.7380820486</v>
      </c>
      <c r="G1289" s="4">
        <v>46189</v>
      </c>
      <c r="H1289" s="1">
        <v>46192.716020231499</v>
      </c>
      <c r="I1289" s="22">
        <v>46192</v>
      </c>
      <c r="J1289" s="24">
        <f t="shared" si="280"/>
        <v>46192.549719250805</v>
      </c>
      <c r="K1289" s="24">
        <f t="shared" si="281"/>
        <v>0.71602023149898741</v>
      </c>
      <c r="L1289" s="29">
        <f t="shared" si="287"/>
        <v>46191</v>
      </c>
      <c r="M1289" s="27" t="str">
        <f t="shared" si="282"/>
        <v>Medication Change</v>
      </c>
      <c r="N1289" s="31">
        <f t="shared" si="283"/>
        <v>3</v>
      </c>
      <c r="O1289" s="27"/>
      <c r="Q1289" s="8">
        <v>0.24893292838850645</v>
      </c>
      <c r="R1289" s="8" t="str">
        <f t="shared" si="284"/>
        <v>Major Delay</v>
      </c>
      <c r="S1289" s="33">
        <v>1.9912235367506803</v>
      </c>
      <c r="T1289" t="s">
        <v>30</v>
      </c>
      <c r="U1289" s="3">
        <v>2</v>
      </c>
      <c r="V1289" s="3" t="str">
        <f t="shared" si="288"/>
        <v/>
      </c>
      <c r="W1289" s="3" t="s">
        <v>50</v>
      </c>
      <c r="X1289" s="32">
        <f t="shared" si="285"/>
        <v>0.16630098069435917</v>
      </c>
      <c r="Z1289" s="38">
        <f t="shared" si="289"/>
        <v>4.1300980694359168E-2</v>
      </c>
      <c r="AC1289" s="36">
        <v>0.125</v>
      </c>
      <c r="AL1289" t="str">
        <f t="shared" si="290"/>
        <v>Medication Change</v>
      </c>
      <c r="AM1289" t="str">
        <f t="shared" si="291"/>
        <v>No</v>
      </c>
      <c r="AN1289" t="str">
        <f t="shared" si="292"/>
        <v>Elective</v>
      </c>
      <c r="AO1289" t="str">
        <f t="shared" si="293"/>
        <v>General Ward</v>
      </c>
    </row>
    <row r="1290" spans="1:41" x14ac:dyDescent="0.3">
      <c r="A1290" s="21" t="str">
        <f t="shared" si="286"/>
        <v>UHID-01289</v>
      </c>
      <c r="B1290" s="18">
        <v>31</v>
      </c>
      <c r="C1290" s="10" t="s">
        <v>18</v>
      </c>
      <c r="D1290" s="13" t="s">
        <v>27</v>
      </c>
      <c r="E1290" s="13" t="s">
        <v>11</v>
      </c>
      <c r="F1290" s="15">
        <v>46191.802450439798</v>
      </c>
      <c r="G1290" s="4">
        <v>46191</v>
      </c>
      <c r="H1290" s="1">
        <v>46193.637026747703</v>
      </c>
      <c r="I1290" s="22">
        <v>46193</v>
      </c>
      <c r="J1290" s="24">
        <f t="shared" si="280"/>
        <v>46193.453054291887</v>
      </c>
      <c r="K1290" s="24">
        <f t="shared" si="281"/>
        <v>0.637026747703203</v>
      </c>
      <c r="L1290" s="29">
        <f t="shared" si="287"/>
        <v>46192</v>
      </c>
      <c r="M1290" s="27" t="str">
        <f t="shared" si="282"/>
        <v>Medication Change</v>
      </c>
      <c r="N1290" s="31">
        <f t="shared" si="283"/>
        <v>2</v>
      </c>
      <c r="O1290" s="27"/>
      <c r="Q1290" s="8">
        <v>0.41184737553872897</v>
      </c>
      <c r="R1290" s="8" t="str">
        <f t="shared" si="284"/>
        <v>Major Delay</v>
      </c>
      <c r="S1290" s="33">
        <v>1.4153389395801557</v>
      </c>
      <c r="T1290" t="s">
        <v>31</v>
      </c>
      <c r="U1290" s="3">
        <v>3</v>
      </c>
      <c r="V1290" s="3" t="str">
        <f t="shared" si="288"/>
        <v>Normal</v>
      </c>
      <c r="W1290" s="3" t="s">
        <v>50</v>
      </c>
      <c r="X1290" s="32">
        <f t="shared" si="285"/>
        <v>0.18397245581581956</v>
      </c>
      <c r="Z1290" s="38">
        <f t="shared" si="289"/>
        <v>5.8972455815819558E-2</v>
      </c>
      <c r="AC1290" s="36">
        <v>0.125</v>
      </c>
      <c r="AL1290" t="str">
        <f t="shared" si="290"/>
        <v>Medication Change</v>
      </c>
      <c r="AM1290" t="str">
        <f t="shared" si="291"/>
        <v>No</v>
      </c>
      <c r="AN1290" t="str">
        <f t="shared" si="292"/>
        <v>Elective</v>
      </c>
      <c r="AO1290" t="str">
        <f t="shared" si="293"/>
        <v>General Ward</v>
      </c>
    </row>
    <row r="1291" spans="1:41" x14ac:dyDescent="0.3">
      <c r="A1291" s="21" t="str">
        <f t="shared" si="286"/>
        <v>UHID-01290</v>
      </c>
      <c r="B1291" s="18">
        <v>61</v>
      </c>
      <c r="C1291" s="10" t="s">
        <v>18</v>
      </c>
      <c r="D1291" s="13" t="s">
        <v>28</v>
      </c>
      <c r="E1291" s="13" t="s">
        <v>11</v>
      </c>
      <c r="F1291" s="15">
        <v>46193.021361400497</v>
      </c>
      <c r="G1291" s="4">
        <v>46193</v>
      </c>
      <c r="H1291" s="1">
        <v>46193.552382962996</v>
      </c>
      <c r="I1291" s="22">
        <v>46193</v>
      </c>
      <c r="J1291" s="24">
        <f t="shared" si="280"/>
        <v>46193.281253650734</v>
      </c>
      <c r="K1291" s="24">
        <f t="shared" si="281"/>
        <v>0.55238296299648937</v>
      </c>
      <c r="L1291" s="29">
        <f t="shared" si="287"/>
        <v>46192</v>
      </c>
      <c r="M1291" s="27" t="str">
        <f t="shared" si="282"/>
        <v>Health Deterioration</v>
      </c>
      <c r="N1291" s="31">
        <f t="shared" si="283"/>
        <v>0</v>
      </c>
      <c r="O1291" s="27"/>
      <c r="Q1291" s="8">
        <v>0.99243728921117724</v>
      </c>
      <c r="R1291" s="8" t="str">
        <f t="shared" si="284"/>
        <v>Critical Delay</v>
      </c>
      <c r="S1291" s="33">
        <v>2.5071034943165458</v>
      </c>
      <c r="T1291" t="s">
        <v>31</v>
      </c>
      <c r="U1291" s="3">
        <v>4</v>
      </c>
      <c r="V1291" s="3" t="str">
        <f t="shared" si="288"/>
        <v>Normal</v>
      </c>
      <c r="W1291" s="3" t="s">
        <v>50</v>
      </c>
      <c r="X1291" s="32">
        <f t="shared" si="285"/>
        <v>0.27112931226292858</v>
      </c>
      <c r="Z1291" s="38">
        <f t="shared" si="289"/>
        <v>0.14612931226292858</v>
      </c>
      <c r="AC1291" s="36">
        <v>0.125</v>
      </c>
      <c r="AL1291" t="str">
        <f t="shared" si="290"/>
        <v>Health Deterioration</v>
      </c>
      <c r="AM1291" t="str">
        <f t="shared" si="291"/>
        <v>No</v>
      </c>
      <c r="AN1291" t="str">
        <f t="shared" si="292"/>
        <v>Elective</v>
      </c>
      <c r="AO1291" t="str">
        <f t="shared" si="293"/>
        <v>General Ward</v>
      </c>
    </row>
    <row r="1292" spans="1:41" x14ac:dyDescent="0.3">
      <c r="A1292" s="21" t="str">
        <f t="shared" si="286"/>
        <v>UHID-01291</v>
      </c>
      <c r="B1292" s="18">
        <v>49</v>
      </c>
      <c r="C1292" s="10" t="s">
        <v>17</v>
      </c>
      <c r="D1292" s="13" t="s">
        <v>27</v>
      </c>
      <c r="E1292" s="13" t="s">
        <v>11</v>
      </c>
      <c r="F1292" s="15">
        <v>46193.492889791698</v>
      </c>
      <c r="G1292" s="4">
        <v>46193</v>
      </c>
      <c r="H1292" s="1">
        <v>46193.673748287001</v>
      </c>
      <c r="I1292" s="22">
        <v>46193</v>
      </c>
      <c r="J1292" s="24">
        <f t="shared" si="280"/>
        <v>46193.490192758371</v>
      </c>
      <c r="K1292" s="24">
        <f t="shared" si="281"/>
        <v>0.67374828700121725</v>
      </c>
      <c r="L1292" s="29">
        <f t="shared" si="287"/>
        <v>46192</v>
      </c>
      <c r="M1292" s="27" t="str">
        <f t="shared" si="282"/>
        <v>Medication Change</v>
      </c>
      <c r="N1292" s="31">
        <f t="shared" si="283"/>
        <v>0</v>
      </c>
      <c r="O1292" s="27"/>
      <c r="Q1292" s="8">
        <v>1.8688448532524493E-2</v>
      </c>
      <c r="R1292" s="8" t="str">
        <f t="shared" si="284"/>
        <v>Major Delay</v>
      </c>
      <c r="S1292" s="33">
        <v>1.4053326870855964</v>
      </c>
      <c r="T1292" t="s">
        <v>30</v>
      </c>
      <c r="U1292" s="3">
        <v>3</v>
      </c>
      <c r="V1292" s="3" t="str">
        <f t="shared" si="288"/>
        <v/>
      </c>
      <c r="W1292" s="3" t="s">
        <v>50</v>
      </c>
      <c r="X1292" s="32">
        <f t="shared" si="285"/>
        <v>0.18355552863067714</v>
      </c>
      <c r="Z1292" s="38">
        <f t="shared" si="289"/>
        <v>5.8555528630677145E-2</v>
      </c>
      <c r="AC1292" s="36">
        <v>0.125</v>
      </c>
      <c r="AL1292" t="str">
        <f t="shared" si="290"/>
        <v>Medication Change</v>
      </c>
      <c r="AM1292" t="str">
        <f t="shared" si="291"/>
        <v>No</v>
      </c>
      <c r="AN1292" t="str">
        <f t="shared" si="292"/>
        <v>Elective</v>
      </c>
      <c r="AO1292" t="str">
        <f t="shared" si="293"/>
        <v>General Ward</v>
      </c>
    </row>
    <row r="1293" spans="1:41" x14ac:dyDescent="0.3">
      <c r="A1293" s="21" t="str">
        <f t="shared" si="286"/>
        <v>UHID-01292</v>
      </c>
      <c r="B1293" s="18">
        <v>30</v>
      </c>
      <c r="C1293" s="10" t="s">
        <v>18</v>
      </c>
      <c r="D1293" s="13" t="s">
        <v>27</v>
      </c>
      <c r="E1293" s="13" t="s">
        <v>11</v>
      </c>
      <c r="F1293" s="15">
        <v>46193.508278588</v>
      </c>
      <c r="G1293" s="4">
        <v>46193</v>
      </c>
      <c r="H1293" s="1">
        <v>46193.669488819403</v>
      </c>
      <c r="I1293" s="22">
        <v>46193</v>
      </c>
      <c r="J1293" s="24">
        <f t="shared" si="280"/>
        <v>46193.469682986812</v>
      </c>
      <c r="K1293" s="24">
        <f t="shared" si="281"/>
        <v>0.66948881940334104</v>
      </c>
      <c r="L1293" s="29">
        <f t="shared" si="287"/>
        <v>46192</v>
      </c>
      <c r="M1293" s="27" t="str">
        <f t="shared" si="282"/>
        <v>Medication Change</v>
      </c>
      <c r="N1293" s="31">
        <f t="shared" si="283"/>
        <v>0</v>
      </c>
      <c r="O1293" s="27"/>
      <c r="Q1293" s="8">
        <v>1.6369059970113953E-2</v>
      </c>
      <c r="R1293" s="8" t="str">
        <f t="shared" si="284"/>
        <v>Major Delay</v>
      </c>
      <c r="S1293" s="33">
        <v>1.7953399821920848</v>
      </c>
      <c r="T1293" t="s">
        <v>30</v>
      </c>
      <c r="U1293" s="3">
        <v>3</v>
      </c>
      <c r="V1293" s="3" t="str">
        <f t="shared" si="288"/>
        <v/>
      </c>
      <c r="W1293" s="3" t="s">
        <v>50</v>
      </c>
      <c r="X1293" s="32">
        <f t="shared" si="285"/>
        <v>0.19980583259166451</v>
      </c>
      <c r="Z1293" s="38">
        <f t="shared" si="289"/>
        <v>7.4805832591664512E-2</v>
      </c>
      <c r="AC1293" s="36">
        <v>0.125</v>
      </c>
      <c r="AL1293" t="str">
        <f t="shared" si="290"/>
        <v>Medication Change</v>
      </c>
      <c r="AM1293" t="str">
        <f t="shared" si="291"/>
        <v>No</v>
      </c>
      <c r="AN1293" t="str">
        <f t="shared" si="292"/>
        <v>Elective</v>
      </c>
      <c r="AO1293" t="str">
        <f t="shared" si="293"/>
        <v>General Ward</v>
      </c>
    </row>
    <row r="1294" spans="1:41" x14ac:dyDescent="0.3">
      <c r="A1294" s="21" t="str">
        <f t="shared" si="286"/>
        <v>UHID-01293</v>
      </c>
      <c r="B1294" s="18">
        <v>34</v>
      </c>
      <c r="C1294" s="10" t="s">
        <v>18</v>
      </c>
      <c r="D1294" s="13" t="s">
        <v>27</v>
      </c>
      <c r="E1294" s="13" t="s">
        <v>11</v>
      </c>
      <c r="F1294" s="15">
        <v>46191.453106944398</v>
      </c>
      <c r="G1294" s="4">
        <v>46191</v>
      </c>
      <c r="H1294" s="1">
        <v>46193.6465637847</v>
      </c>
      <c r="I1294" s="22">
        <v>46193</v>
      </c>
      <c r="J1294" s="24">
        <f t="shared" si="280"/>
        <v>46193.566398979892</v>
      </c>
      <c r="K1294" s="24">
        <f t="shared" si="281"/>
        <v>0.64656378469953779</v>
      </c>
      <c r="L1294" s="29">
        <f t="shared" si="287"/>
        <v>46192</v>
      </c>
      <c r="M1294" s="27" t="str">
        <f t="shared" si="282"/>
        <v>Normal</v>
      </c>
      <c r="N1294" s="31">
        <f t="shared" si="283"/>
        <v>2</v>
      </c>
      <c r="O1294" s="27"/>
      <c r="Q1294" s="8">
        <v>0.18996144198084408</v>
      </c>
      <c r="R1294" s="8" t="str">
        <f t="shared" si="284"/>
        <v>On Time</v>
      </c>
      <c r="S1294" s="33">
        <v>1.9239553154324587</v>
      </c>
      <c r="T1294" t="s">
        <v>30</v>
      </c>
      <c r="U1294" s="3">
        <v>0</v>
      </c>
      <c r="V1294" s="3" t="str">
        <f t="shared" si="288"/>
        <v/>
      </c>
      <c r="W1294" s="3" t="s">
        <v>51</v>
      </c>
      <c r="X1294" s="32">
        <f t="shared" si="285"/>
        <v>8.0164804807282053E-2</v>
      </c>
      <c r="Z1294" s="38">
        <f t="shared" si="289"/>
        <v>0</v>
      </c>
      <c r="AC1294" s="36">
        <v>0.125</v>
      </c>
      <c r="AL1294" t="str">
        <f t="shared" si="290"/>
        <v>Normal</v>
      </c>
      <c r="AM1294" t="str">
        <f t="shared" si="291"/>
        <v>No</v>
      </c>
      <c r="AN1294" t="str">
        <f t="shared" si="292"/>
        <v>Elective</v>
      </c>
      <c r="AO1294" t="str">
        <f t="shared" si="293"/>
        <v>General Ward</v>
      </c>
    </row>
    <row r="1295" spans="1:41" x14ac:dyDescent="0.3">
      <c r="A1295" s="21" t="str">
        <f t="shared" si="286"/>
        <v>UHID-01294</v>
      </c>
      <c r="B1295" s="18">
        <v>64</v>
      </c>
      <c r="C1295" s="10" t="s">
        <v>17</v>
      </c>
      <c r="D1295" s="13" t="s">
        <v>26</v>
      </c>
      <c r="E1295" s="13" t="s">
        <v>11</v>
      </c>
      <c r="F1295" s="15">
        <v>46193.4896539931</v>
      </c>
      <c r="G1295" s="4">
        <v>46193</v>
      </c>
      <c r="H1295" s="1">
        <v>46193.791029351902</v>
      </c>
      <c r="I1295" s="22">
        <v>46193</v>
      </c>
      <c r="J1295" s="24">
        <f t="shared" si="280"/>
        <v>46193.579899452197</v>
      </c>
      <c r="K1295" s="24">
        <f t="shared" si="281"/>
        <v>0.79102935190167045</v>
      </c>
      <c r="L1295" s="29">
        <f t="shared" si="287"/>
        <v>46192</v>
      </c>
      <c r="M1295" s="27" t="str">
        <f t="shared" si="282"/>
        <v>Health Deterioration/TPA Approval Delay</v>
      </c>
      <c r="N1295" s="31">
        <f t="shared" si="283"/>
        <v>0</v>
      </c>
      <c r="O1295" s="27"/>
      <c r="Q1295" s="8">
        <v>0.52443259241586715</v>
      </c>
      <c r="R1295" s="8" t="str">
        <f t="shared" si="284"/>
        <v>Critical Delay</v>
      </c>
      <c r="S1295" s="33">
        <v>3.0671175929107091</v>
      </c>
      <c r="T1295" t="s">
        <v>31</v>
      </c>
      <c r="U1295" s="3">
        <v>2</v>
      </c>
      <c r="V1295" s="3" t="str">
        <f t="shared" si="288"/>
        <v>Normal</v>
      </c>
      <c r="W1295" s="3" t="s">
        <v>50</v>
      </c>
      <c r="X1295" s="32">
        <f t="shared" si="285"/>
        <v>0.21112989970424678</v>
      </c>
      <c r="Z1295" s="38">
        <f t="shared" si="289"/>
        <v>8.6129899704246782E-2</v>
      </c>
      <c r="AC1295" s="36">
        <v>0.125</v>
      </c>
      <c r="AL1295" t="str">
        <f t="shared" si="290"/>
        <v>Health Deterioration/TPA Approval Delay</v>
      </c>
      <c r="AM1295" t="str">
        <f t="shared" si="291"/>
        <v>No</v>
      </c>
      <c r="AN1295" t="str">
        <f t="shared" si="292"/>
        <v>Emergency</v>
      </c>
      <c r="AO1295" t="str">
        <f t="shared" si="293"/>
        <v>General Ward</v>
      </c>
    </row>
    <row r="1296" spans="1:41" x14ac:dyDescent="0.3">
      <c r="A1296" s="21" t="str">
        <f t="shared" si="286"/>
        <v>UHID-01295</v>
      </c>
      <c r="B1296" s="18">
        <v>66</v>
      </c>
      <c r="C1296" s="10" t="s">
        <v>18</v>
      </c>
      <c r="D1296" s="13" t="s">
        <v>27</v>
      </c>
      <c r="E1296" s="13" t="s">
        <v>11</v>
      </c>
      <c r="F1296" s="15">
        <v>46191.810605023202</v>
      </c>
      <c r="G1296" s="4">
        <v>46191</v>
      </c>
      <c r="H1296" s="1">
        <v>46195.611950127299</v>
      </c>
      <c r="I1296" s="22">
        <v>46195</v>
      </c>
      <c r="J1296" s="24">
        <f t="shared" si="280"/>
        <v>46195.44589274926</v>
      </c>
      <c r="K1296" s="24">
        <f t="shared" si="281"/>
        <v>0.61195012729876908</v>
      </c>
      <c r="L1296" s="29">
        <f t="shared" si="287"/>
        <v>46194</v>
      </c>
      <c r="M1296" s="27" t="str">
        <f t="shared" si="282"/>
        <v>Medication Change</v>
      </c>
      <c r="N1296" s="31">
        <f t="shared" si="283"/>
        <v>4</v>
      </c>
      <c r="O1296" s="27"/>
      <c r="Q1296" s="8">
        <v>0.18965823915593405</v>
      </c>
      <c r="R1296" s="8" t="str">
        <f t="shared" si="284"/>
        <v>Major Delay</v>
      </c>
      <c r="S1296" s="33">
        <v>1.9853770729466249</v>
      </c>
      <c r="T1296" t="s">
        <v>30</v>
      </c>
      <c r="U1296" s="3">
        <v>2</v>
      </c>
      <c r="V1296" s="3" t="str">
        <f t="shared" si="288"/>
        <v/>
      </c>
      <c r="W1296" s="3" t="s">
        <v>50</v>
      </c>
      <c r="X1296" s="32">
        <f t="shared" si="285"/>
        <v>0.16605737803911325</v>
      </c>
      <c r="Z1296" s="38">
        <f t="shared" si="289"/>
        <v>4.1057378039113246E-2</v>
      </c>
      <c r="AC1296" s="36">
        <v>0.125</v>
      </c>
      <c r="AL1296" t="str">
        <f t="shared" si="290"/>
        <v>Medication Change</v>
      </c>
      <c r="AM1296" t="str">
        <f t="shared" si="291"/>
        <v>No</v>
      </c>
      <c r="AN1296" t="str">
        <f t="shared" si="292"/>
        <v>Elective</v>
      </c>
      <c r="AO1296" t="str">
        <f t="shared" si="293"/>
        <v>HDU</v>
      </c>
    </row>
    <row r="1297" spans="1:41" x14ac:dyDescent="0.3">
      <c r="A1297" s="21" t="str">
        <f t="shared" si="286"/>
        <v>UHID-01296</v>
      </c>
      <c r="B1297" s="18">
        <v>68</v>
      </c>
      <c r="C1297" s="10" t="s">
        <v>18</v>
      </c>
      <c r="D1297" s="13" t="s">
        <v>26</v>
      </c>
      <c r="E1297" s="13" t="s">
        <v>11</v>
      </c>
      <c r="F1297" s="15">
        <v>46195.398608796299</v>
      </c>
      <c r="G1297" s="4">
        <v>46195</v>
      </c>
      <c r="H1297" s="1">
        <v>46195.702835370401</v>
      </c>
      <c r="I1297" s="22">
        <v>46195</v>
      </c>
      <c r="J1297" s="24">
        <f t="shared" si="280"/>
        <v>46195.571061260707</v>
      </c>
      <c r="K1297" s="24">
        <f t="shared" si="281"/>
        <v>0.7028353704008623</v>
      </c>
      <c r="L1297" s="29">
        <f t="shared" si="287"/>
        <v>46194</v>
      </c>
      <c r="M1297" s="27" t="str">
        <f t="shared" si="282"/>
        <v>TPA Approval Delay</v>
      </c>
      <c r="N1297" s="31">
        <f t="shared" si="283"/>
        <v>0</v>
      </c>
      <c r="O1297" s="27"/>
      <c r="Q1297" s="8">
        <v>0.57332888895449086</v>
      </c>
      <c r="R1297" s="8" t="str">
        <f t="shared" si="284"/>
        <v>Major Delay</v>
      </c>
      <c r="S1297" s="33">
        <v>3.1625786326978544</v>
      </c>
      <c r="T1297" t="s">
        <v>31</v>
      </c>
      <c r="U1297" s="3">
        <v>0</v>
      </c>
      <c r="V1297" s="3" t="str">
        <f t="shared" si="288"/>
        <v>Normal</v>
      </c>
      <c r="W1297" s="3" t="s">
        <v>51</v>
      </c>
      <c r="X1297" s="32">
        <f t="shared" si="285"/>
        <v>0.13177410969365155</v>
      </c>
      <c r="Z1297" s="38">
        <f t="shared" si="289"/>
        <v>6.7741096936515532E-3</v>
      </c>
      <c r="AC1297" s="36">
        <v>0.125</v>
      </c>
      <c r="AL1297" t="str">
        <f t="shared" si="290"/>
        <v>TPA Approval Delay</v>
      </c>
      <c r="AM1297" t="str">
        <f t="shared" si="291"/>
        <v>No</v>
      </c>
      <c r="AN1297" t="str">
        <f t="shared" si="292"/>
        <v>Elective</v>
      </c>
      <c r="AO1297" t="str">
        <f t="shared" si="293"/>
        <v>General Ward</v>
      </c>
    </row>
    <row r="1298" spans="1:41" x14ac:dyDescent="0.3">
      <c r="A1298" s="21" t="str">
        <f t="shared" si="286"/>
        <v>UHID-01297</v>
      </c>
      <c r="B1298" s="18">
        <v>29</v>
      </c>
      <c r="C1298" s="10" t="s">
        <v>18</v>
      </c>
      <c r="D1298" s="13" t="s">
        <v>27</v>
      </c>
      <c r="E1298" s="13" t="s">
        <v>11</v>
      </c>
      <c r="F1298" s="15">
        <v>46195.375826851901</v>
      </c>
      <c r="G1298" s="4">
        <v>46195</v>
      </c>
      <c r="H1298" s="1">
        <v>46195.6111826505</v>
      </c>
      <c r="I1298" s="22">
        <v>46195</v>
      </c>
      <c r="J1298" s="24">
        <f t="shared" si="280"/>
        <v>46195.538796059547</v>
      </c>
      <c r="K1298" s="24">
        <f t="shared" si="281"/>
        <v>0.61118265050026821</v>
      </c>
      <c r="L1298" s="29">
        <f t="shared" si="287"/>
        <v>46194</v>
      </c>
      <c r="M1298" s="27" t="str">
        <f t="shared" si="282"/>
        <v>Normal</v>
      </c>
      <c r="N1298" s="31">
        <f t="shared" si="283"/>
        <v>0</v>
      </c>
      <c r="O1298" s="27"/>
      <c r="Q1298" s="8">
        <v>0.46757905479537576</v>
      </c>
      <c r="R1298" s="8" t="str">
        <f t="shared" si="284"/>
        <v>On Time</v>
      </c>
      <c r="S1298" s="33">
        <v>1.7372781829283763</v>
      </c>
      <c r="T1298" t="s">
        <v>31</v>
      </c>
      <c r="U1298" s="3">
        <v>0</v>
      </c>
      <c r="V1298" s="3" t="str">
        <f t="shared" si="288"/>
        <v>Normal</v>
      </c>
      <c r="W1298" s="3" t="s">
        <v>51</v>
      </c>
      <c r="X1298" s="32">
        <f t="shared" si="285"/>
        <v>7.2386590953101404E-2</v>
      </c>
      <c r="Z1298" s="38">
        <f t="shared" si="289"/>
        <v>0</v>
      </c>
      <c r="AC1298" s="36">
        <v>0.125</v>
      </c>
      <c r="AL1298" t="str">
        <f t="shared" si="290"/>
        <v>Normal</v>
      </c>
      <c r="AM1298" t="str">
        <f t="shared" si="291"/>
        <v>No</v>
      </c>
      <c r="AN1298" t="str">
        <f t="shared" si="292"/>
        <v>Elective</v>
      </c>
      <c r="AO1298" t="str">
        <f t="shared" si="293"/>
        <v>General Ward</v>
      </c>
    </row>
    <row r="1299" spans="1:41" x14ac:dyDescent="0.3">
      <c r="A1299" s="21" t="str">
        <f t="shared" si="286"/>
        <v>UHID-01298</v>
      </c>
      <c r="B1299" s="18">
        <v>40</v>
      </c>
      <c r="C1299" s="10" t="s">
        <v>18</v>
      </c>
      <c r="D1299" s="13" t="s">
        <v>27</v>
      </c>
      <c r="E1299" s="13" t="s">
        <v>11</v>
      </c>
      <c r="F1299" s="15">
        <v>46194.839778831003</v>
      </c>
      <c r="G1299" s="4">
        <v>46194</v>
      </c>
      <c r="H1299" s="1">
        <v>46196.521007708303</v>
      </c>
      <c r="I1299" s="22">
        <v>46196</v>
      </c>
      <c r="J1299" s="24">
        <f t="shared" si="280"/>
        <v>46196.465863966529</v>
      </c>
      <c r="K1299" s="24">
        <f t="shared" si="281"/>
        <v>0.52100770830293186</v>
      </c>
      <c r="L1299" s="29">
        <f t="shared" si="287"/>
        <v>46195</v>
      </c>
      <c r="M1299" s="27" t="str">
        <f t="shared" si="282"/>
        <v>Normal</v>
      </c>
      <c r="N1299" s="31">
        <f t="shared" si="283"/>
        <v>2</v>
      </c>
      <c r="O1299" s="27"/>
      <c r="Q1299" s="8">
        <v>0.25253557066698551</v>
      </c>
      <c r="R1299" s="8" t="str">
        <f t="shared" si="284"/>
        <v>On Time</v>
      </c>
      <c r="S1299" s="33">
        <v>1.3234498026032693</v>
      </c>
      <c r="T1299" t="s">
        <v>30</v>
      </c>
      <c r="U1299" s="3">
        <v>0</v>
      </c>
      <c r="V1299" s="3" t="str">
        <f t="shared" si="288"/>
        <v/>
      </c>
      <c r="W1299" s="3" t="s">
        <v>51</v>
      </c>
      <c r="X1299" s="32">
        <f t="shared" si="285"/>
        <v>5.5143741774372756E-2</v>
      </c>
      <c r="Z1299" s="38">
        <f t="shared" si="289"/>
        <v>0</v>
      </c>
      <c r="AC1299" s="36">
        <v>0.125</v>
      </c>
      <c r="AL1299" t="str">
        <f t="shared" si="290"/>
        <v>Normal</v>
      </c>
      <c r="AM1299" t="str">
        <f t="shared" si="291"/>
        <v>No</v>
      </c>
      <c r="AN1299" t="str">
        <f t="shared" si="292"/>
        <v>Elective</v>
      </c>
      <c r="AO1299" t="str">
        <f t="shared" si="293"/>
        <v>General Ward</v>
      </c>
    </row>
    <row r="1300" spans="1:41" x14ac:dyDescent="0.3">
      <c r="A1300" s="21" t="str">
        <f t="shared" si="286"/>
        <v>UHID-01299</v>
      </c>
      <c r="B1300" s="18">
        <v>42</v>
      </c>
      <c r="C1300" s="10" t="s">
        <v>18</v>
      </c>
      <c r="D1300" s="13" t="s">
        <v>27</v>
      </c>
      <c r="E1300" s="13" t="s">
        <v>11</v>
      </c>
      <c r="F1300" s="15">
        <v>46192.746207013901</v>
      </c>
      <c r="G1300" s="4">
        <v>46192</v>
      </c>
      <c r="H1300" s="1">
        <v>46196.633453101902</v>
      </c>
      <c r="I1300" s="22">
        <v>46196</v>
      </c>
      <c r="J1300" s="24">
        <f t="shared" si="280"/>
        <v>46196.439742306145</v>
      </c>
      <c r="K1300" s="24">
        <f t="shared" si="281"/>
        <v>0.63345310190197779</v>
      </c>
      <c r="L1300" s="29">
        <f t="shared" si="287"/>
        <v>46195</v>
      </c>
      <c r="M1300" s="27" t="str">
        <f t="shared" si="282"/>
        <v>Medication Change</v>
      </c>
      <c r="N1300" s="31">
        <f t="shared" si="283"/>
        <v>4</v>
      </c>
      <c r="O1300" s="27"/>
      <c r="Q1300" s="8">
        <v>0.34836762992151049</v>
      </c>
      <c r="R1300" s="8" t="str">
        <f t="shared" si="284"/>
        <v>Major Delay</v>
      </c>
      <c r="S1300" s="33">
        <v>1.6490590982277564</v>
      </c>
      <c r="T1300" t="s">
        <v>30</v>
      </c>
      <c r="U1300" s="3">
        <v>3</v>
      </c>
      <c r="V1300" s="3" t="str">
        <f t="shared" si="288"/>
        <v/>
      </c>
      <c r="W1300" s="3" t="s">
        <v>50</v>
      </c>
      <c r="X1300" s="32">
        <f t="shared" si="285"/>
        <v>0.19371079575648764</v>
      </c>
      <c r="Z1300" s="38">
        <f t="shared" si="289"/>
        <v>6.8710795756487641E-2</v>
      </c>
      <c r="AC1300" s="36">
        <v>0.125</v>
      </c>
      <c r="AL1300" t="str">
        <f t="shared" si="290"/>
        <v>Medication Change</v>
      </c>
      <c r="AM1300" t="str">
        <f t="shared" si="291"/>
        <v>No</v>
      </c>
      <c r="AN1300" t="str">
        <f t="shared" si="292"/>
        <v>Elective</v>
      </c>
      <c r="AO1300" t="str">
        <f t="shared" si="293"/>
        <v>HDU</v>
      </c>
    </row>
    <row r="1301" spans="1:41" x14ac:dyDescent="0.3">
      <c r="A1301" s="21" t="str">
        <f t="shared" si="286"/>
        <v>UHID-01300</v>
      </c>
      <c r="B1301" s="18">
        <v>68</v>
      </c>
      <c r="C1301" s="10" t="s">
        <v>17</v>
      </c>
      <c r="D1301" s="13" t="s">
        <v>26</v>
      </c>
      <c r="E1301" s="13" t="s">
        <v>11</v>
      </c>
      <c r="F1301" s="15">
        <v>46196.331300578699</v>
      </c>
      <c r="G1301" s="4">
        <v>46196</v>
      </c>
      <c r="H1301" s="1">
        <v>46196.501432060199</v>
      </c>
      <c r="I1301" s="22">
        <v>46196</v>
      </c>
      <c r="J1301" s="24">
        <f t="shared" si="280"/>
        <v>46196.23860662998</v>
      </c>
      <c r="K1301" s="24">
        <f t="shared" si="281"/>
        <v>0.50143206019856734</v>
      </c>
      <c r="L1301" s="29">
        <f t="shared" si="287"/>
        <v>46195</v>
      </c>
      <c r="M1301" s="27" t="str">
        <f t="shared" si="282"/>
        <v>Health Deterioration/TPA Approval Delay</v>
      </c>
      <c r="N1301" s="31">
        <f t="shared" si="283"/>
        <v>0</v>
      </c>
      <c r="O1301" s="27"/>
      <c r="Q1301" s="8">
        <v>0.60862674184407339</v>
      </c>
      <c r="R1301" s="8" t="str">
        <f t="shared" si="284"/>
        <v>Critical Delay</v>
      </c>
      <c r="S1301" s="33">
        <v>3.3078103252028117</v>
      </c>
      <c r="T1301" t="s">
        <v>31</v>
      </c>
      <c r="U1301" s="3">
        <v>3</v>
      </c>
      <c r="V1301" s="3" t="str">
        <f t="shared" si="288"/>
        <v>Normal</v>
      </c>
      <c r="W1301" s="3" t="s">
        <v>50</v>
      </c>
      <c r="X1301" s="32">
        <f t="shared" si="285"/>
        <v>0.26282543021807214</v>
      </c>
      <c r="Z1301" s="38">
        <f t="shared" si="289"/>
        <v>0.13782543021807214</v>
      </c>
      <c r="AC1301" s="36">
        <v>0.125</v>
      </c>
      <c r="AL1301" t="str">
        <f t="shared" si="290"/>
        <v>Health Deterioration/TPA Approval Delay</v>
      </c>
      <c r="AM1301" t="str">
        <f t="shared" si="291"/>
        <v>Yes</v>
      </c>
      <c r="AN1301" t="str">
        <f t="shared" si="292"/>
        <v>Emergency</v>
      </c>
      <c r="AO1301" t="str">
        <f t="shared" si="293"/>
        <v>General Ward</v>
      </c>
    </row>
    <row r="1302" spans="1:41" x14ac:dyDescent="0.3">
      <c r="A1302" s="21" t="str">
        <f t="shared" si="286"/>
        <v>UHID-01301</v>
      </c>
      <c r="B1302" s="18">
        <v>57</v>
      </c>
      <c r="C1302" s="10" t="s">
        <v>17</v>
      </c>
      <c r="D1302" s="13" t="s">
        <v>28</v>
      </c>
      <c r="E1302" s="13" t="s">
        <v>11</v>
      </c>
      <c r="F1302" s="15">
        <v>46196.430437407398</v>
      </c>
      <c r="G1302" s="4">
        <v>46196</v>
      </c>
      <c r="H1302" s="1">
        <v>46196.643852673602</v>
      </c>
      <c r="I1302" s="22">
        <v>46196</v>
      </c>
      <c r="J1302" s="24">
        <f t="shared" si="280"/>
        <v>46196.553923591717</v>
      </c>
      <c r="K1302" s="24">
        <f t="shared" si="281"/>
        <v>0.64385267360194121</v>
      </c>
      <c r="L1302" s="29">
        <f t="shared" si="287"/>
        <v>46195</v>
      </c>
      <c r="M1302" s="27" t="str">
        <f t="shared" si="282"/>
        <v>Doctor Round Delay/Report Delay</v>
      </c>
      <c r="N1302" s="31">
        <f t="shared" si="283"/>
        <v>0</v>
      </c>
      <c r="O1302" s="27"/>
      <c r="Q1302" s="8">
        <v>0.98561025317759254</v>
      </c>
      <c r="R1302" s="8" t="str">
        <f t="shared" si="284"/>
        <v>Minor Delay</v>
      </c>
      <c r="S1302" s="33">
        <v>2.1582979652448042</v>
      </c>
      <c r="T1302" t="s">
        <v>31</v>
      </c>
      <c r="U1302" s="3">
        <v>0</v>
      </c>
      <c r="V1302" s="3" t="str">
        <f t="shared" si="288"/>
        <v>Normal</v>
      </c>
      <c r="W1302" s="3" t="s">
        <v>51</v>
      </c>
      <c r="X1302" s="32">
        <f t="shared" si="285"/>
        <v>8.9929081885202322E-2</v>
      </c>
      <c r="Z1302" s="38">
        <f t="shared" si="289"/>
        <v>0</v>
      </c>
      <c r="AC1302" s="36">
        <v>0.125</v>
      </c>
      <c r="AL1302" t="str">
        <f t="shared" si="290"/>
        <v>Doctor Round Delay/Report Delay</v>
      </c>
      <c r="AM1302" t="str">
        <f t="shared" si="291"/>
        <v>No</v>
      </c>
      <c r="AN1302" t="str">
        <f t="shared" si="292"/>
        <v>Emergency</v>
      </c>
      <c r="AO1302" t="str">
        <f t="shared" si="293"/>
        <v>General Ward</v>
      </c>
    </row>
    <row r="1303" spans="1:41" x14ac:dyDescent="0.3">
      <c r="A1303" s="21" t="str">
        <f t="shared" si="286"/>
        <v>UHID-01302</v>
      </c>
      <c r="B1303" s="18">
        <v>78</v>
      </c>
      <c r="C1303" s="10" t="s">
        <v>18</v>
      </c>
      <c r="D1303" s="13" t="s">
        <v>26</v>
      </c>
      <c r="E1303" s="13" t="s">
        <v>11</v>
      </c>
      <c r="F1303" s="15">
        <v>46194.851310208302</v>
      </c>
      <c r="G1303" s="4">
        <v>46194</v>
      </c>
      <c r="H1303" s="1">
        <v>46196.645878136602</v>
      </c>
      <c r="I1303" s="22">
        <v>46196</v>
      </c>
      <c r="J1303" s="24">
        <f t="shared" si="280"/>
        <v>46196.503250820599</v>
      </c>
      <c r="K1303" s="24">
        <f t="shared" si="281"/>
        <v>0.64587813660182292</v>
      </c>
      <c r="L1303" s="29">
        <f t="shared" si="287"/>
        <v>46195</v>
      </c>
      <c r="M1303" s="27" t="str">
        <f t="shared" si="282"/>
        <v>TPA Approval Delay</v>
      </c>
      <c r="N1303" s="31">
        <f t="shared" si="283"/>
        <v>2</v>
      </c>
      <c r="O1303" s="27"/>
      <c r="Q1303" s="8">
        <v>0.52054787951489478</v>
      </c>
      <c r="R1303" s="8" t="str">
        <f t="shared" si="284"/>
        <v>Major Delay</v>
      </c>
      <c r="S1303" s="33">
        <v>3.4230555839949992</v>
      </c>
      <c r="T1303" t="s">
        <v>31</v>
      </c>
      <c r="U1303" s="3">
        <v>0</v>
      </c>
      <c r="V1303" s="3" t="str">
        <f t="shared" si="288"/>
        <v>Normal</v>
      </c>
      <c r="W1303" s="3" t="s">
        <v>51</v>
      </c>
      <c r="X1303" s="32">
        <f t="shared" si="285"/>
        <v>0.14262731600319967</v>
      </c>
      <c r="Z1303" s="38">
        <f t="shared" si="289"/>
        <v>1.7627316003199667E-2</v>
      </c>
      <c r="AC1303" s="36">
        <v>0.125</v>
      </c>
      <c r="AL1303" t="str">
        <f t="shared" si="290"/>
        <v>TPA Approval Delay</v>
      </c>
      <c r="AM1303" t="str">
        <f t="shared" si="291"/>
        <v>No</v>
      </c>
      <c r="AN1303" t="str">
        <f t="shared" si="292"/>
        <v>Elective</v>
      </c>
      <c r="AO1303" t="str">
        <f t="shared" si="293"/>
        <v>General Ward</v>
      </c>
    </row>
    <row r="1304" spans="1:41" x14ac:dyDescent="0.3">
      <c r="A1304" s="21" t="str">
        <f t="shared" si="286"/>
        <v>UHID-01303</v>
      </c>
      <c r="B1304" s="18">
        <v>20</v>
      </c>
      <c r="C1304" s="10" t="s">
        <v>17</v>
      </c>
      <c r="D1304" s="13" t="s">
        <v>28</v>
      </c>
      <c r="E1304" s="13" t="s">
        <v>11</v>
      </c>
      <c r="F1304" s="15">
        <v>46195.921954745398</v>
      </c>
      <c r="G1304" s="4">
        <v>46195</v>
      </c>
      <c r="H1304" s="1">
        <v>46197.564088101899</v>
      </c>
      <c r="I1304" s="22">
        <v>46197</v>
      </c>
      <c r="J1304" s="24">
        <f t="shared" si="280"/>
        <v>46197.469594422808</v>
      </c>
      <c r="K1304" s="24">
        <f t="shared" si="281"/>
        <v>0.5640881018989603</v>
      </c>
      <c r="L1304" s="29">
        <f t="shared" si="287"/>
        <v>46196</v>
      </c>
      <c r="M1304" s="27" t="str">
        <f t="shared" si="282"/>
        <v>Doctor Round Delay/Report Delay</v>
      </c>
      <c r="N1304" s="31">
        <f t="shared" si="283"/>
        <v>2</v>
      </c>
      <c r="O1304" s="27"/>
      <c r="Q1304" s="8">
        <v>0.97027623587489753</v>
      </c>
      <c r="R1304" s="8" t="str">
        <f t="shared" si="284"/>
        <v>Minor Delay</v>
      </c>
      <c r="S1304" s="33">
        <v>2.267848298171665</v>
      </c>
      <c r="T1304" t="s">
        <v>31</v>
      </c>
      <c r="U1304" s="3">
        <v>0</v>
      </c>
      <c r="V1304" s="3" t="str">
        <f t="shared" si="288"/>
        <v>Normal</v>
      </c>
      <c r="W1304" s="3" t="s">
        <v>51</v>
      </c>
      <c r="X1304" s="32">
        <f t="shared" si="285"/>
        <v>9.4493679091101512E-2</v>
      </c>
      <c r="Z1304" s="38">
        <f t="shared" si="289"/>
        <v>0</v>
      </c>
      <c r="AC1304" s="36">
        <v>0.125</v>
      </c>
      <c r="AL1304" t="str">
        <f t="shared" si="290"/>
        <v>Doctor Round Delay/Report Delay</v>
      </c>
      <c r="AM1304" t="str">
        <f t="shared" si="291"/>
        <v>No</v>
      </c>
      <c r="AN1304" t="str">
        <f t="shared" si="292"/>
        <v>Emergency</v>
      </c>
      <c r="AO1304" t="str">
        <f t="shared" si="293"/>
        <v>General Ward</v>
      </c>
    </row>
    <row r="1305" spans="1:41" x14ac:dyDescent="0.3">
      <c r="A1305" s="21" t="str">
        <f t="shared" si="286"/>
        <v>UHID-01304</v>
      </c>
      <c r="B1305" s="18">
        <v>65</v>
      </c>
      <c r="C1305" s="10" t="s">
        <v>17</v>
      </c>
      <c r="D1305" s="13" t="s">
        <v>28</v>
      </c>
      <c r="E1305" s="13" t="s">
        <v>11</v>
      </c>
      <c r="F1305" s="15">
        <v>46197.377357338002</v>
      </c>
      <c r="G1305" s="4">
        <v>46197</v>
      </c>
      <c r="H1305" s="1">
        <v>46197.649013333299</v>
      </c>
      <c r="I1305" s="22">
        <v>46197</v>
      </c>
      <c r="J1305" s="24">
        <f t="shared" si="280"/>
        <v>46197.416362155818</v>
      </c>
      <c r="K1305" s="24">
        <f t="shared" si="281"/>
        <v>0.64901333329908084</v>
      </c>
      <c r="L1305" s="29">
        <f t="shared" si="287"/>
        <v>46196</v>
      </c>
      <c r="M1305" s="27" t="str">
        <f t="shared" si="282"/>
        <v>Health Deterioration</v>
      </c>
      <c r="N1305" s="31">
        <f t="shared" si="283"/>
        <v>0</v>
      </c>
      <c r="O1305" s="27"/>
      <c r="Q1305" s="8">
        <v>0.93505992759810408</v>
      </c>
      <c r="R1305" s="8" t="str">
        <f t="shared" si="284"/>
        <v>Critical Delay</v>
      </c>
      <c r="S1305" s="33">
        <v>2.5836282595182629</v>
      </c>
      <c r="T1305" t="s">
        <v>31</v>
      </c>
      <c r="U1305" s="3">
        <v>3</v>
      </c>
      <c r="V1305" s="3" t="str">
        <f t="shared" si="288"/>
        <v>Normal</v>
      </c>
      <c r="W1305" s="3" t="s">
        <v>50</v>
      </c>
      <c r="X1305" s="32">
        <f t="shared" si="285"/>
        <v>0.23265117748087505</v>
      </c>
      <c r="Z1305" s="38">
        <f t="shared" si="289"/>
        <v>0.10765117748087505</v>
      </c>
      <c r="AC1305" s="36">
        <v>0.125</v>
      </c>
      <c r="AL1305" t="str">
        <f t="shared" si="290"/>
        <v>Health Deterioration</v>
      </c>
      <c r="AM1305" t="str">
        <f t="shared" si="291"/>
        <v>No</v>
      </c>
      <c r="AN1305" t="str">
        <f t="shared" si="292"/>
        <v>Emergency</v>
      </c>
      <c r="AO1305" t="str">
        <f t="shared" si="293"/>
        <v>General Ward</v>
      </c>
    </row>
    <row r="1306" spans="1:41" x14ac:dyDescent="0.3">
      <c r="A1306" s="21" t="str">
        <f t="shared" si="286"/>
        <v>UHID-01305</v>
      </c>
      <c r="B1306" s="18">
        <v>70</v>
      </c>
      <c r="C1306" s="10" t="s">
        <v>18</v>
      </c>
      <c r="D1306" s="13" t="s">
        <v>26</v>
      </c>
      <c r="E1306" s="13" t="s">
        <v>11</v>
      </c>
      <c r="F1306" s="15">
        <v>46193.708422002303</v>
      </c>
      <c r="G1306" s="4">
        <v>46193</v>
      </c>
      <c r="H1306" s="1">
        <v>46197.496615196796</v>
      </c>
      <c r="I1306" s="22">
        <v>46197</v>
      </c>
      <c r="J1306" s="24">
        <f t="shared" si="280"/>
        <v>46197.168910795786</v>
      </c>
      <c r="K1306" s="24">
        <f t="shared" si="281"/>
        <v>0.49661519679648336</v>
      </c>
      <c r="L1306" s="29">
        <f t="shared" si="287"/>
        <v>46196</v>
      </c>
      <c r="M1306" s="27" t="str">
        <f t="shared" si="282"/>
        <v>Health Deterioration/TPA Approval Delay</v>
      </c>
      <c r="N1306" s="31">
        <f t="shared" si="283"/>
        <v>4</v>
      </c>
      <c r="O1306" s="27"/>
      <c r="Q1306" s="8">
        <v>0.51690723098498559</v>
      </c>
      <c r="R1306" s="8" t="str">
        <f t="shared" si="284"/>
        <v>Critical Delay</v>
      </c>
      <c r="S1306" s="33">
        <v>3.8649056242334514</v>
      </c>
      <c r="T1306" t="s">
        <v>31</v>
      </c>
      <c r="U1306" s="3">
        <v>4</v>
      </c>
      <c r="V1306" s="3" t="str">
        <f t="shared" si="288"/>
        <v>Normal</v>
      </c>
      <c r="W1306" s="3" t="s">
        <v>50</v>
      </c>
      <c r="X1306" s="32">
        <f t="shared" si="285"/>
        <v>0.32770440101012355</v>
      </c>
      <c r="Z1306" s="38">
        <f t="shared" si="289"/>
        <v>0.20270440101012355</v>
      </c>
      <c r="AC1306" s="36">
        <v>0.125</v>
      </c>
      <c r="AL1306" t="str">
        <f t="shared" si="290"/>
        <v>Health Deterioration/TPA Approval Delay</v>
      </c>
      <c r="AM1306" t="str">
        <f t="shared" si="291"/>
        <v>Yes</v>
      </c>
      <c r="AN1306" t="str">
        <f t="shared" si="292"/>
        <v>Emergency</v>
      </c>
      <c r="AO1306" t="str">
        <f t="shared" si="293"/>
        <v>HDU</v>
      </c>
    </row>
    <row r="1307" spans="1:41" x14ac:dyDescent="0.3">
      <c r="A1307" s="21" t="str">
        <f t="shared" si="286"/>
        <v>UHID-01306</v>
      </c>
      <c r="B1307" s="18">
        <v>60</v>
      </c>
      <c r="C1307" s="10" t="s">
        <v>18</v>
      </c>
      <c r="D1307" s="13" t="s">
        <v>28</v>
      </c>
      <c r="E1307" s="13" t="s">
        <v>11</v>
      </c>
      <c r="F1307" s="15">
        <v>46197.369822731504</v>
      </c>
      <c r="G1307" s="4">
        <v>46197</v>
      </c>
      <c r="H1307" s="1">
        <v>46197.738264166699</v>
      </c>
      <c r="I1307" s="22">
        <v>46197</v>
      </c>
      <c r="J1307" s="24">
        <f t="shared" si="280"/>
        <v>46197.652698103782</v>
      </c>
      <c r="K1307" s="24">
        <f t="shared" si="281"/>
        <v>0.73826416669908212</v>
      </c>
      <c r="L1307" s="29">
        <f t="shared" si="287"/>
        <v>46196</v>
      </c>
      <c r="M1307" s="27" t="str">
        <f t="shared" si="282"/>
        <v>Doctor Round Delay/Report Delay</v>
      </c>
      <c r="N1307" s="31">
        <f t="shared" si="283"/>
        <v>0</v>
      </c>
      <c r="O1307" s="27"/>
      <c r="Q1307" s="8">
        <v>0.85645730817757459</v>
      </c>
      <c r="R1307" s="8" t="str">
        <f t="shared" si="284"/>
        <v>Minor Delay</v>
      </c>
      <c r="S1307" s="33">
        <v>2.0535855099580189</v>
      </c>
      <c r="T1307" t="s">
        <v>31</v>
      </c>
      <c r="U1307" s="3">
        <v>0</v>
      </c>
      <c r="V1307" s="3" t="str">
        <f t="shared" si="288"/>
        <v>Normal</v>
      </c>
      <c r="W1307" s="3" t="s">
        <v>51</v>
      </c>
      <c r="X1307" s="32">
        <f t="shared" si="285"/>
        <v>8.5566062916768715E-2</v>
      </c>
      <c r="Z1307" s="38">
        <f t="shared" si="289"/>
        <v>0</v>
      </c>
      <c r="AC1307" s="36">
        <v>0.125</v>
      </c>
      <c r="AL1307" t="str">
        <f t="shared" si="290"/>
        <v>Doctor Round Delay/Report Delay</v>
      </c>
      <c r="AM1307" t="str">
        <f t="shared" si="291"/>
        <v>No</v>
      </c>
      <c r="AN1307" t="str">
        <f t="shared" si="292"/>
        <v>Elective</v>
      </c>
      <c r="AO1307" t="str">
        <f t="shared" si="293"/>
        <v>General Ward</v>
      </c>
    </row>
    <row r="1308" spans="1:41" x14ac:dyDescent="0.3">
      <c r="A1308" s="21" t="str">
        <f t="shared" si="286"/>
        <v>UHID-01307</v>
      </c>
      <c r="B1308" s="18">
        <v>24</v>
      </c>
      <c r="C1308" s="10" t="s">
        <v>18</v>
      </c>
      <c r="D1308" s="13" t="s">
        <v>28</v>
      </c>
      <c r="E1308" s="13" t="s">
        <v>11</v>
      </c>
      <c r="F1308" s="15">
        <v>46197.619957419003</v>
      </c>
      <c r="G1308" s="4">
        <v>46197</v>
      </c>
      <c r="H1308" s="1">
        <v>46197.8361971181</v>
      </c>
      <c r="I1308" s="22">
        <v>46197</v>
      </c>
      <c r="J1308" s="24">
        <f t="shared" si="280"/>
        <v>46197.629027902782</v>
      </c>
      <c r="K1308" s="24">
        <f t="shared" si="281"/>
        <v>0.83619711810024455</v>
      </c>
      <c r="L1308" s="29">
        <f t="shared" si="287"/>
        <v>46196</v>
      </c>
      <c r="M1308" s="27" t="str">
        <f t="shared" si="282"/>
        <v>Medication Change</v>
      </c>
      <c r="N1308" s="31">
        <f t="shared" si="283"/>
        <v>0</v>
      </c>
      <c r="O1308" s="27"/>
      <c r="Q1308" s="8">
        <v>0.87587098623478299</v>
      </c>
      <c r="R1308" s="8" t="str">
        <f t="shared" si="284"/>
        <v>Major Delay</v>
      </c>
      <c r="S1308" s="33">
        <v>2.9720611676754904</v>
      </c>
      <c r="T1308" t="s">
        <v>31</v>
      </c>
      <c r="U1308" s="3">
        <v>2</v>
      </c>
      <c r="V1308" s="3" t="str">
        <f t="shared" si="288"/>
        <v>Normal</v>
      </c>
      <c r="W1308" s="3" t="s">
        <v>50</v>
      </c>
      <c r="X1308" s="32">
        <f t="shared" si="285"/>
        <v>0.20716921531857224</v>
      </c>
      <c r="Z1308" s="38">
        <f t="shared" si="289"/>
        <v>8.2169215318572242E-2</v>
      </c>
      <c r="AC1308" s="36">
        <v>0.125</v>
      </c>
      <c r="AL1308" t="str">
        <f t="shared" si="290"/>
        <v>Medication Change</v>
      </c>
      <c r="AM1308" t="str">
        <f t="shared" si="291"/>
        <v>No</v>
      </c>
      <c r="AN1308" t="str">
        <f t="shared" si="292"/>
        <v>Elective</v>
      </c>
      <c r="AO1308" t="str">
        <f t="shared" si="293"/>
        <v>General Ward</v>
      </c>
    </row>
    <row r="1309" spans="1:41" x14ac:dyDescent="0.3">
      <c r="A1309" s="21" t="str">
        <f t="shared" si="286"/>
        <v>UHID-01308</v>
      </c>
      <c r="B1309" s="18">
        <v>61</v>
      </c>
      <c r="C1309" s="10" t="s">
        <v>18</v>
      </c>
      <c r="D1309" s="13" t="s">
        <v>28</v>
      </c>
      <c r="E1309" s="13" t="s">
        <v>11</v>
      </c>
      <c r="F1309" s="15">
        <v>46196.890388773201</v>
      </c>
      <c r="G1309" s="4">
        <v>46196</v>
      </c>
      <c r="H1309" s="1">
        <v>46198.534912175899</v>
      </c>
      <c r="I1309" s="22">
        <v>46198</v>
      </c>
      <c r="J1309" s="24">
        <f t="shared" si="280"/>
        <v>46198.436072212884</v>
      </c>
      <c r="K1309" s="24">
        <f t="shared" si="281"/>
        <v>0.53491217589908047</v>
      </c>
      <c r="L1309" s="29">
        <f t="shared" si="287"/>
        <v>46197</v>
      </c>
      <c r="M1309" s="27" t="str">
        <f t="shared" si="282"/>
        <v>Doctor Round Delay/Report Delay</v>
      </c>
      <c r="N1309" s="31">
        <f t="shared" si="283"/>
        <v>2</v>
      </c>
      <c r="O1309" s="27"/>
      <c r="Q1309" s="8">
        <v>0.95811152053516524</v>
      </c>
      <c r="R1309" s="8" t="str">
        <f t="shared" si="284"/>
        <v>Minor Delay</v>
      </c>
      <c r="S1309" s="33">
        <v>2.3721591123663126</v>
      </c>
      <c r="T1309" t="s">
        <v>31</v>
      </c>
      <c r="U1309" s="3">
        <v>0</v>
      </c>
      <c r="V1309" s="3" t="str">
        <f t="shared" si="288"/>
        <v>Normal</v>
      </c>
      <c r="W1309" s="3" t="s">
        <v>51</v>
      </c>
      <c r="X1309" s="32">
        <f t="shared" si="285"/>
        <v>9.883996301505249E-2</v>
      </c>
      <c r="Z1309" s="38">
        <f t="shared" si="289"/>
        <v>0</v>
      </c>
      <c r="AC1309" s="36">
        <v>0.125</v>
      </c>
      <c r="AL1309" t="str">
        <f t="shared" si="290"/>
        <v>Doctor Round Delay/Report Delay</v>
      </c>
      <c r="AM1309" t="str">
        <f t="shared" si="291"/>
        <v>No</v>
      </c>
      <c r="AN1309" t="str">
        <f t="shared" si="292"/>
        <v>Elective</v>
      </c>
      <c r="AO1309" t="str">
        <f t="shared" si="293"/>
        <v>General Ward</v>
      </c>
    </row>
    <row r="1310" spans="1:41" x14ac:dyDescent="0.3">
      <c r="A1310" s="21" t="str">
        <f t="shared" si="286"/>
        <v>UHID-01309</v>
      </c>
      <c r="B1310" s="18">
        <v>61</v>
      </c>
      <c r="C1310" s="10" t="s">
        <v>17</v>
      </c>
      <c r="D1310" s="13" t="s">
        <v>27</v>
      </c>
      <c r="E1310" s="13" t="s">
        <v>11</v>
      </c>
      <c r="F1310" s="15">
        <v>46196.725419212999</v>
      </c>
      <c r="G1310" s="4">
        <v>46196</v>
      </c>
      <c r="H1310" s="1">
        <v>46198.619587152803</v>
      </c>
      <c r="I1310" s="22">
        <v>46198</v>
      </c>
      <c r="J1310" s="24">
        <f t="shared" si="280"/>
        <v>46198.565531226392</v>
      </c>
      <c r="K1310" s="24">
        <f t="shared" si="281"/>
        <v>0.61958715280343313</v>
      </c>
      <c r="L1310" s="29">
        <f t="shared" si="287"/>
        <v>46197</v>
      </c>
      <c r="M1310" s="27" t="str">
        <f t="shared" si="282"/>
        <v>Normal</v>
      </c>
      <c r="N1310" s="31">
        <f t="shared" si="283"/>
        <v>2</v>
      </c>
      <c r="O1310" s="27"/>
      <c r="Q1310" s="8">
        <v>0.42202360553589624</v>
      </c>
      <c r="R1310" s="8" t="str">
        <f t="shared" si="284"/>
        <v>On Time</v>
      </c>
      <c r="S1310" s="33">
        <v>1.2973422339056118</v>
      </c>
      <c r="T1310" t="s">
        <v>31</v>
      </c>
      <c r="U1310" s="3">
        <v>0</v>
      </c>
      <c r="V1310" s="3" t="str">
        <f t="shared" si="288"/>
        <v>Normal</v>
      </c>
      <c r="W1310" s="3" t="s">
        <v>51</v>
      </c>
      <c r="X1310" s="32">
        <f t="shared" si="285"/>
        <v>5.405592641182011E-2</v>
      </c>
      <c r="Z1310" s="38">
        <f t="shared" si="289"/>
        <v>0</v>
      </c>
      <c r="AC1310" s="36">
        <v>0.125</v>
      </c>
      <c r="AL1310" t="str">
        <f t="shared" si="290"/>
        <v>Normal</v>
      </c>
      <c r="AM1310" t="str">
        <f t="shared" si="291"/>
        <v>No</v>
      </c>
      <c r="AN1310" t="str">
        <f t="shared" si="292"/>
        <v>Elective</v>
      </c>
      <c r="AO1310" t="str">
        <f t="shared" si="293"/>
        <v>General Ward</v>
      </c>
    </row>
    <row r="1311" spans="1:41" x14ac:dyDescent="0.3">
      <c r="A1311" s="21" t="str">
        <f t="shared" si="286"/>
        <v>UHID-01310</v>
      </c>
      <c r="B1311" s="18">
        <v>50</v>
      </c>
      <c r="C1311" s="10" t="s">
        <v>18</v>
      </c>
      <c r="D1311" s="13" t="s">
        <v>27</v>
      </c>
      <c r="E1311" s="13" t="s">
        <v>11</v>
      </c>
      <c r="F1311" s="15">
        <v>46196.813080786997</v>
      </c>
      <c r="G1311" s="4">
        <v>46196</v>
      </c>
      <c r="H1311" s="1">
        <v>46198.635546770798</v>
      </c>
      <c r="I1311" s="22">
        <v>46198</v>
      </c>
      <c r="J1311" s="24">
        <f t="shared" si="280"/>
        <v>46198.591350955838</v>
      </c>
      <c r="K1311" s="24">
        <f t="shared" si="281"/>
        <v>0.63554677079810062</v>
      </c>
      <c r="L1311" s="29">
        <f t="shared" si="287"/>
        <v>46197</v>
      </c>
      <c r="M1311" s="27" t="str">
        <f t="shared" si="282"/>
        <v>Normal</v>
      </c>
      <c r="N1311" s="31">
        <f t="shared" si="283"/>
        <v>2</v>
      </c>
      <c r="O1311" s="27"/>
      <c r="Q1311" s="8">
        <v>0.28337215314650932</v>
      </c>
      <c r="R1311" s="8" t="str">
        <f t="shared" si="284"/>
        <v>On Time</v>
      </c>
      <c r="S1311" s="33">
        <v>1.0606995590495871</v>
      </c>
      <c r="T1311" t="s">
        <v>30</v>
      </c>
      <c r="U1311" s="3">
        <v>0</v>
      </c>
      <c r="V1311" s="3" t="str">
        <f t="shared" si="288"/>
        <v/>
      </c>
      <c r="W1311" s="3" t="s">
        <v>51</v>
      </c>
      <c r="X1311" s="32">
        <f t="shared" si="285"/>
        <v>4.4195814960403368E-2</v>
      </c>
      <c r="Z1311" s="38">
        <f t="shared" si="289"/>
        <v>0</v>
      </c>
      <c r="AC1311" s="36">
        <v>0.125</v>
      </c>
      <c r="AL1311" t="str">
        <f t="shared" si="290"/>
        <v>Normal</v>
      </c>
      <c r="AM1311" t="str">
        <f t="shared" si="291"/>
        <v>No</v>
      </c>
      <c r="AN1311" t="str">
        <f t="shared" si="292"/>
        <v>Elective</v>
      </c>
      <c r="AO1311" t="str">
        <f t="shared" si="293"/>
        <v>General Ward</v>
      </c>
    </row>
    <row r="1312" spans="1:41" x14ac:dyDescent="0.3">
      <c r="A1312" s="21" t="str">
        <f t="shared" si="286"/>
        <v>UHID-01311</v>
      </c>
      <c r="B1312" s="18">
        <v>28</v>
      </c>
      <c r="C1312" s="10" t="s">
        <v>17</v>
      </c>
      <c r="D1312" s="13" t="s">
        <v>27</v>
      </c>
      <c r="E1312" s="13" t="s">
        <v>11</v>
      </c>
      <c r="F1312" s="15">
        <v>46195.896492106498</v>
      </c>
      <c r="G1312" s="4">
        <v>46195</v>
      </c>
      <c r="H1312" s="1">
        <v>46197.6153401505</v>
      </c>
      <c r="I1312" s="22">
        <v>46197</v>
      </c>
      <c r="J1312" s="24">
        <f t="shared" si="280"/>
        <v>46197.562620290038</v>
      </c>
      <c r="K1312" s="24">
        <f t="shared" si="281"/>
        <v>0.61534015049983282</v>
      </c>
      <c r="L1312" s="29">
        <f t="shared" si="287"/>
        <v>46196</v>
      </c>
      <c r="M1312" s="27" t="str">
        <f t="shared" si="282"/>
        <v>Normal</v>
      </c>
      <c r="N1312" s="31">
        <f t="shared" si="283"/>
        <v>2</v>
      </c>
      <c r="O1312" s="27"/>
      <c r="Q1312" s="8">
        <v>0.42043799111256797</v>
      </c>
      <c r="R1312" s="8" t="str">
        <f t="shared" si="284"/>
        <v>On Time</v>
      </c>
      <c r="S1312" s="33">
        <v>1.2652766510433739</v>
      </c>
      <c r="T1312" t="s">
        <v>31</v>
      </c>
      <c r="U1312" s="3">
        <v>0</v>
      </c>
      <c r="V1312" s="3" t="str">
        <f t="shared" si="288"/>
        <v>Normal</v>
      </c>
      <c r="W1312" s="3" t="s">
        <v>51</v>
      </c>
      <c r="X1312" s="32">
        <f t="shared" si="285"/>
        <v>5.2719860461365897E-2</v>
      </c>
      <c r="Z1312" s="38">
        <f t="shared" si="289"/>
        <v>0</v>
      </c>
      <c r="AC1312" s="36">
        <v>0.125</v>
      </c>
      <c r="AL1312" t="str">
        <f t="shared" si="290"/>
        <v>Normal</v>
      </c>
      <c r="AM1312" t="str">
        <f t="shared" si="291"/>
        <v>No</v>
      </c>
      <c r="AN1312" t="str">
        <f t="shared" si="292"/>
        <v>Elective</v>
      </c>
      <c r="AO1312" t="str">
        <f t="shared" si="293"/>
        <v>General Ward</v>
      </c>
    </row>
    <row r="1313" spans="1:41" x14ac:dyDescent="0.3">
      <c r="A1313" s="21" t="str">
        <f t="shared" si="286"/>
        <v>UHID-01312</v>
      </c>
      <c r="B1313" s="19">
        <v>51</v>
      </c>
      <c r="C1313" s="11" t="s">
        <v>17</v>
      </c>
      <c r="D1313" s="13" t="s">
        <v>27</v>
      </c>
      <c r="E1313" s="13" t="s">
        <v>11</v>
      </c>
      <c r="F1313" s="16">
        <v>46199.6454723727</v>
      </c>
      <c r="G1313" s="5">
        <v>46199</v>
      </c>
      <c r="H1313" s="2">
        <v>46199.7632563773</v>
      </c>
      <c r="I1313" s="23">
        <v>46199</v>
      </c>
      <c r="J1313" s="24">
        <f t="shared" si="280"/>
        <v>46199.680118516801</v>
      </c>
      <c r="K1313" s="24">
        <f t="shared" si="281"/>
        <v>0.76325637730042217</v>
      </c>
      <c r="L1313" s="29">
        <f t="shared" si="287"/>
        <v>46198</v>
      </c>
      <c r="M1313" s="27" t="str">
        <f t="shared" si="282"/>
        <v>Normal</v>
      </c>
      <c r="N1313" s="31">
        <f t="shared" si="283"/>
        <v>0</v>
      </c>
      <c r="O1313" s="27"/>
      <c r="Q1313" s="8">
        <v>0.3595563896876951</v>
      </c>
      <c r="R1313" s="8" t="str">
        <f t="shared" si="284"/>
        <v>On Time</v>
      </c>
      <c r="S1313" s="33">
        <v>1.9953086519918517</v>
      </c>
      <c r="T1313" t="s">
        <v>31</v>
      </c>
      <c r="U1313" s="3">
        <v>0</v>
      </c>
      <c r="V1313" s="3" t="str">
        <f t="shared" si="288"/>
        <v>Normal</v>
      </c>
      <c r="W1313" s="3" t="s">
        <v>51</v>
      </c>
      <c r="X1313" s="32">
        <f t="shared" si="285"/>
        <v>8.3137860499846283E-2</v>
      </c>
      <c r="Z1313" s="38">
        <f t="shared" si="289"/>
        <v>0</v>
      </c>
      <c r="AC1313" s="36">
        <v>0.125</v>
      </c>
      <c r="AL1313" t="str">
        <f t="shared" si="290"/>
        <v>Normal</v>
      </c>
      <c r="AM1313" t="str">
        <f t="shared" si="291"/>
        <v>No</v>
      </c>
      <c r="AN1313" t="str">
        <f t="shared" si="292"/>
        <v>Elective</v>
      </c>
      <c r="AO1313" t="str">
        <f t="shared" si="293"/>
        <v>General Ward</v>
      </c>
    </row>
    <row r="1314" spans="1:41" x14ac:dyDescent="0.3">
      <c r="A1314" s="21" t="str">
        <f t="shared" si="286"/>
        <v>UHID-01313</v>
      </c>
      <c r="B1314" s="19">
        <v>32</v>
      </c>
      <c r="C1314" s="11" t="s">
        <v>18</v>
      </c>
      <c r="D1314" s="13" t="s">
        <v>27</v>
      </c>
      <c r="E1314" s="13" t="s">
        <v>11</v>
      </c>
      <c r="F1314" s="16">
        <v>46199.417907106501</v>
      </c>
      <c r="G1314" s="5">
        <v>46199</v>
      </c>
      <c r="H1314" s="2">
        <v>46199.603648680597</v>
      </c>
      <c r="I1314" s="23">
        <v>46199</v>
      </c>
      <c r="J1314" s="24">
        <f t="shared" si="280"/>
        <v>46199.375645463617</v>
      </c>
      <c r="K1314" s="24">
        <f t="shared" si="281"/>
        <v>0.60364868059696164</v>
      </c>
      <c r="L1314" s="29">
        <f t="shared" si="287"/>
        <v>46198</v>
      </c>
      <c r="M1314" s="27" t="str">
        <f t="shared" si="282"/>
        <v>Health Deterioration</v>
      </c>
      <c r="N1314" s="31">
        <f t="shared" si="283"/>
        <v>0</v>
      </c>
      <c r="O1314" s="27"/>
      <c r="Q1314" s="8">
        <v>0.43159993964348919</v>
      </c>
      <c r="R1314" s="8" t="str">
        <f t="shared" si="284"/>
        <v>Critical Delay</v>
      </c>
      <c r="S1314" s="33">
        <v>1.472077207596973</v>
      </c>
      <c r="T1314" t="s">
        <v>31</v>
      </c>
      <c r="U1314" s="3">
        <v>4</v>
      </c>
      <c r="V1314" s="3" t="str">
        <f t="shared" si="288"/>
        <v>Normal</v>
      </c>
      <c r="W1314" s="3" t="s">
        <v>50</v>
      </c>
      <c r="X1314" s="32">
        <f t="shared" si="285"/>
        <v>0.22800321698014159</v>
      </c>
      <c r="Z1314" s="38">
        <f t="shared" si="289"/>
        <v>0.10300321698014159</v>
      </c>
      <c r="AC1314" s="36">
        <v>0.125</v>
      </c>
      <c r="AL1314" t="str">
        <f t="shared" si="290"/>
        <v>Health Deterioration</v>
      </c>
      <c r="AM1314" t="str">
        <f t="shared" si="291"/>
        <v>No</v>
      </c>
      <c r="AN1314" t="str">
        <f t="shared" si="292"/>
        <v>Emergency</v>
      </c>
      <c r="AO1314" t="str">
        <f t="shared" si="293"/>
        <v>General Ward</v>
      </c>
    </row>
    <row r="1315" spans="1:41" x14ac:dyDescent="0.3">
      <c r="A1315" s="21" t="str">
        <f t="shared" si="286"/>
        <v>UHID-01314</v>
      </c>
      <c r="B1315" s="19">
        <v>24</v>
      </c>
      <c r="C1315" s="11" t="s">
        <v>17</v>
      </c>
      <c r="D1315" s="13" t="s">
        <v>28</v>
      </c>
      <c r="E1315" s="13" t="s">
        <v>11</v>
      </c>
      <c r="F1315" s="16">
        <v>46199.451968831003</v>
      </c>
      <c r="G1315" s="5">
        <v>46199</v>
      </c>
      <c r="H1315" s="2">
        <v>46199.605083287002</v>
      </c>
      <c r="I1315" s="23">
        <v>46199</v>
      </c>
      <c r="J1315" s="24">
        <f t="shared" si="280"/>
        <v>46199.480133182136</v>
      </c>
      <c r="K1315" s="24">
        <f t="shared" si="281"/>
        <v>0.60508328700234415</v>
      </c>
      <c r="L1315" s="29">
        <f t="shared" si="287"/>
        <v>46198</v>
      </c>
      <c r="M1315" s="27" t="str">
        <f t="shared" si="282"/>
        <v>Doctor Round Delay/Report Delay</v>
      </c>
      <c r="N1315" s="31">
        <f t="shared" si="283"/>
        <v>0</v>
      </c>
      <c r="O1315" s="27"/>
      <c r="Q1315" s="8">
        <v>0.92306073871101801</v>
      </c>
      <c r="R1315" s="8" t="str">
        <f t="shared" si="284"/>
        <v>Minor Delay</v>
      </c>
      <c r="S1315" s="33">
        <v>2.9988025167937415</v>
      </c>
      <c r="T1315" t="s">
        <v>31</v>
      </c>
      <c r="U1315" s="3">
        <v>0</v>
      </c>
      <c r="V1315" s="3" t="str">
        <f t="shared" si="288"/>
        <v>Normal</v>
      </c>
      <c r="W1315" s="3" t="s">
        <v>51</v>
      </c>
      <c r="X1315" s="32">
        <f t="shared" si="285"/>
        <v>0.12495010486600222</v>
      </c>
      <c r="Z1315" s="38">
        <f t="shared" si="289"/>
        <v>0</v>
      </c>
      <c r="AC1315" s="36">
        <v>0.125</v>
      </c>
      <c r="AL1315" t="str">
        <f t="shared" si="290"/>
        <v>Doctor Round Delay/Report Delay</v>
      </c>
      <c r="AM1315" t="str">
        <f t="shared" si="291"/>
        <v>No</v>
      </c>
      <c r="AN1315" t="str">
        <f t="shared" si="292"/>
        <v>Elective</v>
      </c>
      <c r="AO1315" t="str">
        <f t="shared" si="293"/>
        <v>General Ward</v>
      </c>
    </row>
    <row r="1316" spans="1:41" x14ac:dyDescent="0.3">
      <c r="A1316" s="21" t="str">
        <f t="shared" si="286"/>
        <v>UHID-01315</v>
      </c>
      <c r="B1316" s="19">
        <v>61</v>
      </c>
      <c r="C1316" s="11" t="s">
        <v>18</v>
      </c>
      <c r="D1316" s="13" t="s">
        <v>27</v>
      </c>
      <c r="E1316" s="13" t="s">
        <v>11</v>
      </c>
      <c r="F1316" s="16">
        <v>46199.393961053203</v>
      </c>
      <c r="G1316" s="5">
        <v>46199</v>
      </c>
      <c r="H1316" s="2">
        <v>46199.8167740278</v>
      </c>
      <c r="I1316" s="23">
        <v>46199</v>
      </c>
      <c r="J1316" s="24">
        <f t="shared" si="280"/>
        <v>46199.742237316641</v>
      </c>
      <c r="K1316" s="24">
        <f t="shared" si="281"/>
        <v>0.8167740278004203</v>
      </c>
      <c r="L1316" s="29">
        <f t="shared" si="287"/>
        <v>46198</v>
      </c>
      <c r="M1316" s="27" t="str">
        <f t="shared" si="282"/>
        <v>Normal</v>
      </c>
      <c r="N1316" s="31">
        <f t="shared" si="283"/>
        <v>0</v>
      </c>
      <c r="O1316" s="27"/>
      <c r="Q1316" s="8">
        <v>0.30545050852869704</v>
      </c>
      <c r="R1316" s="8" t="str">
        <f t="shared" si="284"/>
        <v>On Time</v>
      </c>
      <c r="S1316" s="33">
        <v>1.788881067790435</v>
      </c>
      <c r="T1316" t="s">
        <v>30</v>
      </c>
      <c r="U1316" s="3">
        <v>0</v>
      </c>
      <c r="V1316" s="3" t="str">
        <f t="shared" si="288"/>
        <v/>
      </c>
      <c r="W1316" s="3" t="s">
        <v>51</v>
      </c>
      <c r="X1316" s="32">
        <f t="shared" si="285"/>
        <v>7.4536711159453262E-2</v>
      </c>
      <c r="Z1316" s="38">
        <f t="shared" si="289"/>
        <v>0</v>
      </c>
      <c r="AC1316" s="36">
        <v>0.125</v>
      </c>
      <c r="AL1316" t="str">
        <f t="shared" si="290"/>
        <v>Normal</v>
      </c>
      <c r="AM1316" t="str">
        <f t="shared" si="291"/>
        <v>No</v>
      </c>
      <c r="AN1316" t="str">
        <f t="shared" si="292"/>
        <v>Elective</v>
      </c>
      <c r="AO1316" t="str">
        <f t="shared" si="293"/>
        <v>General Ward</v>
      </c>
    </row>
    <row r="1317" spans="1:41" x14ac:dyDescent="0.3">
      <c r="A1317" s="21" t="str">
        <f t="shared" si="286"/>
        <v>UHID-01316</v>
      </c>
      <c r="B1317" s="19">
        <v>74</v>
      </c>
      <c r="C1317" s="11" t="s">
        <v>18</v>
      </c>
      <c r="D1317" s="13" t="s">
        <v>27</v>
      </c>
      <c r="E1317" s="13" t="s">
        <v>11</v>
      </c>
      <c r="F1317" s="16">
        <v>46197.6858615046</v>
      </c>
      <c r="G1317" s="5">
        <v>46197</v>
      </c>
      <c r="H1317" s="2">
        <v>46200.485555196799</v>
      </c>
      <c r="I1317" s="23">
        <v>46200</v>
      </c>
      <c r="J1317" s="24">
        <f t="shared" si="280"/>
        <v>46200.413622863329</v>
      </c>
      <c r="K1317" s="24">
        <f t="shared" si="281"/>
        <v>0.48555519679939607</v>
      </c>
      <c r="L1317" s="29">
        <f t="shared" si="287"/>
        <v>46199</v>
      </c>
      <c r="M1317" s="27" t="str">
        <f t="shared" si="282"/>
        <v>Normal</v>
      </c>
      <c r="N1317" s="31">
        <f t="shared" si="283"/>
        <v>3</v>
      </c>
      <c r="O1317" s="27"/>
      <c r="Q1317" s="8">
        <v>0.42639372397954189</v>
      </c>
      <c r="R1317" s="8" t="str">
        <f t="shared" si="284"/>
        <v>On Time</v>
      </c>
      <c r="S1317" s="33">
        <v>1.7263760032644599</v>
      </c>
      <c r="T1317" t="s">
        <v>31</v>
      </c>
      <c r="U1317" s="3">
        <v>0</v>
      </c>
      <c r="V1317" s="3" t="str">
        <f t="shared" si="288"/>
        <v>Normal</v>
      </c>
      <c r="W1317" s="3" t="s">
        <v>51</v>
      </c>
      <c r="X1317" s="32">
        <f t="shared" si="285"/>
        <v>7.193233347061323E-2</v>
      </c>
      <c r="Z1317" s="38">
        <f t="shared" si="289"/>
        <v>0</v>
      </c>
      <c r="AC1317" s="36">
        <v>0.125</v>
      </c>
      <c r="AL1317" t="str">
        <f t="shared" si="290"/>
        <v>Normal</v>
      </c>
      <c r="AM1317" t="str">
        <f t="shared" si="291"/>
        <v>No</v>
      </c>
      <c r="AN1317" t="str">
        <f t="shared" si="292"/>
        <v>Elective</v>
      </c>
      <c r="AO1317" t="str">
        <f t="shared" si="293"/>
        <v>General Ward</v>
      </c>
    </row>
    <row r="1318" spans="1:41" x14ac:dyDescent="0.3">
      <c r="A1318" s="21" t="str">
        <f t="shared" si="286"/>
        <v>UHID-01317</v>
      </c>
      <c r="B1318" s="19">
        <v>58</v>
      </c>
      <c r="C1318" s="11" t="s">
        <v>18</v>
      </c>
      <c r="D1318" s="13" t="s">
        <v>27</v>
      </c>
      <c r="E1318" s="13" t="s">
        <v>11</v>
      </c>
      <c r="F1318" s="16">
        <v>46200.438246088001</v>
      </c>
      <c r="G1318" s="5">
        <v>46200</v>
      </c>
      <c r="H1318" s="2">
        <v>46200.697958877303</v>
      </c>
      <c r="I1318" s="23">
        <v>46200</v>
      </c>
      <c r="J1318" s="24">
        <f t="shared" si="280"/>
        <v>46200.645509562601</v>
      </c>
      <c r="K1318" s="24">
        <f t="shared" si="281"/>
        <v>0.69795887730288086</v>
      </c>
      <c r="L1318" s="29">
        <f t="shared" si="287"/>
        <v>46199</v>
      </c>
      <c r="M1318" s="27" t="str">
        <f t="shared" si="282"/>
        <v>Normal</v>
      </c>
      <c r="N1318" s="31">
        <f t="shared" si="283"/>
        <v>0</v>
      </c>
      <c r="O1318" s="27"/>
      <c r="Q1318" s="8">
        <v>0.47421388503810502</v>
      </c>
      <c r="R1318" s="8" t="str">
        <f t="shared" si="284"/>
        <v>On Time</v>
      </c>
      <c r="S1318" s="33">
        <v>1.2587835528546032</v>
      </c>
      <c r="T1318" t="s">
        <v>31</v>
      </c>
      <c r="U1318" s="3">
        <v>0</v>
      </c>
      <c r="V1318" s="3" t="str">
        <f t="shared" si="288"/>
        <v>Normal</v>
      </c>
      <c r="W1318" s="3" t="s">
        <v>51</v>
      </c>
      <c r="X1318" s="32">
        <f t="shared" si="285"/>
        <v>5.244931470224401E-2</v>
      </c>
      <c r="Z1318" s="38">
        <f t="shared" si="289"/>
        <v>0</v>
      </c>
      <c r="AC1318" s="36">
        <v>0.125</v>
      </c>
      <c r="AL1318" t="str">
        <f t="shared" si="290"/>
        <v>Normal</v>
      </c>
      <c r="AM1318" t="str">
        <f t="shared" si="291"/>
        <v>No</v>
      </c>
      <c r="AN1318" t="str">
        <f t="shared" si="292"/>
        <v>Elective</v>
      </c>
      <c r="AO1318" t="str">
        <f t="shared" si="293"/>
        <v>General Ward</v>
      </c>
    </row>
    <row r="1319" spans="1:41" x14ac:dyDescent="0.3">
      <c r="A1319" s="21" t="str">
        <f t="shared" si="286"/>
        <v>UHID-01318</v>
      </c>
      <c r="B1319" s="19">
        <v>90</v>
      </c>
      <c r="C1319" s="11" t="s">
        <v>18</v>
      </c>
      <c r="D1319" s="13" t="s">
        <v>27</v>
      </c>
      <c r="E1319" s="13" t="s">
        <v>11</v>
      </c>
      <c r="F1319" s="16">
        <v>46200.435686851903</v>
      </c>
      <c r="G1319" s="5">
        <v>46200</v>
      </c>
      <c r="H1319" s="2">
        <v>46200.659835682898</v>
      </c>
      <c r="I1319" s="23">
        <v>46200</v>
      </c>
      <c r="J1319" s="24">
        <f t="shared" si="280"/>
        <v>46200.583542848071</v>
      </c>
      <c r="K1319" s="24">
        <f t="shared" si="281"/>
        <v>0.65983568289811956</v>
      </c>
      <c r="L1319" s="29">
        <f t="shared" si="287"/>
        <v>46199</v>
      </c>
      <c r="M1319" s="27" t="str">
        <f t="shared" si="282"/>
        <v>Normal</v>
      </c>
      <c r="N1319" s="31">
        <f t="shared" si="283"/>
        <v>0</v>
      </c>
      <c r="O1319" s="27"/>
      <c r="Q1319" s="8">
        <v>2.86177180905548E-2</v>
      </c>
      <c r="R1319" s="8" t="str">
        <f t="shared" si="284"/>
        <v>On Time</v>
      </c>
      <c r="S1319" s="33">
        <v>1.8310280358451252</v>
      </c>
      <c r="T1319" t="s">
        <v>30</v>
      </c>
      <c r="U1319" s="3">
        <v>0</v>
      </c>
      <c r="V1319" s="3" t="str">
        <f t="shared" si="288"/>
        <v/>
      </c>
      <c r="W1319" s="3" t="s">
        <v>51</v>
      </c>
      <c r="X1319" s="32">
        <f t="shared" si="285"/>
        <v>7.6292834826745093E-2</v>
      </c>
      <c r="Z1319" s="38">
        <f t="shared" si="289"/>
        <v>0</v>
      </c>
      <c r="AC1319" s="36">
        <v>0.125</v>
      </c>
      <c r="AL1319" t="str">
        <f t="shared" si="290"/>
        <v>Normal</v>
      </c>
      <c r="AM1319" t="str">
        <f t="shared" si="291"/>
        <v>No</v>
      </c>
      <c r="AN1319" t="str">
        <f t="shared" si="292"/>
        <v>Elective</v>
      </c>
      <c r="AO1319" t="str">
        <f t="shared" si="293"/>
        <v>General Ward</v>
      </c>
    </row>
    <row r="1320" spans="1:41" x14ac:dyDescent="0.3">
      <c r="A1320" s="21" t="str">
        <f t="shared" si="286"/>
        <v>UHID-01319</v>
      </c>
      <c r="B1320" s="19">
        <v>70</v>
      </c>
      <c r="C1320" s="11" t="s">
        <v>17</v>
      </c>
      <c r="D1320" s="13" t="s">
        <v>27</v>
      </c>
      <c r="E1320" s="13" t="s">
        <v>11</v>
      </c>
      <c r="F1320" s="16">
        <v>46200.456517002298</v>
      </c>
      <c r="G1320" s="5">
        <v>46200</v>
      </c>
      <c r="H1320" s="2">
        <v>46200.6961742477</v>
      </c>
      <c r="I1320" s="23">
        <v>46200</v>
      </c>
      <c r="J1320" s="24">
        <f t="shared" si="280"/>
        <v>46200.617620473015</v>
      </c>
      <c r="K1320" s="24">
        <f t="shared" si="281"/>
        <v>0.69617424769967329</v>
      </c>
      <c r="L1320" s="29">
        <f t="shared" si="287"/>
        <v>46199</v>
      </c>
      <c r="M1320" s="27" t="str">
        <f t="shared" si="282"/>
        <v>Normal</v>
      </c>
      <c r="N1320" s="31">
        <f t="shared" si="283"/>
        <v>0</v>
      </c>
      <c r="O1320" s="27"/>
      <c r="Q1320" s="8">
        <v>0.37340667041451259</v>
      </c>
      <c r="R1320" s="8" t="str">
        <f t="shared" si="284"/>
        <v>On Time</v>
      </c>
      <c r="S1320" s="33">
        <v>1.8852905924033494</v>
      </c>
      <c r="T1320" t="s">
        <v>31</v>
      </c>
      <c r="U1320" s="3">
        <v>0</v>
      </c>
      <c r="V1320" s="3" t="str">
        <f t="shared" si="288"/>
        <v>Normal</v>
      </c>
      <c r="W1320" s="3" t="s">
        <v>51</v>
      </c>
      <c r="X1320" s="32">
        <f t="shared" si="285"/>
        <v>7.8553774685133249E-2</v>
      </c>
      <c r="Z1320" s="38">
        <f t="shared" si="289"/>
        <v>0</v>
      </c>
      <c r="AC1320" s="36">
        <v>0.125</v>
      </c>
      <c r="AL1320" t="str">
        <f t="shared" si="290"/>
        <v>Normal</v>
      </c>
      <c r="AM1320" t="str">
        <f t="shared" si="291"/>
        <v>No</v>
      </c>
      <c r="AN1320" t="str">
        <f t="shared" si="292"/>
        <v>Elective</v>
      </c>
      <c r="AO1320" t="str">
        <f t="shared" si="293"/>
        <v>General Ward</v>
      </c>
    </row>
    <row r="1321" spans="1:41" x14ac:dyDescent="0.3">
      <c r="A1321" s="21" t="str">
        <f t="shared" si="286"/>
        <v>UHID-01320</v>
      </c>
      <c r="B1321" s="19">
        <v>49</v>
      </c>
      <c r="C1321" s="11" t="s">
        <v>17</v>
      </c>
      <c r="D1321" s="13" t="s">
        <v>27</v>
      </c>
      <c r="E1321" s="13" t="s">
        <v>11</v>
      </c>
      <c r="F1321" s="16">
        <v>46200.396781516203</v>
      </c>
      <c r="G1321" s="5">
        <v>46200</v>
      </c>
      <c r="H1321" s="2">
        <v>46200.714732245397</v>
      </c>
      <c r="I1321" s="23">
        <v>46200</v>
      </c>
      <c r="J1321" s="24">
        <f t="shared" si="280"/>
        <v>46200.474314410851</v>
      </c>
      <c r="K1321" s="24">
        <f t="shared" si="281"/>
        <v>0.71473224539658986</v>
      </c>
      <c r="L1321" s="29">
        <f t="shared" si="287"/>
        <v>46199</v>
      </c>
      <c r="M1321" s="27" t="str">
        <f t="shared" si="282"/>
        <v>Health Deterioration</v>
      </c>
      <c r="N1321" s="31">
        <f t="shared" si="283"/>
        <v>0</v>
      </c>
      <c r="O1321" s="27"/>
      <c r="Q1321" s="8">
        <v>5.8861069752458306E-2</v>
      </c>
      <c r="R1321" s="8" t="str">
        <f t="shared" si="284"/>
        <v>Critical Delay</v>
      </c>
      <c r="S1321" s="33">
        <v>1.7700280290977148</v>
      </c>
      <c r="T1321" t="s">
        <v>30</v>
      </c>
      <c r="U1321" s="3">
        <v>4</v>
      </c>
      <c r="V1321" s="3" t="str">
        <f t="shared" si="288"/>
        <v/>
      </c>
      <c r="W1321" s="3" t="s">
        <v>50</v>
      </c>
      <c r="X1321" s="32">
        <f t="shared" si="285"/>
        <v>0.24041783454595134</v>
      </c>
      <c r="Z1321" s="38">
        <f t="shared" si="289"/>
        <v>0.11541783454595134</v>
      </c>
      <c r="AC1321" s="36">
        <v>0.125</v>
      </c>
      <c r="AL1321" t="str">
        <f t="shared" si="290"/>
        <v>Health Deterioration</v>
      </c>
      <c r="AM1321" t="str">
        <f t="shared" si="291"/>
        <v>No</v>
      </c>
      <c r="AN1321" t="str">
        <f t="shared" si="292"/>
        <v>Emergency</v>
      </c>
      <c r="AO1321" t="str">
        <f t="shared" si="293"/>
        <v>General Ward</v>
      </c>
    </row>
    <row r="1322" spans="1:41" x14ac:dyDescent="0.3">
      <c r="A1322" s="21" t="str">
        <f t="shared" si="286"/>
        <v>UHID-01321</v>
      </c>
      <c r="B1322" s="19">
        <v>24</v>
      </c>
      <c r="C1322" s="11" t="s">
        <v>17</v>
      </c>
      <c r="D1322" s="13" t="s">
        <v>27</v>
      </c>
      <c r="E1322" s="13" t="s">
        <v>11</v>
      </c>
      <c r="F1322" s="16">
        <v>46196.955610601799</v>
      </c>
      <c r="G1322" s="5">
        <v>46196</v>
      </c>
      <c r="H1322" s="2">
        <v>46200.665308449097</v>
      </c>
      <c r="I1322" s="23">
        <v>46200</v>
      </c>
      <c r="J1322" s="24">
        <f t="shared" si="280"/>
        <v>46200.606176621041</v>
      </c>
      <c r="K1322" s="24">
        <f t="shared" si="281"/>
        <v>0.66530844909721054</v>
      </c>
      <c r="L1322" s="29">
        <f t="shared" si="287"/>
        <v>46199</v>
      </c>
      <c r="M1322" s="27" t="str">
        <f t="shared" si="282"/>
        <v>Normal</v>
      </c>
      <c r="N1322" s="31">
        <f t="shared" si="283"/>
        <v>4</v>
      </c>
      <c r="O1322" s="27"/>
      <c r="Q1322" s="8">
        <v>6.3564261913104381E-2</v>
      </c>
      <c r="R1322" s="8" t="str">
        <f t="shared" si="284"/>
        <v>On Time</v>
      </c>
      <c r="S1322" s="33">
        <v>1.4191638734406546</v>
      </c>
      <c r="T1322" t="s">
        <v>30</v>
      </c>
      <c r="U1322" s="3">
        <v>0</v>
      </c>
      <c r="V1322" s="3" t="str">
        <f t="shared" si="288"/>
        <v/>
      </c>
      <c r="W1322" s="3" t="s">
        <v>51</v>
      </c>
      <c r="X1322" s="32">
        <f t="shared" si="285"/>
        <v>5.9131828056706581E-2</v>
      </c>
      <c r="Z1322" s="38">
        <f t="shared" si="289"/>
        <v>0</v>
      </c>
      <c r="AC1322" s="36">
        <v>0.125</v>
      </c>
      <c r="AL1322" t="str">
        <f t="shared" si="290"/>
        <v>Normal</v>
      </c>
      <c r="AM1322" t="str">
        <f t="shared" si="291"/>
        <v>No</v>
      </c>
      <c r="AN1322" t="str">
        <f t="shared" si="292"/>
        <v>Elective</v>
      </c>
      <c r="AO1322" t="str">
        <f t="shared" si="293"/>
        <v>HDU</v>
      </c>
    </row>
    <row r="1323" spans="1:41" x14ac:dyDescent="0.3">
      <c r="A1323" s="21" t="str">
        <f t="shared" si="286"/>
        <v>UHID-01322</v>
      </c>
      <c r="B1323" s="19">
        <v>38</v>
      </c>
      <c r="C1323" s="11" t="s">
        <v>18</v>
      </c>
      <c r="D1323" s="13" t="s">
        <v>27</v>
      </c>
      <c r="E1323" s="13" t="s">
        <v>11</v>
      </c>
      <c r="F1323" s="16">
        <v>46199.886287511603</v>
      </c>
      <c r="G1323" s="5">
        <v>46199</v>
      </c>
      <c r="H1323" s="2">
        <v>46201.535614247703</v>
      </c>
      <c r="I1323" s="23">
        <v>46201</v>
      </c>
      <c r="J1323" s="24">
        <f t="shared" si="280"/>
        <v>46201.466806778728</v>
      </c>
      <c r="K1323" s="24">
        <f t="shared" si="281"/>
        <v>0.53561424770305166</v>
      </c>
      <c r="L1323" s="29">
        <f t="shared" si="287"/>
        <v>46200</v>
      </c>
      <c r="M1323" s="27" t="str">
        <f t="shared" si="282"/>
        <v>Normal</v>
      </c>
      <c r="N1323" s="31">
        <f t="shared" si="283"/>
        <v>2</v>
      </c>
      <c r="O1323" s="27"/>
      <c r="Q1323" s="8">
        <v>0.32491930340320352</v>
      </c>
      <c r="R1323" s="8" t="str">
        <f t="shared" si="284"/>
        <v>On Time</v>
      </c>
      <c r="S1323" s="33">
        <v>1.6513792554359958</v>
      </c>
      <c r="T1323" t="s">
        <v>30</v>
      </c>
      <c r="U1323" s="3">
        <v>0</v>
      </c>
      <c r="V1323" s="3" t="str">
        <f t="shared" si="288"/>
        <v/>
      </c>
      <c r="W1323" s="3" t="s">
        <v>51</v>
      </c>
      <c r="X1323" s="32">
        <f t="shared" si="285"/>
        <v>6.8807468975137454E-2</v>
      </c>
      <c r="Z1323" s="38">
        <f t="shared" si="289"/>
        <v>0</v>
      </c>
      <c r="AC1323" s="36">
        <v>0.125</v>
      </c>
      <c r="AL1323" t="str">
        <f t="shared" si="290"/>
        <v>Normal</v>
      </c>
      <c r="AM1323" t="str">
        <f t="shared" si="291"/>
        <v>No</v>
      </c>
      <c r="AN1323" t="str">
        <f t="shared" si="292"/>
        <v>Elective</v>
      </c>
      <c r="AO1323" t="str">
        <f t="shared" si="293"/>
        <v>General Ward</v>
      </c>
    </row>
    <row r="1324" spans="1:41" x14ac:dyDescent="0.3">
      <c r="A1324" s="21" t="str">
        <f t="shared" si="286"/>
        <v>UHID-01323</v>
      </c>
      <c r="B1324" s="19">
        <v>51</v>
      </c>
      <c r="C1324" s="11" t="s">
        <v>17</v>
      </c>
      <c r="D1324" s="13" t="s">
        <v>26</v>
      </c>
      <c r="E1324" s="13" t="s">
        <v>11</v>
      </c>
      <c r="F1324" s="16">
        <v>46200.387202870399</v>
      </c>
      <c r="G1324" s="5">
        <v>46200</v>
      </c>
      <c r="H1324" s="2">
        <v>46201.711304085598</v>
      </c>
      <c r="I1324" s="23">
        <v>46201</v>
      </c>
      <c r="J1324" s="24">
        <f t="shared" si="280"/>
        <v>46201.569636208609</v>
      </c>
      <c r="K1324" s="24">
        <f t="shared" si="281"/>
        <v>0.71130408559838543</v>
      </c>
      <c r="L1324" s="29">
        <f t="shared" si="287"/>
        <v>46200</v>
      </c>
      <c r="M1324" s="27" t="str">
        <f t="shared" si="282"/>
        <v>TPA Approval Delay</v>
      </c>
      <c r="N1324" s="31">
        <f t="shared" si="283"/>
        <v>1</v>
      </c>
      <c r="O1324" s="27"/>
      <c r="Q1324" s="8">
        <v>0.63314904540859673</v>
      </c>
      <c r="R1324" s="8" t="str">
        <f t="shared" si="284"/>
        <v>Major Delay</v>
      </c>
      <c r="S1324" s="33">
        <v>3.4000290477854445</v>
      </c>
      <c r="T1324" t="s">
        <v>31</v>
      </c>
      <c r="U1324" s="3">
        <v>0</v>
      </c>
      <c r="V1324" s="3" t="str">
        <f t="shared" si="288"/>
        <v>Normal</v>
      </c>
      <c r="W1324" s="3" t="s">
        <v>51</v>
      </c>
      <c r="X1324" s="32">
        <f t="shared" si="285"/>
        <v>0.14166787698923144</v>
      </c>
      <c r="Z1324" s="38">
        <f t="shared" si="289"/>
        <v>1.6667876989231445E-2</v>
      </c>
      <c r="AC1324" s="36">
        <v>0.125</v>
      </c>
      <c r="AL1324" t="str">
        <f t="shared" si="290"/>
        <v>TPA Approval Delay</v>
      </c>
      <c r="AM1324" t="str">
        <f t="shared" si="291"/>
        <v>No</v>
      </c>
      <c r="AN1324" t="str">
        <f t="shared" si="292"/>
        <v>Elective</v>
      </c>
      <c r="AO1324" t="str">
        <f t="shared" si="293"/>
        <v>General Ward</v>
      </c>
    </row>
    <row r="1325" spans="1:41" x14ac:dyDescent="0.3">
      <c r="A1325" s="21" t="str">
        <f t="shared" si="286"/>
        <v>UHID-01324</v>
      </c>
      <c r="B1325" s="19">
        <v>18</v>
      </c>
      <c r="C1325" s="11" t="s">
        <v>17</v>
      </c>
      <c r="D1325" s="13" t="s">
        <v>27</v>
      </c>
      <c r="E1325" s="13" t="s">
        <v>11</v>
      </c>
      <c r="F1325" s="16">
        <v>46202.4248500463</v>
      </c>
      <c r="G1325" s="5">
        <v>46202</v>
      </c>
      <c r="H1325" s="2">
        <v>46202.684121643499</v>
      </c>
      <c r="I1325" s="23">
        <v>46202</v>
      </c>
      <c r="J1325" s="24">
        <f t="shared" si="280"/>
        <v>46202.44383643804</v>
      </c>
      <c r="K1325" s="24">
        <f t="shared" si="281"/>
        <v>0.68412164349865634</v>
      </c>
      <c r="L1325" s="29">
        <f t="shared" si="287"/>
        <v>46201</v>
      </c>
      <c r="M1325" s="27" t="str">
        <f t="shared" si="282"/>
        <v>Health Deterioration</v>
      </c>
      <c r="N1325" s="31">
        <f t="shared" si="283"/>
        <v>0</v>
      </c>
      <c r="O1325" s="27"/>
      <c r="Q1325" s="8">
        <v>0.42432003839598731</v>
      </c>
      <c r="R1325" s="8" t="str">
        <f t="shared" si="284"/>
        <v>Critical Delay</v>
      </c>
      <c r="S1325" s="33">
        <v>1.7668449309862932</v>
      </c>
      <c r="T1325" t="s">
        <v>31</v>
      </c>
      <c r="U1325" s="3">
        <v>4</v>
      </c>
      <c r="V1325" s="3" t="str">
        <f t="shared" si="288"/>
        <v>Normal</v>
      </c>
      <c r="W1325" s="3" t="s">
        <v>50</v>
      </c>
      <c r="X1325" s="32">
        <f t="shared" si="285"/>
        <v>0.24028520545834908</v>
      </c>
      <c r="Z1325" s="38">
        <f t="shared" si="289"/>
        <v>0.11528520545834908</v>
      </c>
      <c r="AC1325" s="36">
        <v>0.125</v>
      </c>
      <c r="AL1325" t="str">
        <f t="shared" si="290"/>
        <v>Health Deterioration</v>
      </c>
      <c r="AM1325" t="str">
        <f t="shared" si="291"/>
        <v>No</v>
      </c>
      <c r="AN1325" t="str">
        <f t="shared" si="292"/>
        <v>Emergency</v>
      </c>
      <c r="AO1325" t="str">
        <f t="shared" si="293"/>
        <v>General Ward</v>
      </c>
    </row>
    <row r="1326" spans="1:41" x14ac:dyDescent="0.3">
      <c r="A1326" s="21" t="str">
        <f t="shared" si="286"/>
        <v>UHID-01325</v>
      </c>
      <c r="B1326" s="19">
        <v>51</v>
      </c>
      <c r="C1326" s="11" t="s">
        <v>18</v>
      </c>
      <c r="D1326" s="13" t="s">
        <v>27</v>
      </c>
      <c r="E1326" s="13" t="s">
        <v>11</v>
      </c>
      <c r="F1326" s="16">
        <v>46202.674211539299</v>
      </c>
      <c r="G1326" s="5">
        <v>46202</v>
      </c>
      <c r="H1326" s="2">
        <v>46202.8160579861</v>
      </c>
      <c r="I1326" s="23">
        <v>46202</v>
      </c>
      <c r="J1326" s="24">
        <f t="shared" si="280"/>
        <v>46202.744728412938</v>
      </c>
      <c r="K1326" s="24">
        <f t="shared" si="281"/>
        <v>0.81605798609962221</v>
      </c>
      <c r="L1326" s="29">
        <f t="shared" si="287"/>
        <v>46201</v>
      </c>
      <c r="M1326" s="27" t="str">
        <f t="shared" si="282"/>
        <v>Normal</v>
      </c>
      <c r="N1326" s="31">
        <f t="shared" si="283"/>
        <v>0</v>
      </c>
      <c r="O1326" s="27"/>
      <c r="Q1326" s="8">
        <v>3.5441143294213995E-2</v>
      </c>
      <c r="R1326" s="8" t="str">
        <f t="shared" si="284"/>
        <v>On Time</v>
      </c>
      <c r="S1326" s="33">
        <v>1.7119097558504137</v>
      </c>
      <c r="T1326" t="s">
        <v>30</v>
      </c>
      <c r="U1326" s="3">
        <v>0</v>
      </c>
      <c r="V1326" s="3" t="str">
        <f t="shared" si="288"/>
        <v/>
      </c>
      <c r="W1326" s="3" t="s">
        <v>51</v>
      </c>
      <c r="X1326" s="32">
        <f t="shared" si="285"/>
        <v>7.1329573162074666E-2</v>
      </c>
      <c r="Z1326" s="38">
        <f t="shared" si="289"/>
        <v>0</v>
      </c>
      <c r="AC1326" s="36">
        <v>0.125</v>
      </c>
      <c r="AL1326" t="str">
        <f t="shared" si="290"/>
        <v>Normal</v>
      </c>
      <c r="AM1326" t="str">
        <f t="shared" si="291"/>
        <v>No</v>
      </c>
      <c r="AN1326" t="str">
        <f t="shared" si="292"/>
        <v>Elective</v>
      </c>
      <c r="AO1326" t="str">
        <f t="shared" si="293"/>
        <v>General Ward</v>
      </c>
    </row>
    <row r="1327" spans="1:41" x14ac:dyDescent="0.3">
      <c r="A1327" s="21" t="str">
        <f t="shared" si="286"/>
        <v>UHID-01326</v>
      </c>
      <c r="B1327" s="19">
        <v>70</v>
      </c>
      <c r="C1327" s="11" t="s">
        <v>18</v>
      </c>
      <c r="D1327" s="13" t="s">
        <v>28</v>
      </c>
      <c r="E1327" s="13" t="s">
        <v>11</v>
      </c>
      <c r="F1327" s="16">
        <v>46197.858988425898</v>
      </c>
      <c r="G1327" s="5">
        <v>46197</v>
      </c>
      <c r="H1327" s="2">
        <v>46202.676843958303</v>
      </c>
      <c r="I1327" s="23">
        <v>46202</v>
      </c>
      <c r="J1327" s="24">
        <f t="shared" si="280"/>
        <v>46202.442279143339</v>
      </c>
      <c r="K1327" s="24">
        <f t="shared" si="281"/>
        <v>0.67684395830292488</v>
      </c>
      <c r="L1327" s="29">
        <f t="shared" si="287"/>
        <v>46201</v>
      </c>
      <c r="M1327" s="27" t="str">
        <f t="shared" si="282"/>
        <v>Health Deterioration</v>
      </c>
      <c r="N1327" s="31">
        <f t="shared" si="283"/>
        <v>5</v>
      </c>
      <c r="O1327" s="27"/>
      <c r="Q1327" s="8">
        <v>0.98732260898475677</v>
      </c>
      <c r="R1327" s="8" t="str">
        <f t="shared" si="284"/>
        <v>Critical Delay</v>
      </c>
      <c r="S1327" s="33">
        <v>2.6295555591928457</v>
      </c>
      <c r="T1327" t="s">
        <v>31</v>
      </c>
      <c r="U1327" s="3">
        <v>3</v>
      </c>
      <c r="V1327" s="3" t="str">
        <f t="shared" si="288"/>
        <v>Normal</v>
      </c>
      <c r="W1327" s="3" t="s">
        <v>50</v>
      </c>
      <c r="X1327" s="32">
        <f t="shared" si="285"/>
        <v>0.23456481496396009</v>
      </c>
      <c r="Z1327" s="38">
        <f t="shared" si="289"/>
        <v>0.10956481496396009</v>
      </c>
      <c r="AC1327" s="36">
        <v>0.125</v>
      </c>
      <c r="AL1327" t="str">
        <f t="shared" si="290"/>
        <v>Health Deterioration</v>
      </c>
      <c r="AM1327" t="str">
        <f t="shared" si="291"/>
        <v>Yes</v>
      </c>
      <c r="AN1327" t="str">
        <f t="shared" si="292"/>
        <v>Elective</v>
      </c>
      <c r="AO1327" t="str">
        <f t="shared" si="293"/>
        <v>HDU</v>
      </c>
    </row>
    <row r="1328" spans="1:41" x14ac:dyDescent="0.3">
      <c r="A1328" s="21" t="str">
        <f t="shared" si="286"/>
        <v>UHID-01327</v>
      </c>
      <c r="B1328" s="19">
        <v>76</v>
      </c>
      <c r="C1328" s="11" t="s">
        <v>18</v>
      </c>
      <c r="D1328" s="13" t="s">
        <v>28</v>
      </c>
      <c r="E1328" s="13" t="s">
        <v>11</v>
      </c>
      <c r="F1328" s="16">
        <v>46195.763571631898</v>
      </c>
      <c r="G1328" s="5">
        <v>46195</v>
      </c>
      <c r="H1328" s="2">
        <v>46202.712808460601</v>
      </c>
      <c r="I1328" s="23">
        <v>46202</v>
      </c>
      <c r="J1328" s="24">
        <f t="shared" si="280"/>
        <v>46202.629011797879</v>
      </c>
      <c r="K1328" s="24">
        <f t="shared" si="281"/>
        <v>0.71280846060108161</v>
      </c>
      <c r="L1328" s="29">
        <f t="shared" si="287"/>
        <v>46201</v>
      </c>
      <c r="M1328" s="27" t="str">
        <f t="shared" si="282"/>
        <v>Doctor Round Delay/Report Delay</v>
      </c>
      <c r="N1328" s="31">
        <f t="shared" si="283"/>
        <v>7</v>
      </c>
      <c r="O1328" s="27"/>
      <c r="Q1328" s="8">
        <v>0.91535910259231323</v>
      </c>
      <c r="R1328" s="8" t="str">
        <f t="shared" si="284"/>
        <v>Minor Delay</v>
      </c>
      <c r="S1328" s="33">
        <v>2.0111199053709647</v>
      </c>
      <c r="T1328" t="s">
        <v>31</v>
      </c>
      <c r="U1328" s="3">
        <v>0</v>
      </c>
      <c r="V1328" s="3" t="str">
        <f t="shared" si="288"/>
        <v>Normal</v>
      </c>
      <c r="W1328" s="3" t="s">
        <v>51</v>
      </c>
      <c r="X1328" s="32">
        <f t="shared" si="285"/>
        <v>8.3796662722306792E-2</v>
      </c>
      <c r="Z1328" s="38">
        <f t="shared" si="289"/>
        <v>0</v>
      </c>
      <c r="AC1328" s="36">
        <v>0.125</v>
      </c>
      <c r="AL1328" t="str">
        <f t="shared" si="290"/>
        <v>Doctor Round Delay/Report Delay</v>
      </c>
      <c r="AM1328" t="str">
        <f t="shared" si="291"/>
        <v>No</v>
      </c>
      <c r="AN1328" t="str">
        <f t="shared" si="292"/>
        <v>Elective</v>
      </c>
      <c r="AO1328" t="str">
        <f t="shared" si="293"/>
        <v>ICU</v>
      </c>
    </row>
    <row r="1329" spans="1:41" x14ac:dyDescent="0.3">
      <c r="A1329" s="21" t="str">
        <f t="shared" si="286"/>
        <v>UHID-01328</v>
      </c>
      <c r="B1329" s="19">
        <v>32</v>
      </c>
      <c r="C1329" s="11" t="s">
        <v>18</v>
      </c>
      <c r="D1329" s="13" t="s">
        <v>27</v>
      </c>
      <c r="E1329" s="13" t="s">
        <v>11</v>
      </c>
      <c r="F1329" s="16">
        <v>46199.839822951399</v>
      </c>
      <c r="G1329" s="5">
        <v>46199</v>
      </c>
      <c r="H1329" s="2">
        <v>46202.451087847199</v>
      </c>
      <c r="I1329" s="23">
        <v>46202</v>
      </c>
      <c r="J1329" s="24">
        <f t="shared" si="280"/>
        <v>46202.373032684467</v>
      </c>
      <c r="K1329" s="24">
        <f t="shared" si="281"/>
        <v>0.45108784719923278</v>
      </c>
      <c r="L1329" s="29">
        <f t="shared" si="287"/>
        <v>46201</v>
      </c>
      <c r="M1329" s="27" t="str">
        <f t="shared" si="282"/>
        <v>Normal</v>
      </c>
      <c r="N1329" s="31">
        <f t="shared" si="283"/>
        <v>3</v>
      </c>
      <c r="O1329" s="27"/>
      <c r="Q1329" s="8">
        <v>0.34786243207031486</v>
      </c>
      <c r="R1329" s="8" t="str">
        <f t="shared" si="284"/>
        <v>On Time</v>
      </c>
      <c r="S1329" s="33">
        <v>1.8733239055204143</v>
      </c>
      <c r="T1329" t="s">
        <v>30</v>
      </c>
      <c r="U1329" s="3">
        <v>0</v>
      </c>
      <c r="V1329" s="3" t="str">
        <f t="shared" si="288"/>
        <v/>
      </c>
      <c r="W1329" s="3" t="s">
        <v>51</v>
      </c>
      <c r="X1329" s="32">
        <f t="shared" si="285"/>
        <v>7.8055162732198369E-2</v>
      </c>
      <c r="Z1329" s="38">
        <f t="shared" si="289"/>
        <v>0</v>
      </c>
      <c r="AC1329" s="36">
        <v>0.125</v>
      </c>
      <c r="AL1329" t="str">
        <f t="shared" si="290"/>
        <v>Normal</v>
      </c>
      <c r="AM1329" t="str">
        <f t="shared" si="291"/>
        <v>No</v>
      </c>
      <c r="AN1329" t="str">
        <f t="shared" si="292"/>
        <v>Elective</v>
      </c>
      <c r="AO1329" t="str">
        <f t="shared" si="293"/>
        <v>General Ward</v>
      </c>
    </row>
    <row r="1330" spans="1:41" x14ac:dyDescent="0.3">
      <c r="A1330" s="21" t="str">
        <f t="shared" si="286"/>
        <v>UHID-01329</v>
      </c>
      <c r="B1330" s="19">
        <v>57</v>
      </c>
      <c r="C1330" s="11" t="s">
        <v>18</v>
      </c>
      <c r="D1330" s="13" t="s">
        <v>26</v>
      </c>
      <c r="E1330" s="13" t="s">
        <v>11</v>
      </c>
      <c r="F1330" s="16">
        <v>46202.410496655102</v>
      </c>
      <c r="G1330" s="5">
        <v>46202</v>
      </c>
      <c r="H1330" s="2">
        <v>46202.622368206001</v>
      </c>
      <c r="I1330" s="23">
        <v>46202</v>
      </c>
      <c r="J1330" s="24">
        <f t="shared" si="280"/>
        <v>46202.299225413743</v>
      </c>
      <c r="K1330" s="24">
        <f t="shared" si="281"/>
        <v>0.62236820600082865</v>
      </c>
      <c r="L1330" s="29">
        <f t="shared" si="287"/>
        <v>46201</v>
      </c>
      <c r="M1330" s="27" t="str">
        <f t="shared" si="282"/>
        <v>Health Deterioration/TPA Approval Delay</v>
      </c>
      <c r="N1330" s="31">
        <f t="shared" si="283"/>
        <v>0</v>
      </c>
      <c r="O1330" s="27"/>
      <c r="Q1330" s="8">
        <v>0.57686947873952998</v>
      </c>
      <c r="R1330" s="8" t="str">
        <f t="shared" si="284"/>
        <v>Critical Delay</v>
      </c>
      <c r="S1330" s="33">
        <v>3.7554270141458348</v>
      </c>
      <c r="T1330" t="s">
        <v>31</v>
      </c>
      <c r="U1330" s="3">
        <v>4</v>
      </c>
      <c r="V1330" s="3" t="str">
        <f t="shared" si="288"/>
        <v>Normal</v>
      </c>
      <c r="W1330" s="3" t="s">
        <v>50</v>
      </c>
      <c r="X1330" s="32">
        <f t="shared" si="285"/>
        <v>0.32314279225829523</v>
      </c>
      <c r="Z1330" s="38">
        <f t="shared" si="289"/>
        <v>0.19814279225829523</v>
      </c>
      <c r="AC1330" s="36">
        <v>0.125</v>
      </c>
      <c r="AL1330" t="str">
        <f t="shared" si="290"/>
        <v>Health Deterioration/TPA Approval Delay</v>
      </c>
      <c r="AM1330" t="str">
        <f t="shared" si="291"/>
        <v>No</v>
      </c>
      <c r="AN1330" t="str">
        <f t="shared" si="292"/>
        <v>Emergency</v>
      </c>
      <c r="AO1330" t="str">
        <f t="shared" si="293"/>
        <v>General Ward</v>
      </c>
    </row>
    <row r="1331" spans="1:41" x14ac:dyDescent="0.3">
      <c r="A1331" s="21" t="str">
        <f t="shared" si="286"/>
        <v>UHID-01330</v>
      </c>
      <c r="B1331" s="19">
        <v>58</v>
      </c>
      <c r="C1331" s="11" t="s">
        <v>18</v>
      </c>
      <c r="D1331" s="13" t="s">
        <v>27</v>
      </c>
      <c r="E1331" s="13" t="s">
        <v>11</v>
      </c>
      <c r="F1331" s="16">
        <v>46198.784663182902</v>
      </c>
      <c r="G1331" s="5">
        <v>46198</v>
      </c>
      <c r="H1331" s="2">
        <v>46202.599766597203</v>
      </c>
      <c r="I1331" s="23">
        <v>46202</v>
      </c>
      <c r="J1331" s="24">
        <f t="shared" si="280"/>
        <v>46202.554901243871</v>
      </c>
      <c r="K1331" s="24">
        <f t="shared" si="281"/>
        <v>0.59976659720268799</v>
      </c>
      <c r="L1331" s="29">
        <f t="shared" si="287"/>
        <v>46201</v>
      </c>
      <c r="M1331" s="27" t="str">
        <f t="shared" si="282"/>
        <v>Normal</v>
      </c>
      <c r="N1331" s="31">
        <f t="shared" si="283"/>
        <v>4</v>
      </c>
      <c r="O1331" s="27"/>
      <c r="Q1331" s="8">
        <v>0.36780394639369796</v>
      </c>
      <c r="R1331" s="8" t="str">
        <f t="shared" si="284"/>
        <v>On Time</v>
      </c>
      <c r="S1331" s="33">
        <v>1.076768479918137</v>
      </c>
      <c r="T1331" t="s">
        <v>31</v>
      </c>
      <c r="U1331" s="3">
        <v>0</v>
      </c>
      <c r="V1331" s="3" t="str">
        <f t="shared" si="288"/>
        <v>Normal</v>
      </c>
      <c r="W1331" s="3" t="s">
        <v>51</v>
      </c>
      <c r="X1331" s="32">
        <f t="shared" si="285"/>
        <v>4.4865353331260849E-2</v>
      </c>
      <c r="Z1331" s="38">
        <f t="shared" si="289"/>
        <v>0</v>
      </c>
      <c r="AC1331" s="36">
        <v>0.125</v>
      </c>
      <c r="AL1331" t="str">
        <f t="shared" si="290"/>
        <v>Normal</v>
      </c>
      <c r="AM1331" t="str">
        <f t="shared" si="291"/>
        <v>No</v>
      </c>
      <c r="AN1331" t="str">
        <f t="shared" si="292"/>
        <v>Elective</v>
      </c>
      <c r="AO1331" t="str">
        <f t="shared" si="293"/>
        <v>HDU</v>
      </c>
    </row>
    <row r="1332" spans="1:41" x14ac:dyDescent="0.3">
      <c r="A1332" s="21" t="str">
        <f t="shared" si="286"/>
        <v>UHID-01331</v>
      </c>
      <c r="B1332" s="19">
        <v>52</v>
      </c>
      <c r="C1332" s="11" t="s">
        <v>18</v>
      </c>
      <c r="D1332" s="13" t="s">
        <v>27</v>
      </c>
      <c r="E1332" s="13" t="s">
        <v>11</v>
      </c>
      <c r="F1332" s="16">
        <v>46203.4275577546</v>
      </c>
      <c r="G1332" s="5">
        <v>46203</v>
      </c>
      <c r="H1332" s="2">
        <v>46203.682143981503</v>
      </c>
      <c r="I1332" s="23">
        <v>46203</v>
      </c>
      <c r="J1332" s="24">
        <f t="shared" si="280"/>
        <v>46203.621390517423</v>
      </c>
      <c r="K1332" s="24">
        <f t="shared" si="281"/>
        <v>0.68214398150303168</v>
      </c>
      <c r="L1332" s="29">
        <f t="shared" si="287"/>
        <v>46202</v>
      </c>
      <c r="M1332" s="27" t="str">
        <f t="shared" si="282"/>
        <v>Normal</v>
      </c>
      <c r="N1332" s="31">
        <f t="shared" si="283"/>
        <v>0</v>
      </c>
      <c r="O1332" s="27"/>
      <c r="Q1332" s="8">
        <v>0.47539054378655565</v>
      </c>
      <c r="R1332" s="8" t="str">
        <f t="shared" si="284"/>
        <v>On Time</v>
      </c>
      <c r="S1332" s="33">
        <v>1.4580831379161594</v>
      </c>
      <c r="T1332" t="s">
        <v>31</v>
      </c>
      <c r="U1332" s="3">
        <v>0</v>
      </c>
      <c r="V1332" s="3" t="str">
        <f t="shared" si="288"/>
        <v>Normal</v>
      </c>
      <c r="W1332" s="3" t="s">
        <v>51</v>
      </c>
      <c r="X1332" s="32">
        <f t="shared" si="285"/>
        <v>6.0753464080335107E-2</v>
      </c>
      <c r="Z1332" s="38">
        <f t="shared" si="289"/>
        <v>0</v>
      </c>
      <c r="AC1332" s="36">
        <v>0.125</v>
      </c>
      <c r="AL1332" t="str">
        <f t="shared" si="290"/>
        <v>Normal</v>
      </c>
      <c r="AM1332" t="str">
        <f t="shared" si="291"/>
        <v>No</v>
      </c>
      <c r="AN1332" t="str">
        <f t="shared" si="292"/>
        <v>Elective</v>
      </c>
      <c r="AO1332" t="str">
        <f t="shared" si="293"/>
        <v>General Ward</v>
      </c>
    </row>
    <row r="1333" spans="1:41" x14ac:dyDescent="0.3">
      <c r="A1333" s="21" t="str">
        <f t="shared" si="286"/>
        <v>UHID-01332</v>
      </c>
      <c r="B1333" s="19">
        <v>23</v>
      </c>
      <c r="C1333" s="11" t="s">
        <v>18</v>
      </c>
      <c r="D1333" s="13" t="s">
        <v>27</v>
      </c>
      <c r="E1333" s="13" t="s">
        <v>11</v>
      </c>
      <c r="F1333" s="16">
        <v>46203.4495750926</v>
      </c>
      <c r="G1333" s="5">
        <v>46203</v>
      </c>
      <c r="H1333" s="2">
        <v>46203.683378483802</v>
      </c>
      <c r="I1333" s="23">
        <v>46203</v>
      </c>
      <c r="J1333" s="24">
        <f t="shared" si="280"/>
        <v>46203.634886878674</v>
      </c>
      <c r="K1333" s="24">
        <f t="shared" si="281"/>
        <v>0.68337848380178912</v>
      </c>
      <c r="L1333" s="29">
        <f t="shared" si="287"/>
        <v>46202</v>
      </c>
      <c r="M1333" s="27" t="str">
        <f t="shared" si="282"/>
        <v>Normal</v>
      </c>
      <c r="N1333" s="31">
        <f t="shared" si="283"/>
        <v>0</v>
      </c>
      <c r="O1333" s="27"/>
      <c r="Q1333" s="8">
        <v>0.2546203790787227</v>
      </c>
      <c r="R1333" s="8" t="str">
        <f t="shared" si="284"/>
        <v>On Time</v>
      </c>
      <c r="S1333" s="33">
        <v>1.1637985230279719</v>
      </c>
      <c r="T1333" t="s">
        <v>30</v>
      </c>
      <c r="U1333" s="3">
        <v>0</v>
      </c>
      <c r="V1333" s="3" t="str">
        <f t="shared" si="288"/>
        <v/>
      </c>
      <c r="W1333" s="3" t="s">
        <v>51</v>
      </c>
      <c r="X1333" s="32">
        <f t="shared" si="285"/>
        <v>4.8491605128219817E-2</v>
      </c>
      <c r="Z1333" s="38">
        <f t="shared" si="289"/>
        <v>0</v>
      </c>
      <c r="AC1333" s="36">
        <v>0.125</v>
      </c>
      <c r="AL1333" t="str">
        <f t="shared" si="290"/>
        <v>Normal</v>
      </c>
      <c r="AM1333" t="str">
        <f t="shared" si="291"/>
        <v>No</v>
      </c>
      <c r="AN1333" t="str">
        <f t="shared" si="292"/>
        <v>Elective</v>
      </c>
      <c r="AO1333" t="str">
        <f t="shared" si="293"/>
        <v>General Ward</v>
      </c>
    </row>
    <row r="1334" spans="1:41" x14ac:dyDescent="0.3">
      <c r="A1334" s="21" t="str">
        <f t="shared" si="286"/>
        <v>UHID-01333</v>
      </c>
      <c r="B1334" s="19">
        <v>58</v>
      </c>
      <c r="C1334" s="11" t="s">
        <v>18</v>
      </c>
      <c r="D1334" s="13" t="s">
        <v>27</v>
      </c>
      <c r="E1334" s="13" t="s">
        <v>11</v>
      </c>
      <c r="F1334" s="16">
        <v>46202.743900995403</v>
      </c>
      <c r="G1334" s="5">
        <v>46202</v>
      </c>
      <c r="H1334" s="2">
        <v>46203.875812418999</v>
      </c>
      <c r="I1334" s="23">
        <v>46203</v>
      </c>
      <c r="J1334" s="24">
        <f t="shared" si="280"/>
        <v>46203.659737314236</v>
      </c>
      <c r="K1334" s="24">
        <f t="shared" si="281"/>
        <v>0.87581241899897577</v>
      </c>
      <c r="L1334" s="29">
        <f t="shared" si="287"/>
        <v>46202</v>
      </c>
      <c r="M1334" s="27" t="str">
        <f t="shared" si="282"/>
        <v>Health Deterioration</v>
      </c>
      <c r="N1334" s="31">
        <f t="shared" si="283"/>
        <v>1</v>
      </c>
      <c r="O1334" s="27"/>
      <c r="Q1334" s="8">
        <v>0.10248209049399082</v>
      </c>
      <c r="R1334" s="8" t="str">
        <f t="shared" si="284"/>
        <v>Critical Delay</v>
      </c>
      <c r="S1334" s="33">
        <v>1.1858025142626705</v>
      </c>
      <c r="T1334" t="s">
        <v>30</v>
      </c>
      <c r="U1334" s="3">
        <v>4</v>
      </c>
      <c r="V1334" s="3" t="str">
        <f t="shared" si="288"/>
        <v/>
      </c>
      <c r="W1334" s="3" t="s">
        <v>50</v>
      </c>
      <c r="X1334" s="32">
        <f t="shared" si="285"/>
        <v>0.21607510476314928</v>
      </c>
      <c r="Z1334" s="38">
        <f t="shared" si="289"/>
        <v>9.1075104763149284E-2</v>
      </c>
      <c r="AC1334" s="36">
        <v>0.125</v>
      </c>
      <c r="AL1334" t="str">
        <f t="shared" si="290"/>
        <v>Health Deterioration</v>
      </c>
      <c r="AM1334" t="str">
        <f t="shared" si="291"/>
        <v>No</v>
      </c>
      <c r="AN1334" t="str">
        <f t="shared" si="292"/>
        <v>Emergency</v>
      </c>
      <c r="AO1334" t="str">
        <f t="shared" si="293"/>
        <v>General Ward</v>
      </c>
    </row>
    <row r="1335" spans="1:41" x14ac:dyDescent="0.3">
      <c r="N1335" s="27"/>
    </row>
  </sheetData>
  <sortState xmlns:xlrd2="http://schemas.microsoft.com/office/spreadsheetml/2017/richdata2" ref="E2:K1335">
    <sortCondition ref="E2:E13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Upadhyay</dc:creator>
  <cp:lastModifiedBy>Arnab Chanda</cp:lastModifiedBy>
  <dcterms:created xsi:type="dcterms:W3CDTF">2026-07-06T12:26:43Z</dcterms:created>
  <dcterms:modified xsi:type="dcterms:W3CDTF">2026-08-19T18:56:12Z</dcterms:modified>
</cp:coreProperties>
</file>